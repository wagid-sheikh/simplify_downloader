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FC" sheetId="1" r:id="rId5"/>
    <sheet state="visible" name="SBI" sheetId="2" r:id="rId6"/>
  </sheets>
  <definedNames/>
  <calcPr/>
</workbook>
</file>

<file path=xl/sharedStrings.xml><?xml version="1.0" encoding="utf-8"?>
<sst xmlns="http://schemas.openxmlformats.org/spreadsheetml/2006/main" count="24084" uniqueCount="9678">
  <si>
    <t>Bank</t>
  </si>
  <si>
    <t>ROWID</t>
  </si>
  <si>
    <t>Transaction Date</t>
  </si>
  <si>
    <t>Value Date</t>
  </si>
  <si>
    <t>Particulars</t>
  </si>
  <si>
    <t>Cheque No.</t>
  </si>
  <si>
    <t>Debit</t>
  </si>
  <si>
    <t>Credit</t>
  </si>
  <si>
    <t>Balance</t>
  </si>
  <si>
    <t>Remarks</t>
  </si>
  <si>
    <t>Cost Center</t>
  </si>
  <si>
    <t>Order Number</t>
  </si>
  <si>
    <t>Category</t>
  </si>
  <si>
    <t>Sub Category</t>
  </si>
  <si>
    <t>Branch Code</t>
  </si>
  <si>
    <t>Message</t>
  </si>
  <si>
    <t>Year</t>
  </si>
  <si>
    <t>Month</t>
  </si>
  <si>
    <t>IDFC</t>
  </si>
  <si>
    <t>TSV-06-0001</t>
  </si>
  <si>
    <t>BB/CHQ DEP/574557/19-06-2025/IDFC/STATE BANK OF IN</t>
  </si>
  <si>
    <t>2,00,000.00</t>
  </si>
  <si>
    <t>Initial Account Opening Money</t>
  </si>
  <si>
    <t>TSV001</t>
  </si>
  <si>
    <t>Income</t>
  </si>
  <si>
    <t>Seed Capital</t>
  </si>
  <si>
    <t>TSV-06-0002</t>
  </si>
  <si>
    <t>UPI/MOB/517878209356/Test UPI</t>
  </si>
  <si>
    <t>2,00,100.00</t>
  </si>
  <si>
    <t>Test UPI Txn</t>
  </si>
  <si>
    <t>06</t>
  </si>
  <si>
    <t>TSV-07-0001</t>
  </si>
  <si>
    <t>UPI/MOB/518330715373/TDA668</t>
  </si>
  <si>
    <t>2,00,150.00</t>
  </si>
  <si>
    <t>07</t>
  </si>
  <si>
    <t>TSV-07-0002</t>
  </si>
  <si>
    <t>UPI/MOB/518366543001/TDA668</t>
  </si>
  <si>
    <t>2,00,210.00</t>
  </si>
  <si>
    <t>TSV-07-0003</t>
  </si>
  <si>
    <t>UPI/MOB/518303919996/TDA817</t>
  </si>
  <si>
    <t>2,00,280.00</t>
  </si>
  <si>
    <t>TSV-07-0004</t>
  </si>
  <si>
    <t>UPI/MOB/518395767931/Sent using Paytm UPI</t>
  </si>
  <si>
    <t>2,00,281.00</t>
  </si>
  <si>
    <t>TSV-07-0005</t>
  </si>
  <si>
    <t>UPI/MOB/518494787370/UN3668</t>
  </si>
  <si>
    <t>2,00,291.00</t>
  </si>
  <si>
    <t>TSV-07-0006</t>
  </si>
  <si>
    <t>UPI/MOB/518482580410/KN3817</t>
  </si>
  <si>
    <t>2,00,301.00</t>
  </si>
  <si>
    <t>TSV-07-0007</t>
  </si>
  <si>
    <t>UPI/MOB/518406216094/SC3567</t>
  </si>
  <si>
    <t>2,00,311.00</t>
  </si>
  <si>
    <t>TSV-07-0008</t>
  </si>
  <si>
    <t>UPI/MOB/518411304181/SL1610</t>
  </si>
  <si>
    <t>2,00,321.00</t>
  </si>
  <si>
    <t>TSV-07-0009</t>
  </si>
  <si>
    <t>UPI/MOB/518555119335/UN3668</t>
  </si>
  <si>
    <t>2,01,322.00</t>
  </si>
  <si>
    <t>T604</t>
  </si>
  <si>
    <t>Sales</t>
  </si>
  <si>
    <t>TSV-07-0010</t>
  </si>
  <si>
    <t>UPI/MOB/411986352363/SL1610</t>
  </si>
  <si>
    <t>2,02,154.00</t>
  </si>
  <si>
    <t>UC610-0108</t>
  </si>
  <si>
    <t>TSV-07-0011</t>
  </si>
  <si>
    <t>UPI/MOB/107517653571/SL1610</t>
  </si>
  <si>
    <t>2,02,900.00</t>
  </si>
  <si>
    <t>UC610-0113</t>
  </si>
  <si>
    <t>TSV-07-0012</t>
  </si>
  <si>
    <t>UPI/MOB/518520076643/SC3567</t>
  </si>
  <si>
    <t>2,03,009.00</t>
  </si>
  <si>
    <t>UC567-0465</t>
  </si>
  <si>
    <t>TSV-07-0013</t>
  </si>
  <si>
    <t>UPI/MOB/518522500944/SC3567</t>
  </si>
  <si>
    <t>2,03,283.00</t>
  </si>
  <si>
    <t>UC567-0468</t>
  </si>
  <si>
    <t>TSV-07-0014</t>
  </si>
  <si>
    <t>UPI/MOB/107531903112/SC3567</t>
  </si>
  <si>
    <t>2,03,722.00</t>
  </si>
  <si>
    <t>UC567-0460</t>
  </si>
  <si>
    <t>TSV-07-0015</t>
  </si>
  <si>
    <t>UPI/MOB/518550361456/UN3668</t>
  </si>
  <si>
    <t>2,04,242.00</t>
  </si>
  <si>
    <t>T613</t>
  </si>
  <si>
    <t>TSV-07-0016</t>
  </si>
  <si>
    <t>UPI/MOB/518628049632/SL1610</t>
  </si>
  <si>
    <t>2,04,707.00</t>
  </si>
  <si>
    <t>UC610-0116</t>
  </si>
  <si>
    <t>TSV-07-0017</t>
  </si>
  <si>
    <t>UPI/MOB/518628308283/SL1610</t>
  </si>
  <si>
    <t>2,05,684.00</t>
  </si>
  <si>
    <t>UC610-0110</t>
  </si>
  <si>
    <t>TSV-07-0018</t>
  </si>
  <si>
    <t>UPI/MOB/518629739418/SC3567</t>
  </si>
  <si>
    <t>2,06,481.00</t>
  </si>
  <si>
    <t>UC567-0452</t>
  </si>
  <si>
    <t>TSV-07-0019</t>
  </si>
  <si>
    <t>UPI/MOB/555282805282/UN3668</t>
  </si>
  <si>
    <t>2,07,671.00</t>
  </si>
  <si>
    <t>T629</t>
  </si>
  <si>
    <t>TSV-07-0020</t>
  </si>
  <si>
    <t>UPI/MOB/518736191141/UN3668</t>
  </si>
  <si>
    <t>2,07,991.00</t>
  </si>
  <si>
    <t>T598</t>
  </si>
  <si>
    <t>TSV-07-0021</t>
  </si>
  <si>
    <t>UPI/MOB/287735887859/UN3668</t>
  </si>
  <si>
    <t>2,08,639.00</t>
  </si>
  <si>
    <t>T415</t>
  </si>
  <si>
    <t>TSV-07-0022</t>
  </si>
  <si>
    <t>NEFT/IDFBH25187548933/Om Prakash Duhan/SBIN0011444/Shop Rent July 2025</t>
  </si>
  <si>
    <t>1,79,639.00</t>
  </si>
  <si>
    <t>July Rent</t>
  </si>
  <si>
    <t>SL1610</t>
  </si>
  <si>
    <t>Expense</t>
  </si>
  <si>
    <t>Rent</t>
  </si>
  <si>
    <t>TSV-07-0023</t>
  </si>
  <si>
    <t>NEFT/IDFBH25187548934/Subhash Chander/HDFC0001562/Shop Rent July 2025</t>
  </si>
  <si>
    <t>1,69,639.00</t>
  </si>
  <si>
    <t>KN3817</t>
  </si>
  <si>
    <t>TSV-07-0024</t>
  </si>
  <si>
    <t>NEFT/IDFBH25187548935/Pooja Sood/INDB0000724/Shop Rent July 2025</t>
  </si>
  <si>
    <t>1,29,519.00</t>
  </si>
  <si>
    <t>SC3567</t>
  </si>
  <si>
    <t>TSV-07-0025</t>
  </si>
  <si>
    <t>NEFT/IDFBH25187548936/Kaushalya Devi/CNRB0002379/Shop Rent July 2025</t>
  </si>
  <si>
    <t>1,02,519.00</t>
  </si>
  <si>
    <t>UN3668</t>
  </si>
  <si>
    <t>TSV-07-0026</t>
  </si>
  <si>
    <t>UPI/MOB/555323218896/SC3567</t>
  </si>
  <si>
    <t>1,03,875.00</t>
  </si>
  <si>
    <t>UC567-0451</t>
  </si>
  <si>
    <t>TSV-07-0027</t>
  </si>
  <si>
    <t>UPI/MOB/539422141976/UN3668</t>
  </si>
  <si>
    <t>1,04,226.00</t>
  </si>
  <si>
    <t>T625</t>
  </si>
  <si>
    <t>TSV-07-0028</t>
  </si>
  <si>
    <t>UPI/MOB/555306719548/UN3668</t>
  </si>
  <si>
    <t>1,05,026.00</t>
  </si>
  <si>
    <t>T644</t>
  </si>
  <si>
    <t>TSV-07-0029</t>
  </si>
  <si>
    <t>UPI/MOB/950695538884/KN3817</t>
  </si>
  <si>
    <t>1,05,676.00</t>
  </si>
  <si>
    <t>T199</t>
  </si>
  <si>
    <t>TSV-07-0030</t>
  </si>
  <si>
    <t>UPI/MOB/518758120806/UN3668</t>
  </si>
  <si>
    <t>1,05,832.00</t>
  </si>
  <si>
    <t>T624</t>
  </si>
  <si>
    <t>TSV-07-0031</t>
  </si>
  <si>
    <t>UPI/MOB/518739909608/UN3668</t>
  </si>
  <si>
    <t>1,06,092.00</t>
  </si>
  <si>
    <t>T614</t>
  </si>
  <si>
    <t>TSV-07-0032</t>
  </si>
  <si>
    <t>UPI/MOB/518712434320/UN3668</t>
  </si>
  <si>
    <t>1,06,443.00</t>
  </si>
  <si>
    <t>TSV-07-0033</t>
  </si>
  <si>
    <t>UPI/MOB/518878880252/UN3668</t>
  </si>
  <si>
    <t>1,07,753.00</t>
  </si>
  <si>
    <t>T615</t>
  </si>
  <si>
    <t>TSV-07-0034</t>
  </si>
  <si>
    <t>UPI/MOB/542772867065/UN3668</t>
  </si>
  <si>
    <t>1,08,884.00</t>
  </si>
  <si>
    <t>T633</t>
  </si>
  <si>
    <t>TSV-07-0035</t>
  </si>
  <si>
    <t>ATM/CASH DEPOSIT/7555/GURGAON SECTOR 67 BRANGURGA</t>
  </si>
  <si>
    <t>1,57,884.00</t>
  </si>
  <si>
    <t>TSV-07-0036</t>
  </si>
  <si>
    <t>NEFT/IDFBH25188978403/Shubham/UCBA0000105/Salary June 2025</t>
  </si>
  <si>
    <t>1,39,984.00</t>
  </si>
  <si>
    <t>Salary</t>
  </si>
  <si>
    <t>TSV-07-0037</t>
  </si>
  <si>
    <t>NEFT/IDFBH25188978405/Vishal/KKBK0000197/Salary June 2025</t>
  </si>
  <si>
    <t>1,21,534.00</t>
  </si>
  <si>
    <t>TSV-07-0038</t>
  </si>
  <si>
    <t>NEFT/IDFBH25188978406/Jitendra singh/IOBA0003714/Salary June 2025</t>
  </si>
  <si>
    <t>1,13,100.00</t>
  </si>
  <si>
    <t>TSV-07-0039</t>
  </si>
  <si>
    <t>NEFT/IDFBH25188978407/Aryavart Singh/INDB0000148/Salary June 2025</t>
  </si>
  <si>
    <t>TSV-07-0040</t>
  </si>
  <si>
    <t>NEFT/IDFBH25188978408/Kamal Singh/KKBK0000287/Salary June 2025</t>
  </si>
  <si>
    <t>TSV-07-0041</t>
  </si>
  <si>
    <t>NEFT/IDFBH25188978409/Mohsin Khan/KKBK0004660/Salary June 2025</t>
  </si>
  <si>
    <t>TSV-07-0042</t>
  </si>
  <si>
    <t>NEFT/IDFBH25188978410/Subodh/CNRB0003223/Salary June 2025</t>
  </si>
  <si>
    <t>TSV-07-0043</t>
  </si>
  <si>
    <t>NEFT/IDFBH25188978412/Jatin Kumar Yadav/KKBK0000261/Salary June 2025</t>
  </si>
  <si>
    <t>TSV-07-0044</t>
  </si>
  <si>
    <t>UPI/MOB/107719019421/UN3668</t>
  </si>
  <si>
    <t>T650</t>
  </si>
  <si>
    <t>TSV-07-0045</t>
  </si>
  <si>
    <t>UPI/MOB/518835417144/UN3668</t>
  </si>
  <si>
    <t>T616</t>
  </si>
  <si>
    <t>TSV-07-0046</t>
  </si>
  <si>
    <t>NEFT RETURN/IDFBH25188978403/Any Other Reason</t>
  </si>
  <si>
    <t>Salary Return Shubham</t>
  </si>
  <si>
    <t>NEFT Return</t>
  </si>
  <si>
    <t>TSV-07-0047</t>
  </si>
  <si>
    <t>UPI/MOB/386252685628/UN3668</t>
  </si>
  <si>
    <t>T626</t>
  </si>
  <si>
    <t>TSV-07-0048</t>
  </si>
  <si>
    <t>NEFT RETURN/IDFBH25188978405/</t>
  </si>
  <si>
    <t>Salary Return Vishal</t>
  </si>
  <si>
    <t>TSV-07-0049</t>
  </si>
  <si>
    <t>UPI/MOB/386267631067/UN3668</t>
  </si>
  <si>
    <t>T631</t>
  </si>
  <si>
    <t>TSV-07-0050</t>
  </si>
  <si>
    <t>UPI/MOB/810758340561/SL1610</t>
  </si>
  <si>
    <t>UC610-0118</t>
  </si>
  <si>
    <t>TSV-07-0051</t>
  </si>
  <si>
    <t>UPI/MOB/518958366350/SC3567</t>
  </si>
  <si>
    <t>UC567-0479</t>
  </si>
  <si>
    <t>TSV-07-0052</t>
  </si>
  <si>
    <t>UPI/MOB/386286067193/KN3817</t>
  </si>
  <si>
    <t>TSV-07-0053</t>
  </si>
  <si>
    <t>UPI/MOB/555566641824/KN3817</t>
  </si>
  <si>
    <t>TSV-07-0054</t>
  </si>
  <si>
    <t>UPI/MOB/386294678260/KN3817</t>
  </si>
  <si>
    <t>Mistakenly payment made</t>
  </si>
  <si>
    <t>TSV-07-0055</t>
  </si>
  <si>
    <t>Ecom/60865295/AvenuesInd/https//www/2526055E00238</t>
  </si>
  <si>
    <t>Electricity</t>
  </si>
  <si>
    <t>TSV-07-0056</t>
  </si>
  <si>
    <t>UPI/MOB/386314438233/SC3567</t>
  </si>
  <si>
    <t>UC567-0481</t>
  </si>
  <si>
    <t>TSV-07-0057</t>
  </si>
  <si>
    <t>UPI/MOB/519031351287/UN3668</t>
  </si>
  <si>
    <t>T643</t>
  </si>
  <si>
    <t>TSV-07-0058</t>
  </si>
  <si>
    <t>UPI/MOB/687537596889/UN3668</t>
  </si>
  <si>
    <t>T641</t>
  </si>
  <si>
    <t>TSV-07-0059</t>
  </si>
  <si>
    <t>UPI/MOB/107806555173/SL1610</t>
  </si>
  <si>
    <t>UC610-0124</t>
  </si>
  <si>
    <t>TSV-07-0060</t>
  </si>
  <si>
    <t>UPI/MOB/519036117727/SC3567</t>
  </si>
  <si>
    <t>UC567-0486</t>
  </si>
  <si>
    <t>TSV-07-0061</t>
  </si>
  <si>
    <t>UPI/MOB/567697460175/SL1610</t>
  </si>
  <si>
    <t>UC610-0126</t>
  </si>
  <si>
    <t>TSV-07-0062</t>
  </si>
  <si>
    <t>UPI/MOB/519017415742/SC3567</t>
  </si>
  <si>
    <t>UC567-0488</t>
  </si>
  <si>
    <t>TSV-07-0063</t>
  </si>
  <si>
    <t>UPI/MOB/555608168309/UN3668</t>
  </si>
  <si>
    <t>T627,628</t>
  </si>
  <si>
    <t>TSV-07-0064</t>
  </si>
  <si>
    <t>UPI/MOB/519019804742/UN3668</t>
  </si>
  <si>
    <t>T645</t>
  </si>
  <si>
    <t>TSV-07-0065</t>
  </si>
  <si>
    <t>UPI/MOB/555623178381/SL1610</t>
  </si>
  <si>
    <t>UC610-0120</t>
  </si>
  <si>
    <t>TSV-07-0066</t>
  </si>
  <si>
    <t>UPI/MOB/519048496290/UPI Payment</t>
  </si>
  <si>
    <t>T261</t>
  </si>
  <si>
    <t>TSV-07-0067</t>
  </si>
  <si>
    <t>NEFT/IDFBH25190541698/Shubham/UCBA0000105</t>
  </si>
  <si>
    <t>TSV-07-0068</t>
  </si>
  <si>
    <t>NEFT RETURN/IDFBH25190541698/Any Other Reason</t>
  </si>
  <si>
    <t>TSV-07-0069</t>
  </si>
  <si>
    <t>UPI/MOB/519173452496/KN3817</t>
  </si>
  <si>
    <t>TSV-07-0070</t>
  </si>
  <si>
    <t>UPI/MOB/555733283704/KN3817</t>
  </si>
  <si>
    <t>T211</t>
  </si>
  <si>
    <t>TSV-07-0071</t>
  </si>
  <si>
    <t>UPI/MOB/519117086045/UN3668</t>
  </si>
  <si>
    <t>T646</t>
  </si>
  <si>
    <t>TSV-07-0072</t>
  </si>
  <si>
    <t>UPI/MOB/519106118564/UN3668</t>
  </si>
  <si>
    <t>T653</t>
  </si>
  <si>
    <t>TSV-07-0073</t>
  </si>
  <si>
    <t>UPI/MOB/519176768323/KN3817</t>
  </si>
  <si>
    <t>T208</t>
  </si>
  <si>
    <t>TSV-07-0074</t>
  </si>
  <si>
    <t>Ecom/60888037/AvenuesInd/https//ord/UN3668RoyaltyP</t>
  </si>
  <si>
    <t>Royalty Payment</t>
  </si>
  <si>
    <t>Royalty</t>
  </si>
  <si>
    <t>TSV-07-0075</t>
  </si>
  <si>
    <t>Ecom/60888101/AvenuesInd/https//ord/KN3817RoyaltyP</t>
  </si>
  <si>
    <t>TSV-07-0076</t>
  </si>
  <si>
    <t>UPI/MOB/107871981176/UN3668</t>
  </si>
  <si>
    <t>T649</t>
  </si>
  <si>
    <t>TSV-07-0077</t>
  </si>
  <si>
    <t>UPI/MOB/734030964822/UN3668</t>
  </si>
  <si>
    <t>T647</t>
  </si>
  <si>
    <t>TSV-07-0078</t>
  </si>
  <si>
    <t>UPI/MOB/519103111107/KN3817</t>
  </si>
  <si>
    <t>T228</t>
  </si>
  <si>
    <t>TSV-07-0079</t>
  </si>
  <si>
    <t>UPI/MOB/519119313926/SL1610</t>
  </si>
  <si>
    <t>UC610-0128</t>
  </si>
  <si>
    <t>TSV-07-0080</t>
  </si>
  <si>
    <t>UPI/MOB/851886291925/SL1610</t>
  </si>
  <si>
    <t>UC610-0131</t>
  </si>
  <si>
    <t>TSV-07-0081</t>
  </si>
  <si>
    <t>UPI/MOB/519255695889/SL1610</t>
  </si>
  <si>
    <t>UC610-0121</t>
  </si>
  <si>
    <t>TSV-07-0082</t>
  </si>
  <si>
    <t>UPI/MOB/107933232495/UN3668</t>
  </si>
  <si>
    <t>T640</t>
  </si>
  <si>
    <t>TSV-07-0083</t>
  </si>
  <si>
    <t>UPI/MOB/519250348840/UN3668</t>
  </si>
  <si>
    <t>T665</t>
  </si>
  <si>
    <t>TSV-07-0084</t>
  </si>
  <si>
    <t>UPI/MOB/519290306039/UN3668</t>
  </si>
  <si>
    <t>T637</t>
  </si>
  <si>
    <t>TSV-07-0085</t>
  </si>
  <si>
    <t>UPI/MOB/519365059755/UN3668</t>
  </si>
  <si>
    <t>T623</t>
  </si>
  <si>
    <t>TSV-07-0086</t>
  </si>
  <si>
    <t>UPI/MOB/107971638994/UN3668</t>
  </si>
  <si>
    <t>T662</t>
  </si>
  <si>
    <t>TSV-07-0087</t>
  </si>
  <si>
    <t>UPI/MOB/687676833032/UN3668</t>
  </si>
  <si>
    <t>T661</t>
  </si>
  <si>
    <t>TSV-07-0088</t>
  </si>
  <si>
    <t>UPI/MOB/798360773244/SC3567</t>
  </si>
  <si>
    <t>UC567-0455</t>
  </si>
  <si>
    <t>TSV-07-0089</t>
  </si>
  <si>
    <t>UPI/MOB/519335569909/KN3817</t>
  </si>
  <si>
    <t>T229</t>
  </si>
  <si>
    <t>TSV-07-0090</t>
  </si>
  <si>
    <t>IMPS-OPM/519321641483/AAKASH/CNRB0018216/1908/</t>
  </si>
  <si>
    <t>Salary Aakash</t>
  </si>
  <si>
    <t>TSV-07-0091</t>
  </si>
  <si>
    <t>UPI/MOB/958512636611/SC3567</t>
  </si>
  <si>
    <t>UC567-0389</t>
  </si>
  <si>
    <t>TSV-07-0092</t>
  </si>
  <si>
    <t>UPI/MOB/519492684256/SL1610</t>
  </si>
  <si>
    <t>UC610-0130</t>
  </si>
  <si>
    <t>TSV-07-0093</t>
  </si>
  <si>
    <t>UPI/MOB/041581396428/SL1610</t>
  </si>
  <si>
    <t>UC610-0133</t>
  </si>
  <si>
    <t>TSV-07-0094</t>
  </si>
  <si>
    <t>UPI/MOB/783022623076/SL1610</t>
  </si>
  <si>
    <t>UC610-0141</t>
  </si>
  <si>
    <t>TSV-07-0095</t>
  </si>
  <si>
    <t>UPI/MOB/108036062602/SL1610</t>
  </si>
  <si>
    <t>UC610-0135</t>
  </si>
  <si>
    <t>TSV-07-0096</t>
  </si>
  <si>
    <t>Ecom/60924977/IndiaIdeas/TPDDL/KN3817ElectricityPa</t>
  </si>
  <si>
    <t>TSV-07-0097</t>
  </si>
  <si>
    <t>UPI/MOB/519519114581/KN3817</t>
  </si>
  <si>
    <t>T236</t>
  </si>
  <si>
    <t>TSV-07-0098</t>
  </si>
  <si>
    <t>UPI/MOB/386581447637/KN3817</t>
  </si>
  <si>
    <t>T200</t>
  </si>
  <si>
    <t>TSV-07-0099</t>
  </si>
  <si>
    <t>UPI/MOB/519629906524/SL1610</t>
  </si>
  <si>
    <t>UC610-0136</t>
  </si>
  <si>
    <t>TSV-07-0100</t>
  </si>
  <si>
    <t>UPI/MOB/556209012191/SC3567</t>
  </si>
  <si>
    <t>UC567-0498</t>
  </si>
  <si>
    <t>TSV-07-0101</t>
  </si>
  <si>
    <t>UPI/MOB/730329331700/SC3567</t>
  </si>
  <si>
    <t>UC567-0493</t>
  </si>
  <si>
    <t>TSV-07-0102</t>
  </si>
  <si>
    <t>UPI/MOB/556273548394/UN3668</t>
  </si>
  <si>
    <t>T666</t>
  </si>
  <si>
    <t>TSV-07-0103</t>
  </si>
  <si>
    <t>UPI/MOB/556291879097/UN3668</t>
  </si>
  <si>
    <t>T634</t>
  </si>
  <si>
    <t>TSV-07-0104</t>
  </si>
  <si>
    <t>UPI/MOB/182437268414/SL1610</t>
  </si>
  <si>
    <t>UC610-0132</t>
  </si>
  <si>
    <t>TSV-07-0105</t>
  </si>
  <si>
    <t>IMPS-OPW/519619212270/Jitendra Singh/IOBA0003714/5211/</t>
  </si>
  <si>
    <t>Advance Salary Jitender</t>
  </si>
  <si>
    <t>TSV-07-0106</t>
  </si>
  <si>
    <t>UPI/MOB/556256845209/SL1610</t>
  </si>
  <si>
    <t>UC610-0137</t>
  </si>
  <si>
    <t>TSV-07-0107</t>
  </si>
  <si>
    <t>UPI/MOB/108159712731/UN3668</t>
  </si>
  <si>
    <t>T703</t>
  </si>
  <si>
    <t>TSV-07-0108</t>
  </si>
  <si>
    <t>UPI/MOB/687823846084/UN3668</t>
  </si>
  <si>
    <t>T681</t>
  </si>
  <si>
    <t>TSV-07-0109</t>
  </si>
  <si>
    <t>UPI/MOB/108193126864/SL1610</t>
  </si>
  <si>
    <t>UC610-0140</t>
  </si>
  <si>
    <t>TSV-07-0110</t>
  </si>
  <si>
    <t>UPI/MOB/519758419868/SL1610</t>
  </si>
  <si>
    <t>UC610-0139</t>
  </si>
  <si>
    <t>TSV-07-0111</t>
  </si>
  <si>
    <t>NEFT/IDFBH25197027977/Shubham/UCBA0000105/Bulk Salary Transfer Test</t>
  </si>
  <si>
    <t>Test Transaction</t>
  </si>
  <si>
    <t>Miscellaneous</t>
  </si>
  <si>
    <t>TSV-07-0112</t>
  </si>
  <si>
    <t>NEFT/IDFBH25197027979/Vishal/KKBK0000197/Bulk Salary Transfer Test</t>
  </si>
  <si>
    <t>TSV-07-0113</t>
  </si>
  <si>
    <t>UPI/MOB/160653146510/SC3567</t>
  </si>
  <si>
    <t>UC567-0494</t>
  </si>
  <si>
    <t>TSV-07-0114</t>
  </si>
  <si>
    <t>UPI/MOB/644950710429/SC3567</t>
  </si>
  <si>
    <t>UC567-0489, UC567-0500</t>
  </si>
  <si>
    <t>TSV-07-0115</t>
  </si>
  <si>
    <t>UPI/MOB/519735134704/UN3668</t>
  </si>
  <si>
    <t>T680</t>
  </si>
  <si>
    <t>TSV-07-0116</t>
  </si>
  <si>
    <t>UPI/CR/874981958896/Dipankar/AIRP/9540724/SC3567</t>
  </si>
  <si>
    <t>UC567-0603</t>
  </si>
  <si>
    <t>TSV-07-0117</t>
  </si>
  <si>
    <t>UPI/CR/519855792324/MD IMRAN/HDFC/8527549/UN3668</t>
  </si>
  <si>
    <t>T678</t>
  </si>
  <si>
    <t>TSV-07-0118</t>
  </si>
  <si>
    <t>UPI/CR/108249355336/VIMAL KU/PUNB/vimal.9/UN3668</t>
  </si>
  <si>
    <t>T699</t>
  </si>
  <si>
    <t>TSV-07-0119</t>
  </si>
  <si>
    <t>UPI/CR/519878975100/Pushkar /PPIW/8222035/UN3668</t>
  </si>
  <si>
    <t>T690</t>
  </si>
  <si>
    <t>TSV-07-0120</t>
  </si>
  <si>
    <t>UPI/CR/519858219082/ROHIT KH/ICIC/7300415/SC3567</t>
  </si>
  <si>
    <t>UC567-0502</t>
  </si>
  <si>
    <t>TSV-07-0121</t>
  </si>
  <si>
    <t>UPI/CR/005783362256/IKRAR HU/ICIC/9717772/UN3668</t>
  </si>
  <si>
    <t>T711</t>
  </si>
  <si>
    <t>TSV-07-0122</t>
  </si>
  <si>
    <t>UPI/CR/631641744904/RAJA IRF/UCBA/9079954/UN3668</t>
  </si>
  <si>
    <t>T713</t>
  </si>
  <si>
    <t>TSV-07-0123</t>
  </si>
  <si>
    <t>UPI/CR/827177403581/AAKASH/CNRB/ak26750/SC3567</t>
  </si>
  <si>
    <t>UC567-0506</t>
  </si>
  <si>
    <t>TSV-07-0124</t>
  </si>
  <si>
    <t>UPI/CR/002293477094/GEETESH /HDFC/singh.g/KN3817</t>
  </si>
  <si>
    <t>T251</t>
  </si>
  <si>
    <t>TSV-07-0125</t>
  </si>
  <si>
    <t>UPI/CR/386699163961/DEEPANSH/KKBK/8178956/KN3817</t>
  </si>
  <si>
    <t>T210</t>
  </si>
  <si>
    <t>TSV-07-0126</t>
  </si>
  <si>
    <t>UPI/CR/687923975229/NAMITA R/CNRB/9312180/KN3817</t>
  </si>
  <si>
    <t>T241</t>
  </si>
  <si>
    <t>TSV-07-0127</t>
  </si>
  <si>
    <t>Ecom/60997420/AvenuesInd/https//ord/UN3668Royalty</t>
  </si>
  <si>
    <t>TSV-07-0128</t>
  </si>
  <si>
    <t>Ecom/60997489/AvenuesInd/https//ord/KN3817Royalty</t>
  </si>
  <si>
    <t>TSV-07-0129</t>
  </si>
  <si>
    <t>UPI/CR/556520378030/ABHYUDAY/UBIN/abhyudh/UN3668</t>
  </si>
  <si>
    <t>T700</t>
  </si>
  <si>
    <t>TSV-07-0130</t>
  </si>
  <si>
    <t>UPI/CR/108309541403/AAKASH V/HDFC/aakash./SL1610</t>
  </si>
  <si>
    <t>UC610-0143</t>
  </si>
  <si>
    <t>TSV-07-0131</t>
  </si>
  <si>
    <t>UPI/CR/556539595919/AISHWARY/UBIN/aishwar/KN3817</t>
  </si>
  <si>
    <t>T269</t>
  </si>
  <si>
    <t>TSV-07-0132</t>
  </si>
  <si>
    <t>UPI/CR/525238611325/ANIL PAL/BARB/8953439/UN3668</t>
  </si>
  <si>
    <t>T710</t>
  </si>
  <si>
    <t>TSV-07-0133</t>
  </si>
  <si>
    <t>UPI/CR/820465405550/NITI SHU/HDFC/shuklan/UN3668</t>
  </si>
  <si>
    <t>T689</t>
  </si>
  <si>
    <t>TSV-07-0134</t>
  </si>
  <si>
    <t>UPI/CR/108325662473/VISHVA D/HDFC/vishva./UN3668</t>
  </si>
  <si>
    <t>T684</t>
  </si>
  <si>
    <t>TSV-07-0135</t>
  </si>
  <si>
    <t>UPI/CR/519914328025/SUDIPTA /SBIN/9728858/UN3668</t>
  </si>
  <si>
    <t>T692</t>
  </si>
  <si>
    <t>TSV-07-0136</t>
  </si>
  <si>
    <t>UPI/CR/520072944841/ANSHU KU/UCBA/anshuku/UN3668</t>
  </si>
  <si>
    <t>T695</t>
  </si>
  <si>
    <t>TSV-07-0137</t>
  </si>
  <si>
    <t>UPI/CR/520079067564/KAUTUK R/HDFC/9631090/SL1610</t>
  </si>
  <si>
    <t>UC610-0144</t>
  </si>
  <si>
    <t>TSV-07-0138</t>
  </si>
  <si>
    <t>UPI/CR/687981231701/AMMAR ZA/UBIN/a.zain@/UN3668</t>
  </si>
  <si>
    <t>T498</t>
  </si>
  <si>
    <t>TSV-07-0139</t>
  </si>
  <si>
    <t>UPI/CR/520044298021/Sangeeta/SBIN/7091475/UN3668</t>
  </si>
  <si>
    <t>T727</t>
  </si>
  <si>
    <t>TSV-07-0140</t>
  </si>
  <si>
    <t>UPI/CR/520025526214/VIVEK KU/IPOS/9142234/UN3668</t>
  </si>
  <si>
    <t>T709</t>
  </si>
  <si>
    <t>TSV-07-0141</t>
  </si>
  <si>
    <t>UPI/CR/556618592481/PARMEET /ICIC/9729898/UN3668</t>
  </si>
  <si>
    <t>T679</t>
  </si>
  <si>
    <t>TSV-07-0142</t>
  </si>
  <si>
    <t>NEFT/IDFBH25201788565/UCONCEPTS SOLUTIONS PRIVATE LIMITED/ICIC0001842</t>
  </si>
  <si>
    <t>Packaging Material</t>
  </si>
  <si>
    <t>TSV-07-0143</t>
  </si>
  <si>
    <t>NEFT/IDFBH25201790804/UCONCEPTS SOLUTIONS PRIVATE LIMITED/ICIC0001842</t>
  </si>
  <si>
    <t>Chemicals</t>
  </si>
  <si>
    <t>TSV-07-0144</t>
  </si>
  <si>
    <t>UPI/CR/556714700548/DEVANSH /HDFC/9599909/SC3567</t>
  </si>
  <si>
    <t>UC567-0503</t>
  </si>
  <si>
    <t>TSV-07-0145</t>
  </si>
  <si>
    <t>UPI/CR/218426440280/NITIN KU/HDFC/8860185/SL1610</t>
  </si>
  <si>
    <t>UC610-0149</t>
  </si>
  <si>
    <t>TSV-07-0146</t>
  </si>
  <si>
    <t>UPI/CR/556787770689/Priyansh/SBIN/6299854/SL1610</t>
  </si>
  <si>
    <t>UC610-0155</t>
  </si>
  <si>
    <t>TSV-07-0147</t>
  </si>
  <si>
    <t>UPI/CR/180820132168/AVINASH /SBIN/8210708/UN3668</t>
  </si>
  <si>
    <t>T724</t>
  </si>
  <si>
    <t>TSV-07-0148</t>
  </si>
  <si>
    <t>UPI/CR/885874637470/PRASHAST/SBIN/9119890/KN3817</t>
  </si>
  <si>
    <t>T146</t>
  </si>
  <si>
    <t>TSV-07-0149</t>
  </si>
  <si>
    <t>UPI/CR/770872225354/Ajay Si/IDFB/7053778/UN3668</t>
  </si>
  <si>
    <t>T718</t>
  </si>
  <si>
    <t>TSV-07-0150</t>
  </si>
  <si>
    <t>UPI/CR/520136834274/MR AKHIL/SCBL/8971488/SL1610</t>
  </si>
  <si>
    <t>UC610-0146</t>
  </si>
  <si>
    <t>TSV-07-0151</t>
  </si>
  <si>
    <t>UPI/CR/556776860502/ABHI JIN/CNRB/jindala/SL1610</t>
  </si>
  <si>
    <t>UC610-0158</t>
  </si>
  <si>
    <t>TSV-07-0152</t>
  </si>
  <si>
    <t>UPI/CR/953158594217/PRITY/UTIB/6395667/KN3817</t>
  </si>
  <si>
    <t>T260</t>
  </si>
  <si>
    <t>TSV-07-0153</t>
  </si>
  <si>
    <t>UPI/CR/108462560884/PARUL GA/HDFC/mananpl/SC3567</t>
  </si>
  <si>
    <t>UC567-0499</t>
  </si>
  <si>
    <t>TSV-07-0154</t>
  </si>
  <si>
    <t>UPI/CR/453908495171/SUKANYA /SBIN/9088786/SL1610</t>
  </si>
  <si>
    <t>UC610-0152</t>
  </si>
  <si>
    <t>TSV-07-0155</t>
  </si>
  <si>
    <t>UPI/CR/520243000758/ABHYUDAY/UBIN/abhyudh/UN3668</t>
  </si>
  <si>
    <t>T721</t>
  </si>
  <si>
    <t>TSV-07-0156</t>
  </si>
  <si>
    <t>UPI/CR/646732408506/ANKITH G/ICIC/ankithg/SL1610</t>
  </si>
  <si>
    <t>UC610-0147</t>
  </si>
  <si>
    <t>TSV-07-0157</t>
  </si>
  <si>
    <t>NEFT/IDFBH25202955381/MEDIA SOLUTION SME/ICIC0003374</t>
  </si>
  <si>
    <t>Newspaper Ad for Recruitement</t>
  </si>
  <si>
    <t>Advertisement</t>
  </si>
  <si>
    <t>TSV-07-0158</t>
  </si>
  <si>
    <t>UPI/CR/165346046706/AMAN SA/SBIN/amansab/SC3567</t>
  </si>
  <si>
    <t>UC567-0511</t>
  </si>
  <si>
    <t>TSV-07-0159</t>
  </si>
  <si>
    <t>UPI/CR/520203432771/ABHISHEK/HDFC/9999253/KN3817</t>
  </si>
  <si>
    <t>T281</t>
  </si>
  <si>
    <t>TSV-07-0160</t>
  </si>
  <si>
    <t>UPI/CR/688074057679/SOMANSH /UBIN/9999007/SC3567</t>
  </si>
  <si>
    <t>UC567-0321</t>
  </si>
  <si>
    <t>TSV-07-0161</t>
  </si>
  <si>
    <t>UPI/CR/520262269894/VIBHUTI /PUNB/vibhuti/KN3817</t>
  </si>
  <si>
    <t>T112</t>
  </si>
  <si>
    <t>TSV-07-0162</t>
  </si>
  <si>
    <t>UPI/CR/520205628966/VARUN DH/HDFC/9311047/SL1610</t>
  </si>
  <si>
    <t>UC610-0154</t>
  </si>
  <si>
    <t>TSV-07-0163</t>
  </si>
  <si>
    <t>UPI/CR/520294656823/CHAITANY/FDRL/chaitan/na</t>
  </si>
  <si>
    <t>UNKNOWN</t>
  </si>
  <si>
    <t>TSV-07-0164</t>
  </si>
  <si>
    <t>UPI/CR/520206775118/RAJESH K/HDFC/7091090/UN3668</t>
  </si>
  <si>
    <t>T722</t>
  </si>
  <si>
    <t>TSV-07-0165</t>
  </si>
  <si>
    <t>IFT/10061528388/Mr. Sarthi Bharara /6689312/UPI/IFT/520353276839/IDFB/KN3817</t>
  </si>
  <si>
    <t>T270</t>
  </si>
  <si>
    <t>TSV-07-0166</t>
  </si>
  <si>
    <t>UPI/CR/108516410172/Kumar S/SBIN/ftshiva/UN3668</t>
  </si>
  <si>
    <t>T607</t>
  </si>
  <si>
    <t>TSV-07-0167</t>
  </si>
  <si>
    <t>UPI/CR/520382868715/RITESH /SBIN/7488771/UN3668</t>
  </si>
  <si>
    <t>T735</t>
  </si>
  <si>
    <t>TSV-07-0168</t>
  </si>
  <si>
    <t>UPI/CR/556980422696/TANYA KU/SBIN/jaiswal/UN3668</t>
  </si>
  <si>
    <t>T723</t>
  </si>
  <si>
    <t>TSV-07-0169</t>
  </si>
  <si>
    <t>UPI/CR/280971124833/NAMAN PA/FDRL/9113465/UN3668</t>
  </si>
  <si>
    <t>T743</t>
  </si>
  <si>
    <t>TSV-07-0170</t>
  </si>
  <si>
    <t>UPI/CR/386909454731/Mr Umang/IDIB/9891550/UN3668</t>
  </si>
  <si>
    <t>T739,T740</t>
  </si>
  <si>
    <t>TSV-07-0171</t>
  </si>
  <si>
    <t>UPI/CR/520369783414/NISHTHA /UTIB/7455040/UN3668</t>
  </si>
  <si>
    <t>T732</t>
  </si>
  <si>
    <t>TSV-07-0172</t>
  </si>
  <si>
    <t>UPI/CR/520379794147/NISHTHA /UTIB/7455040/Sent us</t>
  </si>
  <si>
    <t>T733</t>
  </si>
  <si>
    <t>TSV-07-0173</t>
  </si>
  <si>
    <t>UPI/CR/228703109978/EKLAVYA /KKBK/6287852/UN3668</t>
  </si>
  <si>
    <t>T682</t>
  </si>
  <si>
    <t>TSV-07-0174</t>
  </si>
  <si>
    <t>UPI/CR/509089757502/EKLAVYA /KKBK/6287852/UN3668</t>
  </si>
  <si>
    <t>T683</t>
  </si>
  <si>
    <t>TSV-07-0175</t>
  </si>
  <si>
    <t>UPI/CR/198370850770/RAKHI GU/ICIC/7838641/UN3668</t>
  </si>
  <si>
    <t>T754</t>
  </si>
  <si>
    <t>TSV-07-0176</t>
  </si>
  <si>
    <t>UPI/CR/305702742894/VEERA VE/SBIN/8179078/SL1610</t>
  </si>
  <si>
    <t>UC610-0150</t>
  </si>
  <si>
    <t>TSV-07-0177</t>
  </si>
  <si>
    <t>UPI/CR/557035177511/SUMIT CH/UTIB/ppsaron/KN3817</t>
  </si>
  <si>
    <t>T297</t>
  </si>
  <si>
    <t>TSV-07-0178</t>
  </si>
  <si>
    <t>UPI/CR/108576526165/ASHWANI /HDFC/ashwani/PAY BY</t>
  </si>
  <si>
    <t>T671, T672</t>
  </si>
  <si>
    <t>TSV-07-0179</t>
  </si>
  <si>
    <t>UPI/CR/386948201398/SUJEET /KKBK/8090886/KN3817</t>
  </si>
  <si>
    <t>T294</t>
  </si>
  <si>
    <t>TSV-07-0180</t>
  </si>
  <si>
    <t>UPI/CR/108588291558/SUYASH M/HDFC/s.malho/SL1610</t>
  </si>
  <si>
    <t>1,00,482.09</t>
  </si>
  <si>
    <t>UC610-0160</t>
  </si>
  <si>
    <t>TSV-07-0181</t>
  </si>
  <si>
    <t>UPI/CR/144698941715/PRIYANSH/CNRB/7678470/UN3668</t>
  </si>
  <si>
    <t>1,02,322.09</t>
  </si>
  <si>
    <t>T753</t>
  </si>
  <si>
    <t>TSV-07-0182</t>
  </si>
  <si>
    <t>UPI/CR/108592435499/ARPIT SH/HDFC/arpitsh/SC3567</t>
  </si>
  <si>
    <t>1,02,649.09</t>
  </si>
  <si>
    <t>UC567-0507</t>
  </si>
  <si>
    <t>TSV-07-0183</t>
  </si>
  <si>
    <t>UPI/CR/520438449541/ANURAG /SBIN/vernura/KN3817</t>
  </si>
  <si>
    <t>1,03,136.09</t>
  </si>
  <si>
    <t>T248</t>
  </si>
  <si>
    <t>TSV-07-0184</t>
  </si>
  <si>
    <t>UPI/CR/951439238253/DIKSHA G/ICIC/9359385/KN3817</t>
  </si>
  <si>
    <t>1,03,458.09</t>
  </si>
  <si>
    <t>T282</t>
  </si>
  <si>
    <t>TSV-07-0185</t>
  </si>
  <si>
    <t>UPI/CR/520536360676/TANWIR H/HDFC/7979925/SL1610</t>
  </si>
  <si>
    <t>1,04,302.09</t>
  </si>
  <si>
    <t>UC610-0159</t>
  </si>
  <si>
    <t>TSV-07-0186</t>
  </si>
  <si>
    <t>UPI/CR/520561942843/SUMIT CH/IDFB/9711722/SC3567</t>
  </si>
  <si>
    <t>1,04,411.09</t>
  </si>
  <si>
    <t xml:space="preserve">UC567-0388 </t>
  </si>
  <si>
    <t>TSV-07-0187</t>
  </si>
  <si>
    <t>UPI/CR/108629953208/AVADHUT /HDFC/avadhut/laundry</t>
  </si>
  <si>
    <t>1,07,411.09</t>
  </si>
  <si>
    <t>Package</t>
  </si>
  <si>
    <t>TSV-07-0188</t>
  </si>
  <si>
    <t>UPI/CR/520514565892/AYUSH G/SBIN/9670987/SC3567</t>
  </si>
  <si>
    <t>1,07,814.09</t>
  </si>
  <si>
    <t>UC567-0520</t>
  </si>
  <si>
    <t>TSV-07-0189</t>
  </si>
  <si>
    <t>UPI/CR/108639615750/JITENDRA/SBIN/jitendr/PAY BY</t>
  </si>
  <si>
    <t>1,09,144.09</t>
  </si>
  <si>
    <t>T751</t>
  </si>
  <si>
    <t>TSV-07-0190</t>
  </si>
  <si>
    <t>UPI/CR/520540927915/AAYUSHMA/HDFC/8287626/SC3567</t>
  </si>
  <si>
    <t>1,09,569.09</t>
  </si>
  <si>
    <t>UC567-0526</t>
  </si>
  <si>
    <t>TSV-07-0191</t>
  </si>
  <si>
    <t>UPI/CR/520572532649/Stuti V/SBIN/sttverm/SL1610</t>
  </si>
  <si>
    <t>1,09,923.09</t>
  </si>
  <si>
    <t>UC610-0162</t>
  </si>
  <si>
    <t>TSV-07-0192</t>
  </si>
  <si>
    <t>UPI/CR/781313745518/SUNNY DA/SBIN/7978127/UN3668</t>
  </si>
  <si>
    <t>1,10,508.09</t>
  </si>
  <si>
    <t>T771</t>
  </si>
  <si>
    <t>TSV-07-0193</t>
  </si>
  <si>
    <t>UPI/CR/520552543580/KAUTUK R/UTIB/9631090/SL1610</t>
  </si>
  <si>
    <t>1,11,457.09</t>
  </si>
  <si>
    <t>UC610-0157 ,UC610-0151</t>
  </si>
  <si>
    <t>TSV-07-0194</t>
  </si>
  <si>
    <t>Ecom/61087742/AvenuesInd/https//ord/ChemicalsforTD</t>
  </si>
  <si>
    <t>Chemicals for TDUN &amp; TDKN</t>
  </si>
  <si>
    <t>TSV-07-0195</t>
  </si>
  <si>
    <t>UPI/CR/458024455166/DUPPALA /SBIN/duppala/SL1610</t>
  </si>
  <si>
    <t>UC610-0163</t>
  </si>
  <si>
    <t>TSV-07-0196</t>
  </si>
  <si>
    <t>UPI/CR/387001061982/AMMAR ZA/UBIN/a.zain@/UN3668</t>
  </si>
  <si>
    <t>T744</t>
  </si>
  <si>
    <t>TSV-07-0197</t>
  </si>
  <si>
    <t>UPI/CR/108647035188/ARSHPREE/HDFC/arshkau/KN3817</t>
  </si>
  <si>
    <t>T263</t>
  </si>
  <si>
    <t>TSV-07-0198</t>
  </si>
  <si>
    <t>UPI/CR/520536253610/SATYAM J/ICIC/satyamj/UPI</t>
  </si>
  <si>
    <t>UC610-0153</t>
  </si>
  <si>
    <t>TSV-07-0199</t>
  </si>
  <si>
    <t>UPI/CR/520542776006/NITIN TY/HDFC/9625676/KN3817</t>
  </si>
  <si>
    <t>T309</t>
  </si>
  <si>
    <t>TSV-07-0200</t>
  </si>
  <si>
    <t>UPI/CR/387022388307/SHAILEND/HDFC/shailen/UN3668</t>
  </si>
  <si>
    <t>T730</t>
  </si>
  <si>
    <t>TSV-07-0201</t>
  </si>
  <si>
    <t>UPI/CR/606552036403/Navneet /SBIN/navneet/UN3668</t>
  </si>
  <si>
    <t>T755</t>
  </si>
  <si>
    <t>TSV-07-0202</t>
  </si>
  <si>
    <t>UPI/CR/520616135103/DIPTI PR/KKBK/7004695/UN3668</t>
  </si>
  <si>
    <t>T759</t>
  </si>
  <si>
    <t>TSV-07-0203</t>
  </si>
  <si>
    <t>Ecom/61100884/AvenuesInd/https//ord/UN3668Royalty</t>
  </si>
  <si>
    <t>TSV-07-0204</t>
  </si>
  <si>
    <t>Ecom/61100909/AvenuesInd/https//ord/KN3817Royalty</t>
  </si>
  <si>
    <t>TSV-07-0205</t>
  </si>
  <si>
    <t>UPI/CR/520679492250/MAMTA P/SBIN/anandpd/SC3567</t>
  </si>
  <si>
    <t>UC567-0528</t>
  </si>
  <si>
    <t>TSV-07-0206</t>
  </si>
  <si>
    <t>UPI/CR/387034508424/SIMRAN/KKBK/7827569/UN3668</t>
  </si>
  <si>
    <t>T761</t>
  </si>
  <si>
    <t>TSV-07-0207</t>
  </si>
  <si>
    <t>UPI/CR/520653994533/AAYUSHMA/HDFC/8287626/Sent us</t>
  </si>
  <si>
    <t>TSV-07-0208</t>
  </si>
  <si>
    <t>UPI/CR/022884788055/Vinay P/SBIN/6392471/UN3668</t>
  </si>
  <si>
    <t>T757</t>
  </si>
  <si>
    <t>TSV-07-0209</t>
  </si>
  <si>
    <t>UPI/CR/557313519099/SHASHANK/ICIC/9766235/UN3668</t>
  </si>
  <si>
    <t>T741</t>
  </si>
  <si>
    <t>TSV-07-0210</t>
  </si>
  <si>
    <t>UPI/CR/156663999346/FARIDA Y/PUNB/9144854/SC3567</t>
  </si>
  <si>
    <t>UC567-0537</t>
  </si>
  <si>
    <t>TSV-07-0211</t>
  </si>
  <si>
    <t>UPI/CR/520702867355/CHINMAY /BARB/chinmay/UN3668</t>
  </si>
  <si>
    <t>T763</t>
  </si>
  <si>
    <t>TSV-07-0212</t>
  </si>
  <si>
    <t>UPI/CR/108748320662/SOHUM MU/HDFC/sohummu/SC3567</t>
  </si>
  <si>
    <t>UC567-0535</t>
  </si>
  <si>
    <t>TSV-07-0213</t>
  </si>
  <si>
    <t>UPI/CR/565929851609/Mr PRIYE/MAHB/priyesh/UN3668</t>
  </si>
  <si>
    <t>T756</t>
  </si>
  <si>
    <t>TSV-07-0214</t>
  </si>
  <si>
    <t>UPI/CR/520836421978/DIYANSHU/ICIC/9873366/SC3567</t>
  </si>
  <si>
    <t>UC567-0522</t>
  </si>
  <si>
    <t>TSV-07-0215</t>
  </si>
  <si>
    <t>UPI/CR/520825102062/NAMAN PA/SBIN/naman.7/na</t>
  </si>
  <si>
    <t>T742</t>
  </si>
  <si>
    <t>TSV-07-0216</t>
  </si>
  <si>
    <t>UPI/CR/961243822085/NAVIN/FDRL/7764082/SL1610</t>
  </si>
  <si>
    <t>UC610-0175</t>
  </si>
  <si>
    <t>TSV-07-0217</t>
  </si>
  <si>
    <t>UPI/CR/387123611016/SHRISTI /PUNB/7307376/UN3668</t>
  </si>
  <si>
    <t>T760</t>
  </si>
  <si>
    <t>TSV-07-0218</t>
  </si>
  <si>
    <t>UPI/CR/582322770412/DHARMA S/HDFC/9003549/SL1610</t>
  </si>
  <si>
    <t>UC610-0173</t>
  </si>
  <si>
    <t>TSV-07-0219</t>
  </si>
  <si>
    <t>UPI/CR/108796885771/BABUL PR/HDFC/priyaba/UN3668</t>
  </si>
  <si>
    <t>T750, T749</t>
  </si>
  <si>
    <t>TSV-07-0220</t>
  </si>
  <si>
    <t>UPI/CR/688331174257/LAKSHYA /KKBK/9529103/SL1610</t>
  </si>
  <si>
    <t>UC610-0174</t>
  </si>
  <si>
    <t>TSV-07-0221</t>
  </si>
  <si>
    <t>UPI/CR/180448681334/UTKARSH /SBIN/utkarsh/SL1610</t>
  </si>
  <si>
    <t>UC610-0168</t>
  </si>
  <si>
    <t>TSV-07-0222</t>
  </si>
  <si>
    <t>UPI/CR/557441646336/Bibhab /SBIN/ranjanv/UN3668</t>
  </si>
  <si>
    <t>T797</t>
  </si>
  <si>
    <t>TSV-07-0223</t>
  </si>
  <si>
    <t>INEFT~TSV~SBIN325209426002~TSVTSV3817</t>
  </si>
  <si>
    <t>Internal Transfer from SBI</t>
  </si>
  <si>
    <t>Internal Transfer</t>
  </si>
  <si>
    <t>TSV-07-0224</t>
  </si>
  <si>
    <t>INEFT~TSV~SBIN325209426271~TSVTSV3567</t>
  </si>
  <si>
    <t>TSV-07-0225</t>
  </si>
  <si>
    <t>INEFT~TSV~SBIN325209427076~TSVTSV1601</t>
  </si>
  <si>
    <t>TSV-07-0226</t>
  </si>
  <si>
    <t>INEFT~TSV~SBIN325209424456~TSVTSV3668</t>
  </si>
  <si>
    <t>TSV-07-0227</t>
  </si>
  <si>
    <t>UPI/CR/520986973864/ANU AGAR/HDFC/9654936/SC3567</t>
  </si>
  <si>
    <t>UC567-0525</t>
  </si>
  <si>
    <t>TSV-07-0228</t>
  </si>
  <si>
    <t>UPI/CR/520928463969/Mrs RAGI/IDIB/raginik/UN3668</t>
  </si>
  <si>
    <t>T785</t>
  </si>
  <si>
    <t>TSV-07-0229</t>
  </si>
  <si>
    <t>UPI/CR/520928476887/Mrs RAGI/IDIB/raginik/UN3668</t>
  </si>
  <si>
    <t>T776</t>
  </si>
  <si>
    <t>TSV-07-0230</t>
  </si>
  <si>
    <t>UPI/CR/688367851547/VIVEK KU/IPOS/9142234/UN3668</t>
  </si>
  <si>
    <t>T787</t>
  </si>
  <si>
    <t>TSV-07-0231</t>
  </si>
  <si>
    <t>UPI/CR/482302912807/AMAN SA/SBIN/amansab/SC3567</t>
  </si>
  <si>
    <t>UC567-0489</t>
  </si>
  <si>
    <t>TSV-07-0232</t>
  </si>
  <si>
    <t>UPI/CR/205197684990/MR LAKSH/SCBL/lakshay/SL1610</t>
  </si>
  <si>
    <t>UC610-0187</t>
  </si>
  <si>
    <t>TSV-07-0233</t>
  </si>
  <si>
    <t>UPI/CR/108847236530/AANCHAL /HDFC/aanchal/KN3817</t>
  </si>
  <si>
    <t>T323</t>
  </si>
  <si>
    <t>TSV-07-0234</t>
  </si>
  <si>
    <t>UPI/CR/387170968218/ANVESHA /KKBK/7753942/KN3817</t>
  </si>
  <si>
    <t>T253</t>
  </si>
  <si>
    <t>TSV-07-0235</t>
  </si>
  <si>
    <t>UPI/CR/941137270400/IKRAR HU/ICIC/9717772/UN3668</t>
  </si>
  <si>
    <t>T714</t>
  </si>
  <si>
    <t>TSV-07-0236</t>
  </si>
  <si>
    <t>UPI/CR/520919251216/GAURAV G/KKBK/gaurav./Dryclea</t>
  </si>
  <si>
    <t>TSV-07-0237</t>
  </si>
  <si>
    <t>UPI/CR/975178125144/KAJAL DE/ICIC/7428469/UN3668</t>
  </si>
  <si>
    <t>T768</t>
  </si>
  <si>
    <t>TSV-07-0238</t>
  </si>
  <si>
    <t>UPI/CR/239714533556/ASUTOSH /SBIN/8455960/UN3668</t>
  </si>
  <si>
    <t>T748</t>
  </si>
  <si>
    <t>TSV-07-0239</t>
  </si>
  <si>
    <t>UPI/CR/025659511088/IKRAR HU/ICIC/9717772/UN3668</t>
  </si>
  <si>
    <t>1,01,422.66</t>
  </si>
  <si>
    <t>T712</t>
  </si>
  <si>
    <t>TSV-07-0240</t>
  </si>
  <si>
    <t>UPI/CR/838818957587/SHREYASH/CNRB/9546127/UN3668</t>
  </si>
  <si>
    <t>1,01,872.66</t>
  </si>
  <si>
    <t>T784</t>
  </si>
  <si>
    <t>TSV-07-0241</t>
  </si>
  <si>
    <t>UPI/CR/521052596769/MUKUL SH/UCBA/9870945/UN3668</t>
  </si>
  <si>
    <t>1,02,080.66</t>
  </si>
  <si>
    <t>T774</t>
  </si>
  <si>
    <t>TSV-07-0242</t>
  </si>
  <si>
    <t>UPI/CR/094240759269/AKARSH/ICIC/8083686/UN3668</t>
  </si>
  <si>
    <t>1,02,700.66</t>
  </si>
  <si>
    <t>T796</t>
  </si>
  <si>
    <t>TSV-07-0243</t>
  </si>
  <si>
    <t>UPI/CR/645848139168/CHANDRA /UJVN/7294181/SL1610</t>
  </si>
  <si>
    <t>1,03,650.66</t>
  </si>
  <si>
    <t>UC610-0167</t>
  </si>
  <si>
    <t>TSV-07-0244</t>
  </si>
  <si>
    <t>UPI/CR/392331590838/SAURAV P/ICIC/saurav-/SC3567</t>
  </si>
  <si>
    <t>1,06,089.66</t>
  </si>
  <si>
    <t>UC567-0519</t>
  </si>
  <si>
    <t>TSV-07-0245</t>
  </si>
  <si>
    <t>UPI/CR/817090496185/VEERA VE/SBIN/8179078/SL1610</t>
  </si>
  <si>
    <t>1,06,624.66</t>
  </si>
  <si>
    <t>UC610-0172</t>
  </si>
  <si>
    <t>TSV-07-0246</t>
  </si>
  <si>
    <t>UPI/CR/521030103228/ANSHUMAN/UTIB/9602192/SL1610</t>
  </si>
  <si>
    <t>1,07,029.66</t>
  </si>
  <si>
    <t>UC610-0181</t>
  </si>
  <si>
    <t>TSV-07-0247</t>
  </si>
  <si>
    <t>UPI/CR/378530842105/MANISH G/KKBK/manish./UPI</t>
  </si>
  <si>
    <t>1,09,029.66</t>
  </si>
  <si>
    <t>TSV-07-0248</t>
  </si>
  <si>
    <t>UPI/CR/521012405681/KRISH NA/PUNB/krishna/UN3668</t>
  </si>
  <si>
    <t>1,09,187.66</t>
  </si>
  <si>
    <t>T777</t>
  </si>
  <si>
    <t>TSV-07-0249</t>
  </si>
  <si>
    <t>UPI/CR/557630815432/Shibu S/SBIN/shibusw/UN3668</t>
  </si>
  <si>
    <t>1,09,759.66</t>
  </si>
  <si>
    <t>T775</t>
  </si>
  <si>
    <t>TSV-07-0250</t>
  </si>
  <si>
    <t>UPI/CR/387240718363/PUNIT KU/ICIC/9122632/UN3668</t>
  </si>
  <si>
    <t>1,10,359.66</t>
  </si>
  <si>
    <t>T795</t>
  </si>
  <si>
    <t>TSV-07-0251</t>
  </si>
  <si>
    <t>UPI/CR/688444733661/PUNIT KU/ICIC/9122632/UN3668</t>
  </si>
  <si>
    <t>1,11,111.66</t>
  </si>
  <si>
    <t>T794</t>
  </si>
  <si>
    <t>TSV-07-0252</t>
  </si>
  <si>
    <t>UPI/CR/521113101865/RAHUL PL/HDFC/7347589/SL1610</t>
  </si>
  <si>
    <t>1,11,348.66</t>
  </si>
  <si>
    <t>UC610-0188</t>
  </si>
  <si>
    <t>TSV-07-0253</t>
  </si>
  <si>
    <t>UPI/CR/557707956498/PIYUSH K/KKBK/piyushd/UN3668</t>
  </si>
  <si>
    <t>1,11,793.66</t>
  </si>
  <si>
    <t>T779</t>
  </si>
  <si>
    <t>TSV-07-0254</t>
  </si>
  <si>
    <t>UPI/CR/521107116006/GARGI R/SBIN/7762874/UN3668</t>
  </si>
  <si>
    <t>1,12,083.66</t>
  </si>
  <si>
    <t>T800</t>
  </si>
  <si>
    <t>TSV-07-0255</t>
  </si>
  <si>
    <t>UPI/CR/521140779564/Harsh V/SBIN/nnharsh/UN3668</t>
  </si>
  <si>
    <t>1,12,503.66</t>
  </si>
  <si>
    <t>T804</t>
  </si>
  <si>
    <t>TSV-07-0256</t>
  </si>
  <si>
    <t>UPI/CR/521116724200/TANWIR H/HDFC/7979925/SL1610</t>
  </si>
  <si>
    <t>1,13,202.66</t>
  </si>
  <si>
    <t>UC610-0184</t>
  </si>
  <si>
    <t>TSV-07-0257</t>
  </si>
  <si>
    <t>UPI/CR/993328023385/AMAN SA/SBIN/amansab/SC3567</t>
  </si>
  <si>
    <t>1,13,350.71</t>
  </si>
  <si>
    <t>UC567-0547</t>
  </si>
  <si>
    <t>TSV-07-0258</t>
  </si>
  <si>
    <t>UPI/CR/521218589950/USHA DE/SBIN/8578074/KN3817</t>
  </si>
  <si>
    <t>1,13,805.71</t>
  </si>
  <si>
    <t>TSV-07-0259</t>
  </si>
  <si>
    <t>UPI/CR/109001458486/KABIR/SBIN/kabirch/KN3817</t>
  </si>
  <si>
    <t>1,14,029.71</t>
  </si>
  <si>
    <t>T340</t>
  </si>
  <si>
    <t>TSV-07-0260</t>
  </si>
  <si>
    <t>UPI/CR/688498418080/Priyanka/SBIN/7000366/UN3668</t>
  </si>
  <si>
    <t>1,14,929.71</t>
  </si>
  <si>
    <t>T737</t>
  </si>
  <si>
    <t>TSV-07-0261</t>
  </si>
  <si>
    <t>UPI/CR/557863068688/SIMRAN P/HDFC/8700260/KN3817</t>
  </si>
  <si>
    <t>1,15,181.71</t>
  </si>
  <si>
    <t>T360</t>
  </si>
  <si>
    <t>TSV-07-0262</t>
  </si>
  <si>
    <t>RTGS/MAHBR52025073121234259/ALISHA ALI SHEIKH/MAHB0002472//PHOB/...</t>
  </si>
  <si>
    <t>3,50,000.00</t>
  </si>
  <si>
    <t>4,65,181.71</t>
  </si>
  <si>
    <t>From Alisha Sheikh</t>
  </si>
  <si>
    <t>TSV-07-0263</t>
  </si>
  <si>
    <t>UPI/CR/557865948644/MUSKAN /SBIN/lovelym/UN3668</t>
  </si>
  <si>
    <t>4,65,973.71</t>
  </si>
  <si>
    <t>T802</t>
  </si>
  <si>
    <t>TSV-07-0264</t>
  </si>
  <si>
    <t>UPI/CR/521272930091/ANIRUDH /UTIB/8879781/SC3567</t>
  </si>
  <si>
    <t>4,66,933.71</t>
  </si>
  <si>
    <t>UC567-0545, UC567-0551</t>
  </si>
  <si>
    <t>TSV-07-0265</t>
  </si>
  <si>
    <t>UPI/CR/328097268540/NEHA KU/KKBK/guptane/SL1610</t>
  </si>
  <si>
    <t>4,67,333.71</t>
  </si>
  <si>
    <t>UC610-0176</t>
  </si>
  <si>
    <t>TSV-07-0266</t>
  </si>
  <si>
    <t>Ecom/61185896/AvenuesInd/https//ord/RoyaltyKN3817</t>
  </si>
  <si>
    <t>4,65,242.79</t>
  </si>
  <si>
    <t>TSV-07-0267</t>
  </si>
  <si>
    <t>Ecom/61185940/AvenuesInd/https//ord/RoyaltyUN3668</t>
  </si>
  <si>
    <t>4,64,933.93</t>
  </si>
  <si>
    <t>TSV-07-0268</t>
  </si>
  <si>
    <t>UPI/CR/387300573806/Mr RAJIN/MAHB/9818065/SC3567</t>
  </si>
  <si>
    <t>4,65,083.93</t>
  </si>
  <si>
    <t>UC567-0532</t>
  </si>
  <si>
    <t>TSV-08-0001</t>
  </si>
  <si>
    <t>IMPS-OPM/521311637995/Jitendra Singh/IOBA0003714/5211/</t>
  </si>
  <si>
    <t>4,52,583.93</t>
  </si>
  <si>
    <t>Advance Salary Jitendra Singh</t>
  </si>
  <si>
    <t>08</t>
  </si>
  <si>
    <t>TSV-08-0002</t>
  </si>
  <si>
    <t>UPI/CR/035433649162/KHEM CHA/CNRB/7303785/UN3668</t>
  </si>
  <si>
    <t>4,52,833.93</t>
  </si>
  <si>
    <t>T805</t>
  </si>
  <si>
    <t>TSV-08-0003</t>
  </si>
  <si>
    <t>UPI/CR/632718479386/ANKITH G/ICIC/ankithg/SL1610</t>
  </si>
  <si>
    <t>4,53,167.93</t>
  </si>
  <si>
    <t>UC610-0183</t>
  </si>
  <si>
    <t>TSV-08-0004</t>
  </si>
  <si>
    <t>UPI/CR/199276203816/SURESH K/SBIN/malviya/KN3817</t>
  </si>
  <si>
    <t>4,53,637.93</t>
  </si>
  <si>
    <t>T302</t>
  </si>
  <si>
    <t>TSV-08-0005</t>
  </si>
  <si>
    <t>UPI/CR/521300837166/INDERBIR/SBIN/inderbi/KN3817</t>
  </si>
  <si>
    <t>4,54,197.93</t>
  </si>
  <si>
    <t>T344</t>
  </si>
  <si>
    <t>TSV-08-0006</t>
  </si>
  <si>
    <t>UPI/CR/690434600305/RANVEER /UTIB/7300134/KN3817</t>
  </si>
  <si>
    <t>4,54,274.93</t>
  </si>
  <si>
    <t>T335</t>
  </si>
  <si>
    <t>TSV-08-0007</t>
  </si>
  <si>
    <t>UPI/CR/521331532730/MR SUJAY/SCBL/sujay.k/SL1610</t>
  </si>
  <si>
    <t>4,54,506.93</t>
  </si>
  <si>
    <t>UC610-0166</t>
  </si>
  <si>
    <t>TSV-08-0008</t>
  </si>
  <si>
    <t>UPI/CR/521354936744/SIDDHART/UTIB/9650780/SL1610</t>
  </si>
  <si>
    <t>4,54,946.93</t>
  </si>
  <si>
    <t>UC610-0180</t>
  </si>
  <si>
    <t>TSV-08-0009</t>
  </si>
  <si>
    <t>UPI/CR/688570564815/RANJEET /RATN/7268998/UN3668</t>
  </si>
  <si>
    <t>4,55,330.93</t>
  </si>
  <si>
    <t>T801</t>
  </si>
  <si>
    <t>TSV-08-0010</t>
  </si>
  <si>
    <t>REF/ECOMMREFUND/CCAvenue/61185896/310725</t>
  </si>
  <si>
    <t>4,57,421.85</t>
  </si>
  <si>
    <t>TSV-08-0011</t>
  </si>
  <si>
    <t>REF/ECOMMREFUND/CCAvenue/61185940/310725</t>
  </si>
  <si>
    <t>4,57,730.71</t>
  </si>
  <si>
    <t>TSV-08-0012</t>
  </si>
  <si>
    <t>UPI/CR/109116782693/BRIJ KIS/UBIN/brijksi/UN3668</t>
  </si>
  <si>
    <t>4,58,113.71</t>
  </si>
  <si>
    <t>T808</t>
  </si>
  <si>
    <t>TSV-08-0013</t>
  </si>
  <si>
    <t>UPI/CR/541530326933/PATRAYUD/SBIN/9966532/UN3668</t>
  </si>
  <si>
    <t>4,59,005.71</t>
  </si>
  <si>
    <t>T799</t>
  </si>
  <si>
    <t>TSV-08-0014</t>
  </si>
  <si>
    <t>UPI/CR/256349424168/Spandana/SBIN/7702841/KN3817</t>
  </si>
  <si>
    <t>4,59,397.71</t>
  </si>
  <si>
    <t>T371</t>
  </si>
  <si>
    <t>TSV-08-0015</t>
  </si>
  <si>
    <t>UPI/CR/962373266690/ABHISHEK/KKBK/iabhish/SC3567</t>
  </si>
  <si>
    <t>4,59,869.71</t>
  </si>
  <si>
    <t>UC567-0553</t>
  </si>
  <si>
    <t>TSV-08-0016</t>
  </si>
  <si>
    <t>UPI/CR/776976246286/FARIDA Y/PUNB/9144854/SC3567</t>
  </si>
  <si>
    <t>4,60,184.71</t>
  </si>
  <si>
    <t>TSV-08-0017</t>
  </si>
  <si>
    <t>UPI/CR/558111376783/PANKAJ S/PUNB/bohraji/UN3668</t>
  </si>
  <si>
    <t>4,60,600.71</t>
  </si>
  <si>
    <t>T818</t>
  </si>
  <si>
    <t>TSV-08-0018</t>
  </si>
  <si>
    <t>UPI/CR/558169445160/ADITYA T/UCBA/contact/SL1610</t>
  </si>
  <si>
    <t>4,61,168.71</t>
  </si>
  <si>
    <t>UC610-0196</t>
  </si>
  <si>
    <t>TSV-08-0019</t>
  </si>
  <si>
    <t>UPI/CR/109177617386/GOURAV S/HDFC/gourav./PAY BY</t>
  </si>
  <si>
    <t>4,62,768.71</t>
  </si>
  <si>
    <t>TSV-08-0020</t>
  </si>
  <si>
    <t>UPI/CR/691087014841/AMAN SA/SBIN/amansab/SC3567</t>
  </si>
  <si>
    <t>4,62,966.71</t>
  </si>
  <si>
    <t>UC567-0575</t>
  </si>
  <si>
    <t>TSV-08-0021</t>
  </si>
  <si>
    <t>UPI/CR/521570441948/MANISH S/UTIB/9650544/UN3668</t>
  </si>
  <si>
    <t>4,63,541.71</t>
  </si>
  <si>
    <t>T820</t>
  </si>
  <si>
    <t>TSV-08-0022</t>
  </si>
  <si>
    <t>UPI/CR/521570443916/MANISH S/UTIB/9650544/UN3668</t>
  </si>
  <si>
    <t>4,63,941.71</t>
  </si>
  <si>
    <t>T821</t>
  </si>
  <si>
    <t>TSV-08-0023</t>
  </si>
  <si>
    <t>UPI/CR/581439432172/VINAY SI/UBIN/8851281/UN3668</t>
  </si>
  <si>
    <t>4,64,261.71</t>
  </si>
  <si>
    <t>T817</t>
  </si>
  <si>
    <t>TSV-08-0024</t>
  </si>
  <si>
    <t>UPI/CR/109187755862/BHAVISHY/HDFC/bhavish/SL1610</t>
  </si>
  <si>
    <t>4,64,998.71</t>
  </si>
  <si>
    <t>UC610-0202</t>
  </si>
  <si>
    <t>TSV-08-0025</t>
  </si>
  <si>
    <t>UPI/CR/109201564068/SHUBHANG/HDFC/shubhan/KN3817</t>
  </si>
  <si>
    <t>4,66,174.71</t>
  </si>
  <si>
    <t>T380</t>
  </si>
  <si>
    <t>TSV-08-0026</t>
  </si>
  <si>
    <t>UPI/CR/558205797026/SARANSH /UTIB/saransh/SL1610</t>
  </si>
  <si>
    <t>4,67,192.71</t>
  </si>
  <si>
    <t>UC610-0190</t>
  </si>
  <si>
    <t>TSV-08-0027</t>
  </si>
  <si>
    <t>UPI/CR/845576849172/GOURAV/ICIC/9588313/SL1610</t>
  </si>
  <si>
    <t>4,68,554.71</t>
  </si>
  <si>
    <t>UC610-0198</t>
  </si>
  <si>
    <t>TSV-08-0028</t>
  </si>
  <si>
    <t>UPI/CR/284190310102/SURYA PR/ICIC/7070002/SL1610</t>
  </si>
  <si>
    <t>4,68,908.71</t>
  </si>
  <si>
    <t>UC610-0204</t>
  </si>
  <si>
    <t>TSV-08-0029</t>
  </si>
  <si>
    <t>UPI/CR/521670475641/BHAVYA L/ICIC/bhavya./na</t>
  </si>
  <si>
    <t>4,69,458.71</t>
  </si>
  <si>
    <t>TSV-08-0030</t>
  </si>
  <si>
    <t>UPI/CR/521681904760/CHAYANIK/UTIB/arora.c/KN3817</t>
  </si>
  <si>
    <t>4,69,758.71</t>
  </si>
  <si>
    <t>TSV-08-0031</t>
  </si>
  <si>
    <t>UPI/CR/521625707142/Mr. Sury/ALLA/suryans/SL1610</t>
  </si>
  <si>
    <t>4,70,758.71</t>
  </si>
  <si>
    <t>UC610-0195</t>
  </si>
  <si>
    <t>TSV-08-0032</t>
  </si>
  <si>
    <t>UPI/CR/521678479071/TANWIR H/HDFC/7979925/SL1610</t>
  </si>
  <si>
    <t>4,71,466.71</t>
  </si>
  <si>
    <t>UC610-0193</t>
  </si>
  <si>
    <t>TSV-08-0033</t>
  </si>
  <si>
    <t>UPI/CR/109233963379/BRAJVALA/CNRB/abhinay/SL1610</t>
  </si>
  <si>
    <t>4,71,575.71</t>
  </si>
  <si>
    <t>UC610-0182</t>
  </si>
  <si>
    <t>TSV-08-0034</t>
  </si>
  <si>
    <t>UPI/CR/521637778771/SAMEER S/ICIC/sameers/SL1610</t>
  </si>
  <si>
    <t>4,72,220.71</t>
  </si>
  <si>
    <t>UC610-0210</t>
  </si>
  <si>
    <t>TSV-08-0035</t>
  </si>
  <si>
    <t>UPI/CR/109238145716/MEHAK AS/HDFC/ashrani/KN3817</t>
  </si>
  <si>
    <t>4,72,402.71</t>
  </si>
  <si>
    <t>T349</t>
  </si>
  <si>
    <t>TSV-08-0036</t>
  </si>
  <si>
    <t>UPI/CR/521681544649/KHUSHI M/HDFC/8795559/SC3567</t>
  </si>
  <si>
    <t>4,73,707.71</t>
  </si>
  <si>
    <t>UC567-0571</t>
  </si>
  <si>
    <t>TSV-08-0037</t>
  </si>
  <si>
    <t>UPI/CR/558332325391/NITHISHK/ICIC/nithish/SL1610</t>
  </si>
  <si>
    <t>4,73,971.71</t>
  </si>
  <si>
    <t>UC610-0197</t>
  </si>
  <si>
    <t>TSV-08-0038</t>
  </si>
  <si>
    <t>UPI/CR/109279635462/Mrs DIVY/IDIB/jaindiv/SL1610</t>
  </si>
  <si>
    <t>4,74,643.71</t>
  </si>
  <si>
    <t>UC610-0212</t>
  </si>
  <si>
    <t>TSV-08-0039</t>
  </si>
  <si>
    <t>UPI/CR/688720472494/Ms Kajal/CBIN/7827469/UN3668</t>
  </si>
  <si>
    <t>4,75,033.71</t>
  </si>
  <si>
    <t>T829</t>
  </si>
  <si>
    <t>TSV-08-0040</t>
  </si>
  <si>
    <t>UPI/CR/397336352175/MOHIT KE/IPOS/7970846/UN3668</t>
  </si>
  <si>
    <t>4,77,033.71</t>
  </si>
  <si>
    <t>TSV-08-0041</t>
  </si>
  <si>
    <t>UPI/CR/413167242175/MR LAKSH/SCBL/8920052/UPI</t>
  </si>
  <si>
    <t>4,77,364.71</t>
  </si>
  <si>
    <t>UC610-0216</t>
  </si>
  <si>
    <t>TSV-08-0042</t>
  </si>
  <si>
    <t>UPI/CR/558315462512/UTKARSH /ICIC/anshjai/UN3668</t>
  </si>
  <si>
    <t>4,77,816.71</t>
  </si>
  <si>
    <t>T788</t>
  </si>
  <si>
    <t>TSV-08-0043</t>
  </si>
  <si>
    <t>UPI/CR/312054635736/ASUTOSH /SBIN/8455960/UN3668</t>
  </si>
  <si>
    <t>4,78,284.71</t>
  </si>
  <si>
    <t>T810</t>
  </si>
  <si>
    <t>TSV-08-0044</t>
  </si>
  <si>
    <t>UPI/CR/521803918546/SARA ARO/FDRL/9333933/SC3567</t>
  </si>
  <si>
    <t>4,78,463.71</t>
  </si>
  <si>
    <t>UC567-0578</t>
  </si>
  <si>
    <t>TSV-08-0045</t>
  </si>
  <si>
    <t>UPI/CR/788819929809/Nishu K/SBIN/9955055/KN3817</t>
  </si>
  <si>
    <t>4,79,213.71</t>
  </si>
  <si>
    <t>T396</t>
  </si>
  <si>
    <t>TSV-08-0046</t>
  </si>
  <si>
    <t>UPI/CR/132422858296/NARENDER/SBIN/9717698/UN3668</t>
  </si>
  <si>
    <t>4,79,433.71</t>
  </si>
  <si>
    <t>T846</t>
  </si>
  <si>
    <t>TSV-08-0047</t>
  </si>
  <si>
    <t>UPI/CR/521809051938/AAYUSHMA/HDFC/8287626/SC3567</t>
  </si>
  <si>
    <t>4,79,799.71</t>
  </si>
  <si>
    <t>UC567-0581</t>
  </si>
  <si>
    <t>TSV-08-0048</t>
  </si>
  <si>
    <t>UPI/CR/521813349001/PRIYAM K/ICIC/priyamk/SL1610</t>
  </si>
  <si>
    <t>4,80,175.71</t>
  </si>
  <si>
    <t>UC610-0200</t>
  </si>
  <si>
    <t>TSV-08-0049</t>
  </si>
  <si>
    <t>IMPS-OPM/521819697895/NATIONAL INSURANCE CO LTD 460705/UTIB0000004/0295/Q2507889744</t>
  </si>
  <si>
    <t>4,73,849.71</t>
  </si>
  <si>
    <t>Store Insurance</t>
  </si>
  <si>
    <t>Insurance</t>
  </si>
  <si>
    <t>TSV-08-0050</t>
  </si>
  <si>
    <t>UPI/CR/521810067824/RIDHI SA/HDFC/7011195/SL1610</t>
  </si>
  <si>
    <t>4,74,369.71</t>
  </si>
  <si>
    <t>UC610-0207</t>
  </si>
  <si>
    <t>TSV-08-0051</t>
  </si>
  <si>
    <t>IMPS-OPM/521819704729/NATIONAL INSURANCE CO LTD 460705/UTIB0000004/0295/Q2507890368</t>
  </si>
  <si>
    <t>4,68,043.71</t>
  </si>
  <si>
    <t>TSV-08-0052</t>
  </si>
  <si>
    <t>UPI/CR/109359411166/ITI BEDI/PUNB/itibedi/KN3817</t>
  </si>
  <si>
    <t>4,68,943.71</t>
  </si>
  <si>
    <t>T383</t>
  </si>
  <si>
    <t>TSV-08-0053</t>
  </si>
  <si>
    <t>UPI/CR/110587721274/ANISHA T/HDFC/7055111/SL1610</t>
  </si>
  <si>
    <t>4,69,342.71</t>
  </si>
  <si>
    <t>UC610-0208</t>
  </si>
  <si>
    <t>TSV-08-0054</t>
  </si>
  <si>
    <t>UPI/CR/521810656734/HARSH DH/HDFC/8968896/UN3668</t>
  </si>
  <si>
    <t>4,70,039.71</t>
  </si>
  <si>
    <t>T836</t>
  </si>
  <si>
    <t>TSV-08-0055</t>
  </si>
  <si>
    <t>UPI/CR/521950767207/ADITYA T/UCBA/contact/SL1610</t>
  </si>
  <si>
    <t>4,71,750.71</t>
  </si>
  <si>
    <t>UC610-0209</t>
  </si>
  <si>
    <t>TSV-08-0056</t>
  </si>
  <si>
    <t>UPI/CR/521987622826/DIVYANSH/ICIC/divyans/na</t>
  </si>
  <si>
    <t>4,72,946.71</t>
  </si>
  <si>
    <t>UC610-0219</t>
  </si>
  <si>
    <t>TSV-08-0057</t>
  </si>
  <si>
    <t>UPI/CR/109398812688/SOHAM BI/HDFC/soham.b/SL1610</t>
  </si>
  <si>
    <t>4,73,261.71</t>
  </si>
  <si>
    <t>UC610-0205</t>
  </si>
  <si>
    <t>TSV-08-0058</t>
  </si>
  <si>
    <t>UPI/CR/521933915124/DEEPANSH/KKBK/8882666/KN3817</t>
  </si>
  <si>
    <t>4,73,761.71</t>
  </si>
  <si>
    <t>T374</t>
  </si>
  <si>
    <t>TSV-08-0059</t>
  </si>
  <si>
    <t>NEFT/IDFBH25219093736/Pooja Sood/INDB0000724/Shop Rent August 2025</t>
  </si>
  <si>
    <t>4,33,641.71</t>
  </si>
  <si>
    <t>TSV-08-0060</t>
  </si>
  <si>
    <t>NEFT/IDFBH25219093740/Kaushalya Devi/CNRB0002379/Shop Rent August 2025</t>
  </si>
  <si>
    <t>4,06,641.71</t>
  </si>
  <si>
    <t>TSV-08-0061</t>
  </si>
  <si>
    <t>NEFT/IDFBH25219093742/Om Prakash Duhan/SBIN0011444/Shop Rent August 2025</t>
  </si>
  <si>
    <t>3,77,641.71</t>
  </si>
  <si>
    <t>TSV-08-0062</t>
  </si>
  <si>
    <t>NEFT/IDFBH25219093744/Subhash Chander/HDFC0001562/Shop Rent August 2025</t>
  </si>
  <si>
    <t>3,67,641.71</t>
  </si>
  <si>
    <t>TSV-08-0063</t>
  </si>
  <si>
    <t>Ecom/61299370/IndiaIdeas/BSESRAJDHA/ElectricityUN3</t>
  </si>
  <si>
    <t>3,53,668.76</t>
  </si>
  <si>
    <t>TSV-08-0064</t>
  </si>
  <si>
    <t>UPI/CR/109412414368/MRIDUL J/HDFC/mridul8/SC3567</t>
  </si>
  <si>
    <t>3,53,818.76</t>
  </si>
  <si>
    <t>UC567-0601</t>
  </si>
  <si>
    <t>TSV-08-0065</t>
  </si>
  <si>
    <t>NEFT/IDFBH25219160069/Akram/BARB0BUPGBX/Salary July 2025</t>
  </si>
  <si>
    <t>3,39,068.76</t>
  </si>
  <si>
    <t>Salary - Akram</t>
  </si>
  <si>
    <t>TSV-08-0066</t>
  </si>
  <si>
    <t>NEFT/IDFBH25219160071/Jitendra Singh/IOBA0003714/Salary July 2025</t>
  </si>
  <si>
    <t>3,33,785.76</t>
  </si>
  <si>
    <t>Salary - Jitender</t>
  </si>
  <si>
    <t>TSV-08-0067</t>
  </si>
  <si>
    <t>NEFT/IDFBH25219160073/Arun Singh/CBIN0284023/Salary July 2025</t>
  </si>
  <si>
    <t>3,25,960.76</t>
  </si>
  <si>
    <t>Salary - Arun Singh</t>
  </si>
  <si>
    <t>TSV-08-0068</t>
  </si>
  <si>
    <t>NEFT/IDFBH25219160075/Sujeet Kumar/KKBK0000221/Salary July 2025</t>
  </si>
  <si>
    <t>3,21,027.76</t>
  </si>
  <si>
    <t>Salary - Sujeet Kumar</t>
  </si>
  <si>
    <t>TSV-08-0069</t>
  </si>
  <si>
    <t>NEFT/IDFBH25219160077/Piyush Tag/UTIB0000540/Salary July 2025</t>
  </si>
  <si>
    <t>3,01,027.76</t>
  </si>
  <si>
    <t>Salary - Piyush</t>
  </si>
  <si>
    <t>TSV-08-0070</t>
  </si>
  <si>
    <t>NEFT/IDFBH25219160079/Jatin Kumar Yadav/KKBK0000261/Salary July 2025</t>
  </si>
  <si>
    <t>2,87,153.76</t>
  </si>
  <si>
    <t>Salary - Jatin</t>
  </si>
  <si>
    <t>TSV-08-0071</t>
  </si>
  <si>
    <t>NEFT/IDFBH25219160081/Aakash/CNRB0018216/Salary July 2025</t>
  </si>
  <si>
    <t>2,75,074.76</t>
  </si>
  <si>
    <t>Salary - Aakash</t>
  </si>
  <si>
    <t>TSV-08-0072</t>
  </si>
  <si>
    <t>NEFT/IDFBH25219160082/Kamal Singh/KKBK0000287/Salary July 2025</t>
  </si>
  <si>
    <t>2,60,478.76</t>
  </si>
  <si>
    <t>Salary - Kamal</t>
  </si>
  <si>
    <t>TSV-08-0073</t>
  </si>
  <si>
    <t>NEFT/IDFBH25219160084/Mohsin Khan/KKBK0004660/Salary July 2025</t>
  </si>
  <si>
    <t>2,51,411.76</t>
  </si>
  <si>
    <t>Salary - Mohsin</t>
  </si>
  <si>
    <t>TSV-08-0074</t>
  </si>
  <si>
    <t>Ecom/61303037/IndiaIdeas/DHBVN/ElectricitySL1610</t>
  </si>
  <si>
    <t>2,36,866.76</t>
  </si>
  <si>
    <t>TSV-08-0075</t>
  </si>
  <si>
    <t>UPI/CR/558575222549/SARTHAK /CNRB/batrasa/UN3668</t>
  </si>
  <si>
    <t>2,37,216.76</t>
  </si>
  <si>
    <t>T815</t>
  </si>
  <si>
    <t>TSV-08-0076</t>
  </si>
  <si>
    <t>UPI/CR/522031190605/SONIYA G/HDFC/7838853/UN3668</t>
  </si>
  <si>
    <t>2,37,612.76</t>
  </si>
  <si>
    <t>T838</t>
  </si>
  <si>
    <t>TSV-08-0077</t>
  </si>
  <si>
    <t>UPI/CR/496145010624/Dipankar/AIRP/9540724/SC3567</t>
  </si>
  <si>
    <t>2,37,812.76</t>
  </si>
  <si>
    <t>TSV-08-0078</t>
  </si>
  <si>
    <t>UPI/CR/688858344720/NEHA PR/KKBK/7982229/UN3668</t>
  </si>
  <si>
    <t>2,38,920.76</t>
  </si>
  <si>
    <t>T835</t>
  </si>
  <si>
    <t>TSV-08-0079</t>
  </si>
  <si>
    <t>UPI/CR/109450967904/SIMANA G/JAKA/simanaz/UN3668</t>
  </si>
  <si>
    <t>2,40,424.76</t>
  </si>
  <si>
    <t>T830</t>
  </si>
  <si>
    <t>TSV-08-0080</t>
  </si>
  <si>
    <t>NEFT/IDFBH25220359353/Suraj/KARB0000261/Salary July 2025 SL1610</t>
  </si>
  <si>
    <t>2,23,989.76</t>
  </si>
  <si>
    <t>Salary - Suraj</t>
  </si>
  <si>
    <t>TSV-08-0081</t>
  </si>
  <si>
    <t>NEFT/IDFBH25220359354/Vishal/KKBK0000197/Salary July 2025 KN3817</t>
  </si>
  <si>
    <t>2,07,569.76</t>
  </si>
  <si>
    <t>Salary - Vishal</t>
  </si>
  <si>
    <t>TSV-08-0082</t>
  </si>
  <si>
    <t>NEFT/IDFBH25220359355/Govind Singh/BKID0006098/Salary July 2025 KN3817</t>
  </si>
  <si>
    <t>1,94,902.76</t>
  </si>
  <si>
    <t>Salary - Govind</t>
  </si>
  <si>
    <t>TSV-08-0083</t>
  </si>
  <si>
    <t>NEFT/IDFBH25220359357/Subodh Kohli/CNRB0003223/Salary July 2025 UN3668</t>
  </si>
  <si>
    <t>1,79,639.76</t>
  </si>
  <si>
    <t>Salary - Subodh</t>
  </si>
  <si>
    <t>TSV-08-0084</t>
  </si>
  <si>
    <t>NEFT/IDFBH25220359358/Shubham Kumar/UCBA0000105/Salary July 2025 UN3668</t>
  </si>
  <si>
    <t>1,63,964.76</t>
  </si>
  <si>
    <t>Salary - Shubham</t>
  </si>
  <si>
    <t>TSV-08-0085</t>
  </si>
  <si>
    <t>UPI/CR/109455083486/AKARSH/KKBK/akarsh./PAY BY</t>
  </si>
  <si>
    <t>1,64,734.76</t>
  </si>
  <si>
    <t>TSV-08-0086</t>
  </si>
  <si>
    <t>NEFT RETURN/IDFBH25220359358/</t>
  </si>
  <si>
    <t>1,80,409.76</t>
  </si>
  <si>
    <t>TSV-08-0087</t>
  </si>
  <si>
    <t>UPI/CR/387657034355/Sanjay/FINO/8295128/KN3817</t>
  </si>
  <si>
    <t>1,82,389.76</t>
  </si>
  <si>
    <t>T399</t>
  </si>
  <si>
    <t>TSV-08-0088</t>
  </si>
  <si>
    <t>NEFT RETURN/IDFBH25220359354/INCORRECT ACCOUNT NUMBER</t>
  </si>
  <si>
    <t>1,98,809.76</t>
  </si>
  <si>
    <t>TSV-08-0089</t>
  </si>
  <si>
    <t>NEFT/IDFB522045542115/Shubham/UCBA0000105/Salary July 2025 UN3668</t>
  </si>
  <si>
    <t>1,83,134.76</t>
  </si>
  <si>
    <t>Salary Shubham</t>
  </si>
  <si>
    <t>TSV-08-0090</t>
  </si>
  <si>
    <t>UPI/CR/522036818914/RAVINDER/BARB/8287304/SC3567</t>
  </si>
  <si>
    <t>1,83,241.76</t>
  </si>
  <si>
    <t>UC567-0585</t>
  </si>
  <si>
    <t>TSV-08-0091</t>
  </si>
  <si>
    <t>UPI/CR/522036848163/RAVINDER/BARB/8287304/SC3567</t>
  </si>
  <si>
    <t>1,83,563.76</t>
  </si>
  <si>
    <t>UC567-0584</t>
  </si>
  <si>
    <t>TSV-08-0092</t>
  </si>
  <si>
    <t>UPI/CR/522046051150/RAVINDER/BARB/8287304/SC3567</t>
  </si>
  <si>
    <t>1,83,853.76</t>
  </si>
  <si>
    <t>UC567-0583</t>
  </si>
  <si>
    <t>TSV-08-0093</t>
  </si>
  <si>
    <t>NEFT RETURN/IDFB522045542115/INCORRECT ACCOUNT NUMBER (AC01)/SALARY JULY 2025 UN3668</t>
  </si>
  <si>
    <t>1,99,528.76</t>
  </si>
  <si>
    <t>TSV-08-0094</t>
  </si>
  <si>
    <t>IMPS-OPM/522017965686/RAJ KUMAR/CNRB0005123/0385/SalaryJuly2025KN3817</t>
  </si>
  <si>
    <t>1,83,108.76</t>
  </si>
  <si>
    <t>TSV-08-0095</t>
  </si>
  <si>
    <t>IMPS-OPM/522017984568/PRABHA RANI WO SH SUSHIL KUMAR/PUNB0151900/7951/SalaryJuly2025UN3668</t>
  </si>
  <si>
    <t>1,67,433.76</t>
  </si>
  <si>
    <t>TSV-08-0096</t>
  </si>
  <si>
    <t>UPI/CR/109465911592/SUNITA K/BARB/kantama/UN3668</t>
  </si>
  <si>
    <t>1,67,508.76</t>
  </si>
  <si>
    <t>T841</t>
  </si>
  <si>
    <t>TSV-08-0097</t>
  </si>
  <si>
    <t>UPI/CR/522032204773/PANKAJ S/PUNB/bohraji/UN3668</t>
  </si>
  <si>
    <t>1,67,768.76</t>
  </si>
  <si>
    <t>TSV-08-0098</t>
  </si>
  <si>
    <t>UPI/CR/688883016543/DURGA DE/UBIN/8879972/SL1610</t>
  </si>
  <si>
    <t>1,68,344.76</t>
  </si>
  <si>
    <t>UC610-0223</t>
  </si>
  <si>
    <t>TSV-08-0099</t>
  </si>
  <si>
    <t>UPI/CR/688883212989/PARMINDE/ICIC/8755462/KN3817</t>
  </si>
  <si>
    <t>1,69,344.76</t>
  </si>
  <si>
    <t>TSV-08-0100</t>
  </si>
  <si>
    <t>UPI/CR/522107569374/UMESH /KKBK/umeshar/SC3567</t>
  </si>
  <si>
    <t>1,69,618.76</t>
  </si>
  <si>
    <t>UC567-0572</t>
  </si>
  <si>
    <t>TSV-08-0101</t>
  </si>
  <si>
    <t>UPI/CR/522109871648/AMIT KUM/PUNB/akaggar/UN3668</t>
  </si>
  <si>
    <t>1,69,930.76</t>
  </si>
  <si>
    <t>T845,T837</t>
  </si>
  <si>
    <t>TSV-08-0102</t>
  </si>
  <si>
    <t>IMPS-OPW/522115282226/KAPIL/SBIN0010447/7684/SalaryJuly2025SC3567</t>
  </si>
  <si>
    <t>1,63,613.76</t>
  </si>
  <si>
    <t>Salar - Kapil</t>
  </si>
  <si>
    <t>TSV-08-0103</t>
  </si>
  <si>
    <t>UPI/CR/109574921476/PRASHANT/UBIN/pp98860/UN3668</t>
  </si>
  <si>
    <t>1,64,213.76</t>
  </si>
  <si>
    <t>T855</t>
  </si>
  <si>
    <t>TSV-08-0104</t>
  </si>
  <si>
    <t>UPI/CR/522288776251/AYUSH G/SBIN/9670987/SC3567</t>
  </si>
  <si>
    <t>1,64,400.76</t>
  </si>
  <si>
    <t>UC567-0569</t>
  </si>
  <si>
    <t>TSV-08-0105</t>
  </si>
  <si>
    <t>UPI/CR/827315284851/EBNUL HA/UTIB/7838034/SC3567</t>
  </si>
  <si>
    <t>1,64,699.76</t>
  </si>
  <si>
    <t>UC567-0566</t>
  </si>
  <si>
    <t>TSV-08-0106</t>
  </si>
  <si>
    <t>UPI/CR/558832278421/SOYAM RA/KKBK/jaiswal/UN3668</t>
  </si>
  <si>
    <t>1,65,090.76</t>
  </si>
  <si>
    <t>T843</t>
  </si>
  <si>
    <t>TSV-08-0107</t>
  </si>
  <si>
    <t>UPI/CR/548646321751/HARDEEP /KKBK/7080484/SL1610</t>
  </si>
  <si>
    <t>1,65,239.76</t>
  </si>
  <si>
    <t>UC610-0201</t>
  </si>
  <si>
    <t>TSV-08-0108</t>
  </si>
  <si>
    <t>UPI/CR/688978957402/LAKSHYA /KKBK/9529103/SL1610</t>
  </si>
  <si>
    <t>1,65,557.76</t>
  </si>
  <si>
    <t>UC610-0206</t>
  </si>
  <si>
    <t>TSV-08-0109</t>
  </si>
  <si>
    <t>UPI/CR/558864087242/SOUMYA P/SBIN/spaik87/SL1610</t>
  </si>
  <si>
    <t>1,66,093.76</t>
  </si>
  <si>
    <t>UC610-0227</t>
  </si>
  <si>
    <t>TSV-08-0110</t>
  </si>
  <si>
    <t>UPI/CR/513595678114/TANGELLA/UTIB/suryasa/SL1610</t>
  </si>
  <si>
    <t>1,66,701.76</t>
  </si>
  <si>
    <t>UC610-0217</t>
  </si>
  <si>
    <t>TSV-08-0111</t>
  </si>
  <si>
    <t>UPI/CR/822836178784/ASUTOSH /SBIN/8455960/UN3668</t>
  </si>
  <si>
    <t>1,67,117.76</t>
  </si>
  <si>
    <t>T847</t>
  </si>
  <si>
    <t>TSV-08-0112</t>
  </si>
  <si>
    <t>Ecom/61337595/IndiaIdeas/TPDDL/ElectricityKN3817</t>
  </si>
  <si>
    <t>1,56,627.76</t>
  </si>
  <si>
    <t>TSV-08-0113</t>
  </si>
  <si>
    <t>UPI/CR/522382534188/BISWAJIT/IOBA/jaintan/KN3817</t>
  </si>
  <si>
    <t>1,56,963.76</t>
  </si>
  <si>
    <t>T347</t>
  </si>
  <si>
    <t>TSV-08-0114</t>
  </si>
  <si>
    <t>UPI/CR/689005553804/VIJAY KU/PSIB/7838307/UN3668</t>
  </si>
  <si>
    <t>1,58,427.76</t>
  </si>
  <si>
    <t>T859</t>
  </si>
  <si>
    <t>TSV-08-0115</t>
  </si>
  <si>
    <t>UPI/CR/387791895434/MANYA JA/BARB/7497991/UN3668</t>
  </si>
  <si>
    <t>1,58,727.76</t>
  </si>
  <si>
    <t>T823</t>
  </si>
  <si>
    <t>TSV-08-0116</t>
  </si>
  <si>
    <t>Ecom/61349021/AvenuesInd/https//ord/RoyaltyKN3817</t>
  </si>
  <si>
    <t>1,56,651.17</t>
  </si>
  <si>
    <t>TSV-08-0117</t>
  </si>
  <si>
    <t>UPI/CR/522369869374/DEVENDER/UBIN/devende/SC3567</t>
  </si>
  <si>
    <t>1,57,192.17</t>
  </si>
  <si>
    <t>UC567-0592, UC567-0582</t>
  </si>
  <si>
    <t>TSV-08-0118</t>
  </si>
  <si>
    <t>UPI/CR/522370884971/VISHNUPR/UTIB/7404380/KN3817</t>
  </si>
  <si>
    <t>1,58,372.17</t>
  </si>
  <si>
    <t>T409</t>
  </si>
  <si>
    <t>TSV-08-0119</t>
  </si>
  <si>
    <t>UPI/CR/109648339544/ARNAV PU/HDFC/arnavpu/SL1610</t>
  </si>
  <si>
    <t>1,58,727.17</t>
  </si>
  <si>
    <t>UC610-0228</t>
  </si>
  <si>
    <t>TSV-08-0120</t>
  </si>
  <si>
    <t>UPI/CR/558927382483/ADITYA S/ICIC/8689094/SL1610</t>
  </si>
  <si>
    <t>1,59,605.17</t>
  </si>
  <si>
    <t>UC610-0225</t>
  </si>
  <si>
    <t>TSV-08-0121</t>
  </si>
  <si>
    <t>Ecom/61351744/PayUPaymen/BhartiAirt/TSV4RidersMobi</t>
  </si>
  <si>
    <t>1,58,633.80</t>
  </si>
  <si>
    <t>Mobile Bill Payments - Riders all stores</t>
  </si>
  <si>
    <t>Telecommunication</t>
  </si>
  <si>
    <t>TSV-08-0122</t>
  </si>
  <si>
    <t>UPI/CR/952662037239/SHUBHRAK/HDFC/9315252/SL1610</t>
  </si>
  <si>
    <t>1,62,765.80</t>
  </si>
  <si>
    <t>UC610-0226</t>
  </si>
  <si>
    <t>TSV-08-0123</t>
  </si>
  <si>
    <t>UPI/CR/109675455223/INDU DEV/PUNB/subhash/SC3567</t>
  </si>
  <si>
    <t>1,62,993.80</t>
  </si>
  <si>
    <t>UC567-0680</t>
  </si>
  <si>
    <t>TSV-08-0124</t>
  </si>
  <si>
    <t>Charge:AMB_charges/Inv0607251193517761/31-JUL-2025/</t>
  </si>
  <si>
    <t>1,61,993.80</t>
  </si>
  <si>
    <t>Bank Charges</t>
  </si>
  <si>
    <t>TSV-08-0125</t>
  </si>
  <si>
    <t>CGST on Charge:AMB_charges/Inv0607251193517761/31-JUL-2025/</t>
  </si>
  <si>
    <t>1,61,903.80</t>
  </si>
  <si>
    <t>TSV-08-0126</t>
  </si>
  <si>
    <t>SGST on Charge:AMB_charges/Inv0607251193517761/31-JUL-2025/</t>
  </si>
  <si>
    <t>1,61,813.80</t>
  </si>
  <si>
    <t>TSV-08-0127</t>
  </si>
  <si>
    <t>UPI/CR/145211898438/SANJEEV /ICIC/9900200/SL1610</t>
  </si>
  <si>
    <t>1,62,260.80</t>
  </si>
  <si>
    <t>UC610-0229</t>
  </si>
  <si>
    <t>TSV-08-0128</t>
  </si>
  <si>
    <t>UPI/CR/559071665620/ABHYUDAY/KKBK/abhyudh/UN3668</t>
  </si>
  <si>
    <t>1,62,433.80</t>
  </si>
  <si>
    <t>T844</t>
  </si>
  <si>
    <t>TSV-08-0129</t>
  </si>
  <si>
    <t>UPI/CR/559047013794/AASTIK S/IPOS/aastiks/UN3668</t>
  </si>
  <si>
    <t>1,62,878.80</t>
  </si>
  <si>
    <t>T854</t>
  </si>
  <si>
    <t>TSV-08-0130</t>
  </si>
  <si>
    <t>UPI/CR/522442671761/AMIT KUM/PUNB/7004316/UN3668</t>
  </si>
  <si>
    <t>1,63,178.80</t>
  </si>
  <si>
    <t>T864</t>
  </si>
  <si>
    <t>TSV-08-0131</t>
  </si>
  <si>
    <t>UPI/CR/522491513393/TANWIR H/HDFC/7979925/SL1610</t>
  </si>
  <si>
    <t>1,63,901.80</t>
  </si>
  <si>
    <t>UC610-0231</t>
  </si>
  <si>
    <t>TSV-08-0132</t>
  </si>
  <si>
    <t>UPI/CR/142845988988/DUPPALA /SBIN/duppala/SL1610</t>
  </si>
  <si>
    <t>1,65,056.80</t>
  </si>
  <si>
    <t>UC610-0203</t>
  </si>
  <si>
    <t>TSV-08-0133</t>
  </si>
  <si>
    <t>UPI/CR/559031564875/SHAHI S/HSBC/7376190/SL1610</t>
  </si>
  <si>
    <t>1,65,448.80</t>
  </si>
  <si>
    <t>UC610-0235</t>
  </si>
  <si>
    <t>TSV-08-0134</t>
  </si>
  <si>
    <t>UPI/CR/559065381860/SARANSH /UTIB/saransh/SL1610</t>
  </si>
  <si>
    <t>1,66,018.80</t>
  </si>
  <si>
    <t>UC610-0234</t>
  </si>
  <si>
    <t>TSV-08-0135</t>
  </si>
  <si>
    <t>IMPS-OPW/522420686611/Mamata Mandal/BARB0DLFGUR/3098/SalaryJunJul2025SC356</t>
  </si>
  <si>
    <t>1,63,618.80</t>
  </si>
  <si>
    <t>Salary - Maid</t>
  </si>
  <si>
    <t>TSV-08-0136</t>
  </si>
  <si>
    <t>Ecom/61368736/AvenuesInd/https//www/RWAMaintenance</t>
  </si>
  <si>
    <t>1,56,177.80</t>
  </si>
  <si>
    <t>RWA Maintenance</t>
  </si>
  <si>
    <t>Rent/Maintenance</t>
  </si>
  <si>
    <t>TSV-08-0137</t>
  </si>
  <si>
    <t>Ecom/61368754/AvenuesInd/https//www/ElectricitySC3</t>
  </si>
  <si>
    <t>1,45,779.80</t>
  </si>
  <si>
    <t>TSV-08-0138</t>
  </si>
  <si>
    <t>Ecom/61368776/AvenuesInd/https//www/DGBackupElectr</t>
  </si>
  <si>
    <t>1,44,917.80</t>
  </si>
  <si>
    <t>DG Backup</t>
  </si>
  <si>
    <t>TSV-08-0139</t>
  </si>
  <si>
    <t>UPI/CR/109739968817/VIKASH /YESB/vikramg/UN3668</t>
  </si>
  <si>
    <t>1,45,317.80</t>
  </si>
  <si>
    <t>T867</t>
  </si>
  <si>
    <t>TSV-08-0140</t>
  </si>
  <si>
    <t>UPI/CR/109740034764/VIKASH /YESB/vikramg/UN3668</t>
  </si>
  <si>
    <t>1,46,461.80</t>
  </si>
  <si>
    <t>T866</t>
  </si>
  <si>
    <t>TSV-08-0141</t>
  </si>
  <si>
    <t>UPI/CR/522572208508/ANKITA /SBIN/ankispd/UN3668</t>
  </si>
  <si>
    <t>1,47,594.80</t>
  </si>
  <si>
    <t>T782</t>
  </si>
  <si>
    <t>TSV-08-0142</t>
  </si>
  <si>
    <t>UPI/CR/109755742049/SOHUM MU/HDFC/sohummu/SC3567</t>
  </si>
  <si>
    <t>1,47,984.80</t>
  </si>
  <si>
    <t>UC567-0597</t>
  </si>
  <si>
    <t>TSV-08-0143</t>
  </si>
  <si>
    <t>UPI/CR/109760328499/KAJAL GO/HDFC/jaiswal/KN3817</t>
  </si>
  <si>
    <t>1,48,134.80</t>
  </si>
  <si>
    <t>T459</t>
  </si>
  <si>
    <t>TSV-08-0144</t>
  </si>
  <si>
    <t>UPI/CR/522532157190/BHUPENDR/SBIN/sainibh/UN3668</t>
  </si>
  <si>
    <t>1,48,514.80</t>
  </si>
  <si>
    <t>T824</t>
  </si>
  <si>
    <t>TSV-08-0145</t>
  </si>
  <si>
    <t>UPI/CR/106697111688/KAUSHAL /SBIN/755312@/SC3567</t>
  </si>
  <si>
    <t>1,48,870.80</t>
  </si>
  <si>
    <t>UC567-0614</t>
  </si>
  <si>
    <t>TSV-08-0146</t>
  </si>
  <si>
    <t>UPI/CR/522651410885/RAVINDER/BARB/8287304/SC3567</t>
  </si>
  <si>
    <t>1,49,219.80</t>
  </si>
  <si>
    <t>UC567-0590</t>
  </si>
  <si>
    <t>TSV-08-0147</t>
  </si>
  <si>
    <t>UPI/CR/522614968355/SIMRAN K/HDFC/8826119/SC3567</t>
  </si>
  <si>
    <t>1,49,583.80</t>
  </si>
  <si>
    <t>UC567-0600</t>
  </si>
  <si>
    <t>TSV-08-0148</t>
  </si>
  <si>
    <t>UPI/CR/688608982265/RACHIT R/KKBK/rachit./UPI</t>
  </si>
  <si>
    <t>1,50,021.06</t>
  </si>
  <si>
    <t>UC610-0236</t>
  </si>
  <si>
    <t>TSV-08-0149</t>
  </si>
  <si>
    <t>UPI/CR/522776583862/VIVEK C/UTIB/9990846/UN3668</t>
  </si>
  <si>
    <t>1,50,301.06</t>
  </si>
  <si>
    <t>T876</t>
  </si>
  <si>
    <t>TSV-08-0150</t>
  </si>
  <si>
    <t>UPI/CR/387970615828/MALVIKA /ICIC/8130574/UN3668</t>
  </si>
  <si>
    <t>1,51,081.06</t>
  </si>
  <si>
    <t>T863</t>
  </si>
  <si>
    <t>TSV-08-0151</t>
  </si>
  <si>
    <t>UPI/CR/522795946785/SAMIRAN /SBIN/samiran/SL1610</t>
  </si>
  <si>
    <t>1,51,279.06</t>
  </si>
  <si>
    <t>UC610-0240</t>
  </si>
  <si>
    <t>TSV-08-0152</t>
  </si>
  <si>
    <t>Ecom/61406969/AvenuesInd/https//ord/RoyaltyKN3817</t>
  </si>
  <si>
    <t>1,50,713.26</t>
  </si>
  <si>
    <t>TSV-08-0153</t>
  </si>
  <si>
    <t>Ecom/61407387/RazorpaySo/ApnaTimeTr/RecruitmentSC3</t>
  </si>
  <si>
    <t>1,49,256.26</t>
  </si>
  <si>
    <t>Recruitment</t>
  </si>
  <si>
    <t>TSV-08-0154</t>
  </si>
  <si>
    <t>IMPS-OPW/522720638143/KAPOOR ARTS/UTIB0003059/4891/CanopySC3567</t>
  </si>
  <si>
    <t>1,40,760.26</t>
  </si>
  <si>
    <t>Canopy</t>
  </si>
  <si>
    <t>Marketing</t>
  </si>
  <si>
    <t>TSV-08-0155</t>
  </si>
  <si>
    <t>UPI/CR/522846777660/Samant /SBIN/samantk/KN3817</t>
  </si>
  <si>
    <t>1,41,160.26</t>
  </si>
  <si>
    <t>T423</t>
  </si>
  <si>
    <t>TSV-08-0156</t>
  </si>
  <si>
    <t>UPI/CR/522838462943/MANISH A/HDFC/9810076/SC3567</t>
  </si>
  <si>
    <t>1,41,560.26</t>
  </si>
  <si>
    <t>UC567-0602</t>
  </si>
  <si>
    <t>TSV-08-0157</t>
  </si>
  <si>
    <t>UPI/CR/388013200344/ROHIT CH/CNRB/9717914/UN3668</t>
  </si>
  <si>
    <t>1,41,810.26</t>
  </si>
  <si>
    <t>T874</t>
  </si>
  <si>
    <t>TSV-08-0158</t>
  </si>
  <si>
    <t>UPI/CR/111064599617/SANTRA /UBIN/9650025/SL1610</t>
  </si>
  <si>
    <t>1,42,470.26</t>
  </si>
  <si>
    <t>NO BILL</t>
  </si>
  <si>
    <t>TSV-08-0159</t>
  </si>
  <si>
    <t>UPI/CR/978487032295/NAVIN/FDRL/7764082/SL1610</t>
  </si>
  <si>
    <t>1,43,430.26</t>
  </si>
  <si>
    <t>UC610-0254</t>
  </si>
  <si>
    <t>TSV-08-0160</t>
  </si>
  <si>
    <t>UPI/CR/689279109275/LAKSHYA /KKBK/9529103/SL1610</t>
  </si>
  <si>
    <t>1,43,714.26</t>
  </si>
  <si>
    <t>UC610-0246</t>
  </si>
  <si>
    <t>TSV-08-0161</t>
  </si>
  <si>
    <t>UPI/CR/522917385885/TRIDIB /BKID/tridibm/KN3817</t>
  </si>
  <si>
    <t>1,44,028.26</t>
  </si>
  <si>
    <t>T411</t>
  </si>
  <si>
    <t>TSV-08-0162</t>
  </si>
  <si>
    <t>UPI/CR/472198806116/HEMANT K/HDFC/clothin/KN3817</t>
  </si>
  <si>
    <t>1,45,228.26</t>
  </si>
  <si>
    <t>T418</t>
  </si>
  <si>
    <t>TSV-08-0163</t>
  </si>
  <si>
    <t>UPI/CR/522940927707/DIVYANSH/ICIC/divyans/na</t>
  </si>
  <si>
    <t>1,45,985.26</t>
  </si>
  <si>
    <t>UC610-0220</t>
  </si>
  <si>
    <t>TSV-08-0164</t>
  </si>
  <si>
    <t>UPI/CR/124082434853/ISHITA G/UTIB/9125736/SL1610</t>
  </si>
  <si>
    <t>1,46,565.26</t>
  </si>
  <si>
    <t>UC610-0244</t>
  </si>
  <si>
    <t>TSV-08-0165</t>
  </si>
  <si>
    <t>UPI/CR/559537297859/ADITYA T/UCBA/contact/SL1610</t>
  </si>
  <si>
    <t>1,46,851.26</t>
  </si>
  <si>
    <t>UC610-0243</t>
  </si>
  <si>
    <t>TSV-08-0166</t>
  </si>
  <si>
    <t>UPI/CR/522960266709/Pratima /JIOP/8235905/UN3668</t>
  </si>
  <si>
    <t>1,47,151.26</t>
  </si>
  <si>
    <t>T890</t>
  </si>
  <si>
    <t>TSV-08-0167</t>
  </si>
  <si>
    <t>UPI/CR/109947177706/DIGVIJAY/HDFC/digvija/SL1610</t>
  </si>
  <si>
    <t>1,48,114.26</t>
  </si>
  <si>
    <t>UC610-0250</t>
  </si>
  <si>
    <t>TSV-08-0168</t>
  </si>
  <si>
    <t>UPI/CR/559529019090/ABHI JIN/CNRB/jindala/SL1610</t>
  </si>
  <si>
    <t>1,48,837.26</t>
  </si>
  <si>
    <t>UC610-0248</t>
  </si>
  <si>
    <t>TSV-08-0169</t>
  </si>
  <si>
    <t>UPI/CR/689297435800/Anshu K/SBIN/7878412/SL1610</t>
  </si>
  <si>
    <t>1,50,158.26</t>
  </si>
  <si>
    <t>UC610-0245</t>
  </si>
  <si>
    <t>TSV-08-0170</t>
  </si>
  <si>
    <t>UPI/CR/559562620890/ANITA SI/ICIC/phogata/SL1610</t>
  </si>
  <si>
    <t>1,50,520.26</t>
  </si>
  <si>
    <t>UC610-0247</t>
  </si>
  <si>
    <t>TSV-08-0171</t>
  </si>
  <si>
    <t>UPI/CR/522976075542/AISHWARY/UBIN/officia/SC3567</t>
  </si>
  <si>
    <t>1,50,789.26</t>
  </si>
  <si>
    <t>TSV-08-0172</t>
  </si>
  <si>
    <t>UPI/CR/522955000435/TANWIR H/HDFC/7979925/SL1610</t>
  </si>
  <si>
    <t>1,51,704.26</t>
  </si>
  <si>
    <t>UC610-0249</t>
  </si>
  <si>
    <t>TSV-08-0173</t>
  </si>
  <si>
    <t>UPI/CR/898816319139/Abhishek/PPIW/8109039/UN3668</t>
  </si>
  <si>
    <t>1,51,964.26</t>
  </si>
  <si>
    <t>T856</t>
  </si>
  <si>
    <t>TSV-08-0174</t>
  </si>
  <si>
    <t>UPI/CR/109958015661/HANJANI /HDFC/hanjani/UN3668</t>
  </si>
  <si>
    <t>1,52,564.26</t>
  </si>
  <si>
    <t>T887</t>
  </si>
  <si>
    <t>TSV-08-0175</t>
  </si>
  <si>
    <t>UPI/CR/526184840219/ABHAYANA/SBIN/8709799/KN3817</t>
  </si>
  <si>
    <t>1,53,092.26</t>
  </si>
  <si>
    <t>T440</t>
  </si>
  <si>
    <t>TSV-08-0176</t>
  </si>
  <si>
    <t>UPI/CR/109984179758/STUDY IN/HDFC/sukhpre/KN3817</t>
  </si>
  <si>
    <t>1,53,588.26</t>
  </si>
  <si>
    <t>T442</t>
  </si>
  <si>
    <t>TSV-08-0177</t>
  </si>
  <si>
    <t>UPI/CR/109989810208/NEELESH /HDFC/kr.neel/SC3567</t>
  </si>
  <si>
    <t>1,55,007.26</t>
  </si>
  <si>
    <t>UC567-0599</t>
  </si>
  <si>
    <t>TSV-08-0178</t>
  </si>
  <si>
    <t>UPI/CR/523019739668/SNEHA C/SBIN/snehach/SL1610</t>
  </si>
  <si>
    <t>1,55,166.26</t>
  </si>
  <si>
    <t>UC610-0255</t>
  </si>
  <si>
    <t>TSV-08-0179</t>
  </si>
  <si>
    <t>UPI/CR/523047966591/PRIYANSH/UBIN/priyans/na</t>
  </si>
  <si>
    <t>1,55,566.26</t>
  </si>
  <si>
    <t>TSV-08-0180</t>
  </si>
  <si>
    <t>UPI/CR/458496636029/LAKSHAY /HDFC/8920052/SL1610</t>
  </si>
  <si>
    <t>1,56,010.26</t>
  </si>
  <si>
    <t>UC610-0261</t>
  </si>
  <si>
    <t>TSV-08-0181</t>
  </si>
  <si>
    <t>UPI/CR/523068043469/NITTIN/KKBK/7836036/UN3668</t>
  </si>
  <si>
    <t>1,56,440.26</t>
  </si>
  <si>
    <t>T898</t>
  </si>
  <si>
    <t>TSV-08-0182</t>
  </si>
  <si>
    <t>UPI/CR/523138648027/SAMEER S/ICIC/sameers/SL1610</t>
  </si>
  <si>
    <t>1,57,720.26</t>
  </si>
  <si>
    <t>UC610-0253</t>
  </si>
  <si>
    <t>TSV-08-0183</t>
  </si>
  <si>
    <t>UPI/CR/281764360285/UTKARSH /SBIN/utkarsh/SL1610</t>
  </si>
  <si>
    <t>1,60,720.26</t>
  </si>
  <si>
    <t>UC610-0257</t>
  </si>
  <si>
    <t>TSV-08-0184</t>
  </si>
  <si>
    <t>UPI/CR/523113753747/PSYCHOPR/CNRB/8766212/KN3817</t>
  </si>
  <si>
    <t>1,61,120.26</t>
  </si>
  <si>
    <t>T439</t>
  </si>
  <si>
    <t>TSV-08-0185</t>
  </si>
  <si>
    <t>UPI/CR/523176176574/AAYUSHMA/HDFC/8287626/SC3567</t>
  </si>
  <si>
    <t>1,61,478.26</t>
  </si>
  <si>
    <t>UC567-0618</t>
  </si>
  <si>
    <t>TSV-08-0186</t>
  </si>
  <si>
    <t>UPI/CR/110046388167/SIDDHART/HDFC/sku.san/UN3668</t>
  </si>
  <si>
    <t>1,61,972.26</t>
  </si>
  <si>
    <t>T658</t>
  </si>
  <si>
    <t>TSV-08-0187</t>
  </si>
  <si>
    <t>IMPS-OPM/523121771072/PIYUSH TAG/UTIB0000540/1341/AugustAdvanceSalaryTSV</t>
  </si>
  <si>
    <t>1,51,972.26</t>
  </si>
  <si>
    <t>Advance Salary - Piyush</t>
  </si>
  <si>
    <t>TSV-08-0188</t>
  </si>
  <si>
    <t>UPI/CR/523283399368/DIVYA VE/HDFC/9910660/KN3817</t>
  </si>
  <si>
    <t>1,52,224.26</t>
  </si>
  <si>
    <t>TSV-08-0189</t>
  </si>
  <si>
    <t>UPI/CR/194960737611/DIPANKAR/BDBL/9540724/SC3567</t>
  </si>
  <si>
    <t>1,52,454.26</t>
  </si>
  <si>
    <t>UC567-0630</t>
  </si>
  <si>
    <t>TSV-08-0190</t>
  </si>
  <si>
    <t>UPI/CR/270897445422/RAKESH K/ICIC/9811069/KN3817</t>
  </si>
  <si>
    <t>1,52,829.26</t>
  </si>
  <si>
    <t>T416</t>
  </si>
  <si>
    <t>TSV-08-0191</t>
  </si>
  <si>
    <t>UPI/CR/559837517985/ANANVAY /ICIC/ananvay/KN3817</t>
  </si>
  <si>
    <t>1,53,294.26</t>
  </si>
  <si>
    <t>T465</t>
  </si>
  <si>
    <t>TSV-08-0192</t>
  </si>
  <si>
    <t>UPI/CR/523288752064/BANK BUC/HDFC/9289139/KN3817</t>
  </si>
  <si>
    <t>1,54,969.26</t>
  </si>
  <si>
    <t>T454</t>
  </si>
  <si>
    <t>TSV-08-0193</t>
  </si>
  <si>
    <t>UPI/CR/388204677024/SUJEET /KKBK/8090886/KN3817</t>
  </si>
  <si>
    <t>1,55,599.26</t>
  </si>
  <si>
    <t>T550</t>
  </si>
  <si>
    <t>TSV-08-0194</t>
  </si>
  <si>
    <t>UPI/CR/523226954722/ADITYA/PPIW/adityap/UPI Pay</t>
  </si>
  <si>
    <t>1,55,937.26</t>
  </si>
  <si>
    <t>TSV-08-0195</t>
  </si>
  <si>
    <t>UPI/CR/584470032335/MOBIKWIK/utib/mobikwi/UPIW2B</t>
  </si>
  <si>
    <t>1,56,036.26</t>
  </si>
  <si>
    <t>TSV-08-0196</t>
  </si>
  <si>
    <t>UPI/CR/135907206550/KAMIDISU/SBIN/8125492/KN3817</t>
  </si>
  <si>
    <t>1,56,862.26</t>
  </si>
  <si>
    <t>T468</t>
  </si>
  <si>
    <t>TSV-08-0197</t>
  </si>
  <si>
    <t>UPI/CR/941177053368/ANURAG /SBIN/8100110/KN3817</t>
  </si>
  <si>
    <t>1,57,462.26</t>
  </si>
  <si>
    <t>T444</t>
  </si>
  <si>
    <t>TSV-08-0198</t>
  </si>
  <si>
    <t>UPI/CR/110119751480/ADITYA M/HDFC/adityam/KN3817</t>
  </si>
  <si>
    <t>1,58,962.26</t>
  </si>
  <si>
    <t>T463</t>
  </si>
  <si>
    <t>TSV-08-0199</t>
  </si>
  <si>
    <t>UPI/CR/100248658873/Surabhi /SBIN/6263786/KN3817</t>
  </si>
  <si>
    <t>1,60,642.26</t>
  </si>
  <si>
    <t>T472</t>
  </si>
  <si>
    <t>TSV-08-0200</t>
  </si>
  <si>
    <t>UPI/CR/689478754253/AJAY SHA/PUNB/9811611/SC3567</t>
  </si>
  <si>
    <t>1,60,824.26</t>
  </si>
  <si>
    <t>UC567-0631</t>
  </si>
  <si>
    <t>TSV-08-0201</t>
  </si>
  <si>
    <t>UPI/CR/388246411126/SATISH K/PUNB/satish5/UN3668</t>
  </si>
  <si>
    <t>1,63,324.26</t>
  </si>
  <si>
    <t>T894</t>
  </si>
  <si>
    <t>TSV-08-0202</t>
  </si>
  <si>
    <t>UPI/CR/523336977324/COVALENT/KARB/9212052/UN3668</t>
  </si>
  <si>
    <t>1,63,744.26</t>
  </si>
  <si>
    <t>T883</t>
  </si>
  <si>
    <t>TSV-08-0203</t>
  </si>
  <si>
    <t>UPI/CR/523418972220/DHRUV S/SBIN/dhruvso/SL1610</t>
  </si>
  <si>
    <t>1,67,048.26</t>
  </si>
  <si>
    <t>UC610-0262</t>
  </si>
  <si>
    <t>TSV-08-0204</t>
  </si>
  <si>
    <t>UPI/CR/523465640652/ABHI JIN/CNRB/jindala/SL1610</t>
  </si>
  <si>
    <t>1,67,375.26</t>
  </si>
  <si>
    <t>UC610-0275</t>
  </si>
  <si>
    <t>TSV-08-0205</t>
  </si>
  <si>
    <t>UPI/CR/110157589639/PRANAV A/HDFC/pranava/SL1610</t>
  </si>
  <si>
    <t>1,68,301.26</t>
  </si>
  <si>
    <t>UC610-0260</t>
  </si>
  <si>
    <t>TSV-08-0206</t>
  </si>
  <si>
    <t>UPI/CR/388279766822/Ashutosh/SBIN/7275806/UN3668</t>
  </si>
  <si>
    <t>1,68,901.26</t>
  </si>
  <si>
    <t>T891</t>
  </si>
  <si>
    <t>TSV-08-0207</t>
  </si>
  <si>
    <t>UPI/CR/112293306166/DUPPALA /SBIN/duppala/SL1610</t>
  </si>
  <si>
    <t>1,69,832.26</t>
  </si>
  <si>
    <t>UC610-0239</t>
  </si>
  <si>
    <t>TSV-08-0208</t>
  </si>
  <si>
    <t>UPI/CR/952798159714/DUPPALA /SBIN/duppala/Payment</t>
  </si>
  <si>
    <t>1,70,288.26</t>
  </si>
  <si>
    <t>UC610-0267</t>
  </si>
  <si>
    <t>TSV-08-0209</t>
  </si>
  <si>
    <t>UPI/CR/560121011734/YAMAN B/SBIN/yaman.b/KN3817</t>
  </si>
  <si>
    <t>1,70,738.26</t>
  </si>
  <si>
    <t>T466</t>
  </si>
  <si>
    <t>TSV-08-0210</t>
  </si>
  <si>
    <t>UPI/CR/523558058942/ARUSHI /SBIN/aarushi/KN3817</t>
  </si>
  <si>
    <t>1,71,038.26</t>
  </si>
  <si>
    <t>T478</t>
  </si>
  <si>
    <t>TSV-08-0211</t>
  </si>
  <si>
    <t>UPI/CR/387555187588/ANAMIKA /HDFC/8497092/SL1610</t>
  </si>
  <si>
    <t>1,72,213.26</t>
  </si>
  <si>
    <t>UC610-0270</t>
  </si>
  <si>
    <t>TSV-08-0212</t>
  </si>
  <si>
    <t>Ecom/61513425/AvenuesInd/https//ord/RoyaltyKN3817</t>
  </si>
  <si>
    <t>1,70,595.55</t>
  </si>
  <si>
    <t>TSV-08-0213</t>
  </si>
  <si>
    <t>UPI/CR/523519966356/Mr Kavin/IDIB/9654880/SC3567</t>
  </si>
  <si>
    <t>1,70,605.55</t>
  </si>
  <si>
    <t>UC567-0605</t>
  </si>
  <si>
    <t>TSV-08-0214</t>
  </si>
  <si>
    <t>UPI/CR/689576049504/KABIR SI/ICIC/9876688/KN3817</t>
  </si>
  <si>
    <t>1,71,595.55</t>
  </si>
  <si>
    <t>T474</t>
  </si>
  <si>
    <t>TSV-08-0215</t>
  </si>
  <si>
    <t>UPI/CR/689607031886/PRAMOD K/PUNB/9810240/KN3817</t>
  </si>
  <si>
    <t>1,73,075.55</t>
  </si>
  <si>
    <t>T484</t>
  </si>
  <si>
    <t>TSV-08-0216</t>
  </si>
  <si>
    <t>UPI/CR/358059398072/Abhishek/SBIN/rashabh/UN3668</t>
  </si>
  <si>
    <t>1,74,437.55</t>
  </si>
  <si>
    <t>T930</t>
  </si>
  <si>
    <t>TSV-08-0217</t>
  </si>
  <si>
    <t>UPI/CR/110259856830/Kumar S/SBIN/ftshiva/UN3668</t>
  </si>
  <si>
    <t>1,75,897.55</t>
  </si>
  <si>
    <t>T935</t>
  </si>
  <si>
    <t>TSV-08-0218</t>
  </si>
  <si>
    <t>UPI/CR/523642442043/adarsh c/PPIW/adarshc/UN3668</t>
  </si>
  <si>
    <t>1,76,482.55</t>
  </si>
  <si>
    <t>T917</t>
  </si>
  <si>
    <t>TSV-08-0219</t>
  </si>
  <si>
    <t>UPI/CR/344382562990/PRATIBHA/PUNB/pratibh/KN3817</t>
  </si>
  <si>
    <t>1,77,070.55</t>
  </si>
  <si>
    <t>T490</t>
  </si>
  <si>
    <t>TSV-08-0220</t>
  </si>
  <si>
    <t>UPI/CR/523685623270/Abhishek/AUBL/abhidha/SC3567</t>
  </si>
  <si>
    <t>1,77,469.55</t>
  </si>
  <si>
    <t>UC567-0598</t>
  </si>
  <si>
    <t>TSV-08-0221</t>
  </si>
  <si>
    <t>UPI/CR/159167430863/SHREYASH/CNRB/9546127/UN3668</t>
  </si>
  <si>
    <t>1,77,919.55</t>
  </si>
  <si>
    <t>T914</t>
  </si>
  <si>
    <t>TSV-08-0222</t>
  </si>
  <si>
    <t>UPI/CR/523644131078/ABHINAV /CNRB/abhinav/SL1610</t>
  </si>
  <si>
    <t>1,78,315.55</t>
  </si>
  <si>
    <t>UC610-0280</t>
  </si>
  <si>
    <t>TSV-08-0223</t>
  </si>
  <si>
    <t>UPI/CR/523642336396/TANWIR H/HDFC/7979925/SL1610</t>
  </si>
  <si>
    <t>1,79,000.55</t>
  </si>
  <si>
    <t>UC610-0272</t>
  </si>
  <si>
    <t>TSV-08-0224</t>
  </si>
  <si>
    <t>UPI/CR/523651361532/TANISH /KKBK/tanishk/UN3668</t>
  </si>
  <si>
    <t>1,79,500.55</t>
  </si>
  <si>
    <t>TSV-08-0225</t>
  </si>
  <si>
    <t>UPI/CR/523772626190/UDIT SA/SBIN/9871613/SC3567</t>
  </si>
  <si>
    <t>1,79,875.55</t>
  </si>
  <si>
    <t>UC567-0642</t>
  </si>
  <si>
    <t>TSV-08-0226</t>
  </si>
  <si>
    <t>UPI/CR/523798365233/Isha Ga/SBIN/ishagar/KN3817</t>
  </si>
  <si>
    <t>1,80,385.55</t>
  </si>
  <si>
    <t>T493</t>
  </si>
  <si>
    <t>TSV-08-0227</t>
  </si>
  <si>
    <t>UPI/CR/523751146057/RAVINDER/BARB/8287304/SC3567</t>
  </si>
  <si>
    <t>1,80,760.55</t>
  </si>
  <si>
    <t>TSV-08-0228</t>
  </si>
  <si>
    <t>UPI/CR/127035347587/SIVAM KU/HDFC/9096604/SL1610</t>
  </si>
  <si>
    <t>1,81,144.55</t>
  </si>
  <si>
    <t>UC610-0281</t>
  </si>
  <si>
    <t>TSV-08-0229</t>
  </si>
  <si>
    <t>UPI/CR/560365752888/SUKRITI/UTIB/sukriti/SC3567</t>
  </si>
  <si>
    <t>1,81,685.55</t>
  </si>
  <si>
    <t>UC567-0640</t>
  </si>
  <si>
    <t>TSV-08-0230</t>
  </si>
  <si>
    <t>UPI/CR/146501687661/ISHITA G/UTIB/9125736/SL1610</t>
  </si>
  <si>
    <t>1,82,509.55</t>
  </si>
  <si>
    <t>UC610-0274</t>
  </si>
  <si>
    <t>TSV-08-0231</t>
  </si>
  <si>
    <t>UPI/CR/938441409615/VEERA VE/SBIN/8179078/SL1610</t>
  </si>
  <si>
    <t>1,83,633.55</t>
  </si>
  <si>
    <t>UC610-0273</t>
  </si>
  <si>
    <t>TSV-08-0232</t>
  </si>
  <si>
    <t>UPI/CR/110328877788/DHARMA S/HDFC/sohansl/SL1610</t>
  </si>
  <si>
    <t>1,84,619.55</t>
  </si>
  <si>
    <t>UC610-0279</t>
  </si>
  <si>
    <t>TSV-08-0233</t>
  </si>
  <si>
    <t>UPI/CR/110342602898/JITENDRA/UBIN/jitendr/SC3567</t>
  </si>
  <si>
    <t>1,84,735.55</t>
  </si>
  <si>
    <t>TSV-08-0234</t>
  </si>
  <si>
    <t>NEFT/IDFB523846677915/PIYUSH TAG/UTIB0000540/Expenses Reimbursement TSV</t>
  </si>
  <si>
    <t>1,78,991.55</t>
  </si>
  <si>
    <t>Reimbursements</t>
  </si>
  <si>
    <t>TSV-08-0235</t>
  </si>
  <si>
    <t>UPI/CR/388453838587/Mrs SEEM/BDBL/9306597/SL1610</t>
  </si>
  <si>
    <t>1,79,166.55</t>
  </si>
  <si>
    <t>UC610-0286</t>
  </si>
  <si>
    <t>TSV-08-0236</t>
  </si>
  <si>
    <t>UPI/DR/560415337078/URVASHI /YESB/paytmqr/LPG</t>
  </si>
  <si>
    <t>1,78,304.55</t>
  </si>
  <si>
    <t>LPG</t>
  </si>
  <si>
    <t>TSV-08-0237</t>
  </si>
  <si>
    <t>UPI/CR/523853669975/Sanjay/FINO/8295128/KN3817</t>
  </si>
  <si>
    <t>1,78,504.55</t>
  </si>
  <si>
    <t>T486</t>
  </si>
  <si>
    <t>TSV-08-0238</t>
  </si>
  <si>
    <t>UPI/CR/523868556865/AAYUSHMA/HDFC/8287626/SC3567</t>
  </si>
  <si>
    <t>1,78,921.55</t>
  </si>
  <si>
    <t>UC567-0643</t>
  </si>
  <si>
    <t>TSV-08-0239</t>
  </si>
  <si>
    <t>UPI/CR/560567726225/CHANDANI/UTIB/chandni/SC3567</t>
  </si>
  <si>
    <t>1,79,155.55</t>
  </si>
  <si>
    <t>UC567-0648</t>
  </si>
  <si>
    <t>TSV-08-0240</t>
  </si>
  <si>
    <t>UPI/CR/523911411848/SAMEER S/ICIC/sameers/SL1610</t>
  </si>
  <si>
    <t>1,80,122.55</t>
  </si>
  <si>
    <t>UC610-0285</t>
  </si>
  <si>
    <t>TSV-08-0241</t>
  </si>
  <si>
    <t>UPI/CR/110416184955/SHAILI P/HDFC/shailip/SL1610</t>
  </si>
  <si>
    <t>1,81,205.55</t>
  </si>
  <si>
    <t>UC610-0251</t>
  </si>
  <si>
    <t>TSV-08-0242</t>
  </si>
  <si>
    <t>UPI/CR/523931937815/Mr Satvi/CBIN/satvikk/UN3668</t>
  </si>
  <si>
    <t>1,81,525.55</t>
  </si>
  <si>
    <t>T952</t>
  </si>
  <si>
    <t>TSV-08-0243</t>
  </si>
  <si>
    <t>UPI/CR/524071604792/RAHUL AN/IBKL/anandra/UN3668</t>
  </si>
  <si>
    <t>1,81,931.55</t>
  </si>
  <si>
    <t>T942</t>
  </si>
  <si>
    <t>TSV-08-0244</t>
  </si>
  <si>
    <t>UPI/CR/689792388380/SANTOSH/HDFC/9999230/SC3567</t>
  </si>
  <si>
    <t>1,82,031.55</t>
  </si>
  <si>
    <t>TSV-08-0245</t>
  </si>
  <si>
    <t>UPI/DR/524041882009/NAIN SIN/YESB/paytmqr/diesel</t>
  </si>
  <si>
    <t>1,80,031.55</t>
  </si>
  <si>
    <t>Transportation</t>
  </si>
  <si>
    <t>TSV-08-0246</t>
  </si>
  <si>
    <t>BILLPAY/QUICK/Tata Power /20252402571112/28082025</t>
  </si>
  <si>
    <t>1,75,521.55</t>
  </si>
  <si>
    <t>TSV-08-0247</t>
  </si>
  <si>
    <t>UPI/CR/524070433136/SETU SA/SBIN/setu.sa/SC3567</t>
  </si>
  <si>
    <t>1,76,158.55</t>
  </si>
  <si>
    <t>UC567-0641</t>
  </si>
  <si>
    <t>TSV-08-0248</t>
  </si>
  <si>
    <t>UPI/CR/290726520845/AMMAR ZA/UBIN/a.zain@/UN3668</t>
  </si>
  <si>
    <t>1,76,608.55</t>
  </si>
  <si>
    <t>T948</t>
  </si>
  <si>
    <t>TSV-08-0249</t>
  </si>
  <si>
    <t>UPI/CR/524057713591/SUCHESHT/UTIB/9813900/SL1610</t>
  </si>
  <si>
    <t>1,76,741.55</t>
  </si>
  <si>
    <t>UC610-0295</t>
  </si>
  <si>
    <t>TSV-08-0250</t>
  </si>
  <si>
    <t>UPI/CR/388563428669/KASHISH /CNRB/7500959/SL1610</t>
  </si>
  <si>
    <t>1,77,688.55</t>
  </si>
  <si>
    <t>UC610-0278</t>
  </si>
  <si>
    <t>TSV-08-0251</t>
  </si>
  <si>
    <t>UPI/CR/136125992189/BHASKAR /HDFC/9911751/UN3668</t>
  </si>
  <si>
    <t>1,78,188.55</t>
  </si>
  <si>
    <t>T937</t>
  </si>
  <si>
    <t>TSV-08-0252</t>
  </si>
  <si>
    <t>UPI/CR/593345059251/RAKESH K/ICIC/9811069/KN3817</t>
  </si>
  <si>
    <t>1,78,664.55</t>
  </si>
  <si>
    <t>T513</t>
  </si>
  <si>
    <t>TSV-08-0253</t>
  </si>
  <si>
    <t>UPI/CR/689840698062/MALLIKA /FDRL/9990883/KN3817</t>
  </si>
  <si>
    <t>1,79,484.55</t>
  </si>
  <si>
    <t>TSV-08-0254</t>
  </si>
  <si>
    <t>UPI/CR/110488981672/BRIJ KIS/UBIN/brijksi/UN3668</t>
  </si>
  <si>
    <t>1,79,807.55</t>
  </si>
  <si>
    <t>T968</t>
  </si>
  <si>
    <t>TSV-08-0255</t>
  </si>
  <si>
    <t>UPI/CR/524111493918/KAUTUK R/HDFC/9631090/SC3567</t>
  </si>
  <si>
    <t>1,82,538.55</t>
  </si>
  <si>
    <t>TSV-08-0256</t>
  </si>
  <si>
    <t>UPI/CR/689861712787/ANKUR DO/ICIC/9015611/UN3668</t>
  </si>
  <si>
    <t>1,82,938.55</t>
  </si>
  <si>
    <t>T931</t>
  </si>
  <si>
    <t>TSV-08-0257</t>
  </si>
  <si>
    <t>UPI/CR/524112100596/PRAVEEN/HDFC/9999072/SC3567</t>
  </si>
  <si>
    <t>1,83,843.80</t>
  </si>
  <si>
    <t>UC567-0662</t>
  </si>
  <si>
    <t>TSV-08-0258</t>
  </si>
  <si>
    <t>UPI/CR/110507889969/RAUNAK K/HDFC/kondara/SC3567</t>
  </si>
  <si>
    <t>1,86,686.80</t>
  </si>
  <si>
    <t>UC567-0645</t>
  </si>
  <si>
    <t>TSV-08-0259</t>
  </si>
  <si>
    <t>UPI/DR/524267610444/TUMBLEDR/HDFC/tumbled/Royalty</t>
  </si>
  <si>
    <t>1,86,395.85</t>
  </si>
  <si>
    <t>TSV-08-0260</t>
  </si>
  <si>
    <t>UPI/DR/524250309435/TUMBLEDR/HDFC/tumbled/UPI</t>
  </si>
  <si>
    <t>1,83,527.57</t>
  </si>
  <si>
    <t>TSV-08-0261</t>
  </si>
  <si>
    <t>UPI/CR/388630168452/SAKSHI B/ICIC/9625830/SL1610</t>
  </si>
  <si>
    <t>1,84,336.57</t>
  </si>
  <si>
    <t>UC610-0297</t>
  </si>
  <si>
    <t>TSV-08-0262</t>
  </si>
  <si>
    <t>UPI/DR/524362153250/Google I/UTIB/gpay-ut/UPI</t>
  </si>
  <si>
    <t>1,70,976.57</t>
  </si>
  <si>
    <t>TSV-08-0263</t>
  </si>
  <si>
    <t>UPI/CR/524301570372/MALTI DE/UTIB/9324282/SL1610</t>
  </si>
  <si>
    <t>1,75,114.57</t>
  </si>
  <si>
    <t>UC610-0266</t>
  </si>
  <si>
    <t>TSV-08-0264</t>
  </si>
  <si>
    <t>UPI/CR/979602635673/ANURAG /SBIN/8100110/KN3817</t>
  </si>
  <si>
    <t>1,75,914.57</t>
  </si>
  <si>
    <t>T536</t>
  </si>
  <si>
    <t>TSV-08-0265</t>
  </si>
  <si>
    <t>UPI/CR/560956910294/NIKAS/UTIB/nikasko/KN3817</t>
  </si>
  <si>
    <t>1,76,114.57</t>
  </si>
  <si>
    <t>T537</t>
  </si>
  <si>
    <t>TSV-08-0266</t>
  </si>
  <si>
    <t>UPI/CR/277550199808/PRAVEEN/HDFC/bhadana/SC3567</t>
  </si>
  <si>
    <t>1,76,223.57</t>
  </si>
  <si>
    <t>UC567-0670</t>
  </si>
  <si>
    <t>TSV-08-0267</t>
  </si>
  <si>
    <t>UPI/CR/689958300513/AYUSH G/SBIN/ayushbu/SC3567</t>
  </si>
  <si>
    <t>1,76,640.57</t>
  </si>
  <si>
    <t>UC567-0634</t>
  </si>
  <si>
    <t>TSV-08-0268</t>
  </si>
  <si>
    <t>UPI/CR/524323773497/Aastik /SBIN/aastiks/UN3668</t>
  </si>
  <si>
    <t>1,77,140.57</t>
  </si>
  <si>
    <t>T983</t>
  </si>
  <si>
    <t>TSV-08-0269</t>
  </si>
  <si>
    <t>UPI/CR/560931407861/SANJEEV /ICIC/replysk/SC3567</t>
  </si>
  <si>
    <t>1,82,140.57</t>
  </si>
  <si>
    <t>UC567-0665</t>
  </si>
  <si>
    <t>TSV-08-0270</t>
  </si>
  <si>
    <t>UPI/CR/689960944767/SUBHANKA/SBIN/9674041/UN3668</t>
  </si>
  <si>
    <t>1,82,350.57</t>
  </si>
  <si>
    <t>T849</t>
  </si>
  <si>
    <t>TSV-09-0001</t>
  </si>
  <si>
    <t>IMPS-OPM/524412581251/Jitendra Singh/IOBA0003714/5211/AugustAdvanceSalarySC3</t>
  </si>
  <si>
    <t>1,69,850.57</t>
  </si>
  <si>
    <t>09</t>
  </si>
  <si>
    <t>TSV-09-0002</t>
  </si>
  <si>
    <t>UPI/CR/524496224271/AMANDEEP/KKBK/amandee/UN3668</t>
  </si>
  <si>
    <t>1,70,200.57</t>
  </si>
  <si>
    <t>T979</t>
  </si>
  <si>
    <t>TSV-09-0003</t>
  </si>
  <si>
    <t>UPI/CR/524464523491/AMANDEEP/KKBK/amandee/UPI</t>
  </si>
  <si>
    <t>1,70,225.57</t>
  </si>
  <si>
    <t>TSV-09-0004</t>
  </si>
  <si>
    <t>UPI/CR/146136516943/YUG PRAT/PUNB/yugrama/UN3668</t>
  </si>
  <si>
    <t>1,70,625.57</t>
  </si>
  <si>
    <t>T962</t>
  </si>
  <si>
    <t>TSV-09-0005</t>
  </si>
  <si>
    <t>UPI/CR/524597835331/MR SUJAY/SCBL/sujay.k/SL1610</t>
  </si>
  <si>
    <t>1,70,789.57</t>
  </si>
  <si>
    <t>UC610-0284</t>
  </si>
  <si>
    <t>TSV-09-0006</t>
  </si>
  <si>
    <t>UPI/CR/110674473028/SOHUM MU/HDFC/sohummu/UPI</t>
  </si>
  <si>
    <t>1,71,137.57</t>
  </si>
  <si>
    <t>TSV-09-0007</t>
  </si>
  <si>
    <t>UPI/CR/690045606036/MISHA KA/ICIC/8506005/KN3817</t>
  </si>
  <si>
    <t>1,71,537.57</t>
  </si>
  <si>
    <t>T541</t>
  </si>
  <si>
    <t>TSV-09-0008</t>
  </si>
  <si>
    <t>UPI/CR/524570870630/ROHAN TO/HDFC/9717271/SL1610</t>
  </si>
  <si>
    <t>1,74,482.57</t>
  </si>
  <si>
    <t>UC610-0264</t>
  </si>
  <si>
    <t>TSV-09-0009</t>
  </si>
  <si>
    <t>UPI/CR/230032636677/ARPIT P/KKBK/9007904/SC3567</t>
  </si>
  <si>
    <t>1,75,722.57</t>
  </si>
  <si>
    <t>TSV-09-0010</t>
  </si>
  <si>
    <t>UPI/CR/561123754556/ASHISH R/UTIB/aashish/SC3567</t>
  </si>
  <si>
    <t>1,76,973.57</t>
  </si>
  <si>
    <t>UC567-0673</t>
  </si>
  <si>
    <t>TSV-09-0011</t>
  </si>
  <si>
    <t>UPI/CR/022575303586/ASUTOSH /SBIN/8455960/UN3668</t>
  </si>
  <si>
    <t>1,77,701.57</t>
  </si>
  <si>
    <t>T982</t>
  </si>
  <si>
    <t>TSV-09-0012</t>
  </si>
  <si>
    <t>UPI/CR/321860081445/RAJA IRF/UCBA/9079954/UN3668</t>
  </si>
  <si>
    <t>1,78,853.57</t>
  </si>
  <si>
    <t>T978</t>
  </si>
  <si>
    <t>TSV-09-0013</t>
  </si>
  <si>
    <t>UPI/CR/388797241772/BIMLA DE/BKID/8448431/KN3817</t>
  </si>
  <si>
    <t>1,78,854.57</t>
  </si>
  <si>
    <t>NO Bill</t>
  </si>
  <si>
    <t>TSV-09-0014</t>
  </si>
  <si>
    <t>UPI/DR/524639572085/Guru Kru/YESB/paytmqr/LPG SL1</t>
  </si>
  <si>
    <t>1,77,234.57</t>
  </si>
  <si>
    <t>TSV-09-0015</t>
  </si>
  <si>
    <t>UPI/CR/524680236181/ASHOK KU/HDFC/9654612/SL1610</t>
  </si>
  <si>
    <t>1,77,804.57</t>
  </si>
  <si>
    <t>UC610-0294</t>
  </si>
  <si>
    <t>TSV-09-0016</t>
  </si>
  <si>
    <t>UPI/CR/524658635798/Lucky R/SBIN/luckyya/UN3668</t>
  </si>
  <si>
    <t>1,78,412.57</t>
  </si>
  <si>
    <t>T966</t>
  </si>
  <si>
    <t>TSV-09-0017</t>
  </si>
  <si>
    <t>UPI/CR/524680661481/KUMAR AM/HDFC/9818435/UN3668</t>
  </si>
  <si>
    <t>1,79,352.57</t>
  </si>
  <si>
    <t>T870</t>
  </si>
  <si>
    <t>TSV-09-0018</t>
  </si>
  <si>
    <t>UPI/CR/103346143981/Dipankar/AIRP/9540724/SC3567</t>
  </si>
  <si>
    <t>1,79,537.57</t>
  </si>
  <si>
    <t>UC567-0679</t>
  </si>
  <si>
    <t>TSV-09-0019</t>
  </si>
  <si>
    <t>UPI/CR/524684830034/KHUSHI M/HDFC/8795559/SC3567</t>
  </si>
  <si>
    <t>1,80,582.15</t>
  </si>
  <si>
    <t>UC567-0674</t>
  </si>
  <si>
    <t>TSV-09-0020</t>
  </si>
  <si>
    <t>UPI/CR/999175876323/FARIDA Y/PUNB/9144854/SC3567</t>
  </si>
  <si>
    <t>1,80,912.15</t>
  </si>
  <si>
    <t>UC567-0676</t>
  </si>
  <si>
    <t>TSV-09-0021</t>
  </si>
  <si>
    <t>UPI/CR/561202137729/RAVI PAS/HDFC/8877049/SC3567</t>
  </si>
  <si>
    <t>1,81,362.15</t>
  </si>
  <si>
    <t>UC567-0671</t>
  </si>
  <si>
    <t>TSV-09-0022</t>
  </si>
  <si>
    <t>UPI/CR/524687844971/AAYUSHMA/HDFC/8287626/SC3567</t>
  </si>
  <si>
    <t>1,81,760.15</t>
  </si>
  <si>
    <t>UC567-0668</t>
  </si>
  <si>
    <t>TSV-09-0023</t>
  </si>
  <si>
    <t>UPI/CR/110759018460/SHAHIR S/DBSS/shahirs/UN3668</t>
  </si>
  <si>
    <t>1,82,285.15</t>
  </si>
  <si>
    <t>T994</t>
  </si>
  <si>
    <t>TSV-09-0024</t>
  </si>
  <si>
    <t>UPI/CR/561377757950/JANNAT J/ICIC/jannatj/SL1610</t>
  </si>
  <si>
    <t>1,82,802.15</t>
  </si>
  <si>
    <t>UC610-0292</t>
  </si>
  <si>
    <t>TSV-09-0025</t>
  </si>
  <si>
    <t>UPI/CR/690127483837/SUJEET /KKBK/8090886/KN3817</t>
  </si>
  <si>
    <t>1,83,026.15</t>
  </si>
  <si>
    <t>TSV-09-0026</t>
  </si>
  <si>
    <t>UPI/CR/524796235270/TANWIR H/HDFC/7979925/SL1610</t>
  </si>
  <si>
    <t>1,83,615.15</t>
  </si>
  <si>
    <t>UC610-0300</t>
  </si>
  <si>
    <t>TSV-09-0027</t>
  </si>
  <si>
    <t>UPI/CR/524711264548/GARVIT /SBIN/garvit4/SL1610</t>
  </si>
  <si>
    <t>1,84,114.15</t>
  </si>
  <si>
    <t>UC610-0305</t>
  </si>
  <si>
    <t>TSV-09-0028</t>
  </si>
  <si>
    <t>UPI/CR/524712485242/Samant /SBIN/samantk/KN3817</t>
  </si>
  <si>
    <t>1,84,632.15</t>
  </si>
  <si>
    <t>T540</t>
  </si>
  <si>
    <t>TSV-09-0029</t>
  </si>
  <si>
    <t>UPI/CR/523366342328/BABU RAM/ICIC/9811372/SC3567</t>
  </si>
  <si>
    <t>1,84,994.15</t>
  </si>
  <si>
    <t>UC567-0658</t>
  </si>
  <si>
    <t>TSV-09-0030</t>
  </si>
  <si>
    <t>UPI/CR/414021160965/RAKESH K/ICIC/9811069/Payment</t>
  </si>
  <si>
    <t>1,85,470.15</t>
  </si>
  <si>
    <t>TSV-09-0031</t>
  </si>
  <si>
    <t>UPI/CR/110789793359/JAGMEET /HDFC/jagmeet/KN3817</t>
  </si>
  <si>
    <t>1,87,955.15</t>
  </si>
  <si>
    <t>T522</t>
  </si>
  <si>
    <t>TSV-09-0032</t>
  </si>
  <si>
    <t>UPI/CR/524736352094/SETU SA/SBIN/setu.sa/SC3567</t>
  </si>
  <si>
    <t>1,88,434.15</t>
  </si>
  <si>
    <t>UC567-0657</t>
  </si>
  <si>
    <t>TSV-09-0033</t>
  </si>
  <si>
    <t>UPI/DR/524828435061/TUMBLEDR/HDFC/tumbled/Royalty</t>
  </si>
  <si>
    <t>1,86,447.60</t>
  </si>
  <si>
    <t>TSV-09-0034</t>
  </si>
  <si>
    <t>UPI/DR/524867828056/TUMBLEDR/HDFC/tumbled/Royalty</t>
  </si>
  <si>
    <t>1,83,784.94</t>
  </si>
  <si>
    <t>TSV-09-0035</t>
  </si>
  <si>
    <t>UPI/DR/524851421838/SHIV RO /UBIN/pal8336/RO Wate</t>
  </si>
  <si>
    <t>1,83,264.94</t>
  </si>
  <si>
    <t>Consumables</t>
  </si>
  <si>
    <t>TSV-09-0036</t>
  </si>
  <si>
    <t>UPI/CR/561492493729/MOHIT/CNRB/2002sep/UN3668</t>
  </si>
  <si>
    <t>1,83,639.94</t>
  </si>
  <si>
    <t>T1010</t>
  </si>
  <si>
    <t>TSV-09-0037</t>
  </si>
  <si>
    <t>UPI/CR/561471591890/AKHILESH/UCBA/akhiles/UN3668</t>
  </si>
  <si>
    <t>1,83,977.94</t>
  </si>
  <si>
    <t>T985</t>
  </si>
  <si>
    <t>TSV-09-0038</t>
  </si>
  <si>
    <t>UPI/CR/665463948184/POOJA S/SBIN/7004399/KN3817</t>
  </si>
  <si>
    <t>1,84,975.94</t>
  </si>
  <si>
    <t>T561</t>
  </si>
  <si>
    <t>TSV-09-0039</t>
  </si>
  <si>
    <t>UPI/CR/686481744080/TANGELLA/UTIB/suryasa/SL1610</t>
  </si>
  <si>
    <t>1,85,794.94</t>
  </si>
  <si>
    <t>UC610-0303</t>
  </si>
  <si>
    <t>TSV-09-0040</t>
  </si>
  <si>
    <t>UPI/CR/371577884440/LUCKY SI/UCBA/9031097/UN3668</t>
  </si>
  <si>
    <t>1,87,394.94</t>
  </si>
  <si>
    <t>T1019,T1020</t>
  </si>
  <si>
    <t>TSV-09-0041</t>
  </si>
  <si>
    <t>UPI/CR/561407544354/SACHIN /CNRB/8707450/UN3668</t>
  </si>
  <si>
    <t>1,88,114.94</t>
  </si>
  <si>
    <t>T1011</t>
  </si>
  <si>
    <t>TSV-09-0042</t>
  </si>
  <si>
    <t>UPI/CR/194460165170/DINESH S/UBIN/ds70787/UN3668</t>
  </si>
  <si>
    <t>1,88,790.94</t>
  </si>
  <si>
    <t>T977</t>
  </si>
  <si>
    <t>TSV-09-0043</t>
  </si>
  <si>
    <t>UPI/DR/524958090141/Guru Kru/YESB/paytmqr/LPG SC3</t>
  </si>
  <si>
    <t>1,87,170.94</t>
  </si>
  <si>
    <t>TSV-09-0044</t>
  </si>
  <si>
    <t>UPI/CR/137385709662/MUKUL H/SBIN/7838188/SC3567</t>
  </si>
  <si>
    <t>1,87,279.94</t>
  </si>
  <si>
    <t>TSV-09-0045</t>
  </si>
  <si>
    <t>UPI/CR/110858606265/KAJAL GO/HDFC/jaiswal/KN3817</t>
  </si>
  <si>
    <t>1,87,719.94</t>
  </si>
  <si>
    <t>T577</t>
  </si>
  <si>
    <t>TSV-09-0046</t>
  </si>
  <si>
    <t>UPI/CR/280740297351/NEHA/KKBK/8076976/UN3668</t>
  </si>
  <si>
    <t>1,87,749.94</t>
  </si>
  <si>
    <t>T1018</t>
  </si>
  <si>
    <t>TSV-09-0047</t>
  </si>
  <si>
    <t>UPI/CR/524983685984/SANJAY K/UTIB/khazanc/SL1610</t>
  </si>
  <si>
    <t>1,89,666.94</t>
  </si>
  <si>
    <t>UC610-0319</t>
  </si>
  <si>
    <t>TSV-09-0048</t>
  </si>
  <si>
    <t>UPI/CR/110875026175/MONISANK/ICIC/mskbaru/SC3567</t>
  </si>
  <si>
    <t>1,90,405.94</t>
  </si>
  <si>
    <t>TSV-09-0049</t>
  </si>
  <si>
    <t>UPI/CR/690248984873/Mohammad/AIRP/8799705/SC3567</t>
  </si>
  <si>
    <t>1,90,852.94</t>
  </si>
  <si>
    <t>UC567-0661,UC567-0678</t>
  </si>
  <si>
    <t>TSV-09-0050</t>
  </si>
  <si>
    <t>RTGS/SBINR12025090797938981/WAGID ALI SHEIKH/SBI</t>
  </si>
  <si>
    <t>5,00,000.00</t>
  </si>
  <si>
    <t>6,90,852.94</t>
  </si>
  <si>
    <t>TSV-09-0051</t>
  </si>
  <si>
    <t>NEFT/IDFB525047529628/KAUSHALAYA DEVI/CNRB0002379/</t>
  </si>
  <si>
    <t>6,63,852.94</t>
  </si>
  <si>
    <t>TSV-09-0052</t>
  </si>
  <si>
    <t>UPI/CR/525042641032/Mr MANU /CBIN/9811201/SC3567</t>
  </si>
  <si>
    <t>6,64,199.94</t>
  </si>
  <si>
    <t>UC567-0699</t>
  </si>
  <si>
    <t>TSV-09-0053</t>
  </si>
  <si>
    <t>NEFT/IDFB525047528376/POOJA SOOD/INDB0000724/Rent</t>
  </si>
  <si>
    <t>6,24,079.94</t>
  </si>
  <si>
    <t>TSV-09-0054</t>
  </si>
  <si>
    <t>NEFT/IDFB525047529780/SUBHASH CHANDER/HDFC0001562/</t>
  </si>
  <si>
    <t>6,14,079.94</t>
  </si>
  <si>
    <t>TSV-09-0055</t>
  </si>
  <si>
    <t>NEFT/IDFB525047530234/OM PRAKASH DUHANBIMLA DEVI D</t>
  </si>
  <si>
    <t>5,85,079.94</t>
  </si>
  <si>
    <t>TSV-09-0056</t>
  </si>
  <si>
    <t>UPI/CR/525012794385/RAMAN CH/KKBK/7830271/UN3668</t>
  </si>
  <si>
    <t>5,85,699.94</t>
  </si>
  <si>
    <t>T997</t>
  </si>
  <si>
    <t>TSV-09-0057</t>
  </si>
  <si>
    <t>NEFT/IDFBH25250208044/Vishal/CNRB0005123/Salary Sep25 Vishal KN3817</t>
  </si>
  <si>
    <t>5,62,068.94</t>
  </si>
  <si>
    <t>TSV-09-0058</t>
  </si>
  <si>
    <t>NEFT/IDFBH25250208045/Akram Khan/BARB0BUPGBX/Salary Sep25 Akram Khan UN3668</t>
  </si>
  <si>
    <t>5,40,333.94</t>
  </si>
  <si>
    <t>TSV-09-0059</t>
  </si>
  <si>
    <t>NEFT/IDFBH25250208046/Jitendra Singh/IOBA0003714/Salary Sep25 Jitendra Singh SC35</t>
  </si>
  <si>
    <t>5,30,139.94</t>
  </si>
  <si>
    <t>TSV-09-0060</t>
  </si>
  <si>
    <t>NEFT/IDFBH25250208047/Sanjay/FINO0001129/Salary Sep25 Sanjay KN3817</t>
  </si>
  <si>
    <t>5,14,091.94</t>
  </si>
  <si>
    <t>TSV-09-0061</t>
  </si>
  <si>
    <t>NEFT/IDFBH25250208048/Shubham Tiwari/IDFB0021011/Salary Sep25 Shubham Tiwari SC35</t>
  </si>
  <si>
    <t>5,11,897.94</t>
  </si>
  <si>
    <t>TSV-09-0062</t>
  </si>
  <si>
    <t>NEFT/IDFBH25250208049/Jatin Kumar Yadav/FINO0001001/Salary Sep25 Jatin Yadav SL1610</t>
  </si>
  <si>
    <t>4,94,945.94</t>
  </si>
  <si>
    <t>TSV-09-0063</t>
  </si>
  <si>
    <t>NEFT/IDFBH25250208050/Kamal Singh/AIRP0000001/Salary Sep25 Kamal Singh SL1610</t>
  </si>
  <si>
    <t>4,85,622.94</t>
  </si>
  <si>
    <t>TSV-09-0064</t>
  </si>
  <si>
    <t>NEFT/IDFBH25250208051/Piyush Tag/UTIB0000540/Salary Sep25 Piyush Tag TSV</t>
  </si>
  <si>
    <t>4,68,687.94</t>
  </si>
  <si>
    <t>TSV-09-0065</t>
  </si>
  <si>
    <t>NEFT/IDFBH25250208052/Shivam Shrivastav/KKBK0000287/Salary Sep25 Shivam SC3567</t>
  </si>
  <si>
    <t>4,64,816.94</t>
  </si>
  <si>
    <t>TSV-09-0066</t>
  </si>
  <si>
    <t>UPI/CR/502157769381/INDRAJEE/HDFC/8237634/SL1610</t>
  </si>
  <si>
    <t>4,65,515.94</t>
  </si>
  <si>
    <t>UC610-0326</t>
  </si>
  <si>
    <t>TSV-09-0067</t>
  </si>
  <si>
    <t>UPI/CR/561666686920/KARTHIK /ICIC/9591866/SL1610</t>
  </si>
  <si>
    <t>4,66,501.94</t>
  </si>
  <si>
    <t>UC610-0327</t>
  </si>
  <si>
    <t>TSV-09-0068</t>
  </si>
  <si>
    <t>UPI/CR/690297618340/Mr MULAY/CBIN/9516869/SL1610</t>
  </si>
  <si>
    <t>4,66,862.94</t>
  </si>
  <si>
    <t>UC610-0320</t>
  </si>
  <si>
    <t>TSV-09-0069</t>
  </si>
  <si>
    <t>NEFT RETURN/IDFBH25250208050/</t>
  </si>
  <si>
    <t>4,76,185.94</t>
  </si>
  <si>
    <t>Kamal Salary Returned</t>
  </si>
  <si>
    <t>TSV-09-0070</t>
  </si>
  <si>
    <t>UPI/CR/561690197087/SANSKAR /ICIC/mishras/SC3567</t>
  </si>
  <si>
    <t>4,76,812.94</t>
  </si>
  <si>
    <t>UC567-0684</t>
  </si>
  <si>
    <t>TSV-09-0071</t>
  </si>
  <si>
    <t>UPI/CR/525090562432/AISHWARY/UBIN/officia/SC3567</t>
  </si>
  <si>
    <t>4,77,252.34</t>
  </si>
  <si>
    <t>UC567-0690</t>
  </si>
  <si>
    <t>TSV-09-0072</t>
  </si>
  <si>
    <t>UPI/CR/525020482602/RAVINDER/BARB/8287304/SC3567</t>
  </si>
  <si>
    <t>4,77,452.34</t>
  </si>
  <si>
    <t>TSV-09-0073</t>
  </si>
  <si>
    <t>UPI/CR/690301615577/AISHWARY/UBIN/8303314/SC3567</t>
  </si>
  <si>
    <t>4,77,891.74</t>
  </si>
  <si>
    <t>Double Payment - Cancel Order</t>
  </si>
  <si>
    <t>TSV-09-0074</t>
  </si>
  <si>
    <t>UPI/CR/525061711490/SHIVENDR/ICIC/spdjoya/SL1610</t>
  </si>
  <si>
    <t>4,79,014.74</t>
  </si>
  <si>
    <t>UC610-0302</t>
  </si>
  <si>
    <t>TSV-09-0075</t>
  </si>
  <si>
    <t>UPI/CR/525032701974/Bibhab /SBIN/dashing/UN3668</t>
  </si>
  <si>
    <t>4,79,235.74</t>
  </si>
  <si>
    <t>T1040</t>
  </si>
  <si>
    <t>TSV-09-0076</t>
  </si>
  <si>
    <t>UPI/CR/389010090647/RAHUL/ICIC/7042175/KN3817</t>
  </si>
  <si>
    <t>4,79,935.74</t>
  </si>
  <si>
    <t>T548</t>
  </si>
  <si>
    <t>TSV-09-0077</t>
  </si>
  <si>
    <t>UPI/CR/525196238730/ALTHAF K/FDRL/althafk/UN3668</t>
  </si>
  <si>
    <t>4,80,565.74</t>
  </si>
  <si>
    <t>T1015</t>
  </si>
  <si>
    <t>TSV-09-0078</t>
  </si>
  <si>
    <t>UPI/CR/525147848723/ALTHAF K/FDRL/althafk/UN3668</t>
  </si>
  <si>
    <t>4,80,783.74</t>
  </si>
  <si>
    <t>T1016</t>
  </si>
  <si>
    <t>TSV-09-0079</t>
  </si>
  <si>
    <t>UPI/CR/288121352515/MOHIT KE/IPOS/7970846/UN3668</t>
  </si>
  <si>
    <t>4,82,783.74</t>
  </si>
  <si>
    <t>TSV-09-0080</t>
  </si>
  <si>
    <t>UPI/CR/525161136829/K LALITA/UBIN/kurella/UN3668</t>
  </si>
  <si>
    <t>4,83,273.74</t>
  </si>
  <si>
    <t>T1004</t>
  </si>
  <si>
    <t>TSV-09-0081</t>
  </si>
  <si>
    <t>UPI/CR/857541511937/HARPREET/UTIB/9993943/KN3817</t>
  </si>
  <si>
    <t>4,83,483.74</t>
  </si>
  <si>
    <t>T476</t>
  </si>
  <si>
    <t>TSV-09-0082</t>
  </si>
  <si>
    <t>UPI/CR/525106629312/SUNIL GR/PUNB/sunilgr/SC3567</t>
  </si>
  <si>
    <t>4,83,592.74</t>
  </si>
  <si>
    <t>UC567-0654</t>
  </si>
  <si>
    <t>TSV-09-0083</t>
  </si>
  <si>
    <t>UPI/CR/525170450217/ADITYA/SBIN/sinhadi/SL1610</t>
  </si>
  <si>
    <t>4,84,771.74</t>
  </si>
  <si>
    <t>UC610-0308</t>
  </si>
  <si>
    <t>TSV-09-0084</t>
  </si>
  <si>
    <t>UPI/CR/389047974661/BHASHKAR/IDFB/9953001/UN3668</t>
  </si>
  <si>
    <t>4,85,021.74</t>
  </si>
  <si>
    <t>T1002</t>
  </si>
  <si>
    <t>TSV-09-0085</t>
  </si>
  <si>
    <t>UPI/CR/525166337732/MINI SAM/ICIC/mini.83/na</t>
  </si>
  <si>
    <t>4,86,767.74</t>
  </si>
  <si>
    <t>TSV-09-0086</t>
  </si>
  <si>
    <t>UPI/CR/690360009937/LAKSHYA /KKBK/laks799/SL1610</t>
  </si>
  <si>
    <t>4,87,140.74</t>
  </si>
  <si>
    <t>UC610-0328</t>
  </si>
  <si>
    <t>TSV-09-0087</t>
  </si>
  <si>
    <t>UPI/CR/690378722606/Nikhil G/JIOP/9950719/UN3668</t>
  </si>
  <si>
    <t>4,88,866.74</t>
  </si>
  <si>
    <t>T1034</t>
  </si>
  <si>
    <t>TSV-09-0088</t>
  </si>
  <si>
    <t>UPI/CR/525274766246/VINEET/HDFC/9873277/SC3567</t>
  </si>
  <si>
    <t>4,89,066.74</t>
  </si>
  <si>
    <t>UC567-0707</t>
  </si>
  <si>
    <t>TSV-09-0089</t>
  </si>
  <si>
    <t>UPI/CR/525262508724/SURAJ SA/RATN/surajsa/KN3817</t>
  </si>
  <si>
    <t>4,89,866.74</t>
  </si>
  <si>
    <t>TSV-09-0090</t>
  </si>
  <si>
    <t>UPI/CR/525263212565/Samant /SBIN/samantk/KN3817</t>
  </si>
  <si>
    <t>4,90,316.74</t>
  </si>
  <si>
    <t>T570</t>
  </si>
  <si>
    <t>TSV-09-0091</t>
  </si>
  <si>
    <t>UPI/CR/690388983758/RINTU /CNRB/9540264/SC3567</t>
  </si>
  <si>
    <t>4,90,794.74</t>
  </si>
  <si>
    <t>UC567-0682</t>
  </si>
  <si>
    <t>TSV-09-0092</t>
  </si>
  <si>
    <t>UPI/CR/111020992137/ALISHA N/HDFC/ca.alis/UN3668</t>
  </si>
  <si>
    <t>4,91,809.74</t>
  </si>
  <si>
    <t>T1008</t>
  </si>
  <si>
    <t>TSV-09-0093</t>
  </si>
  <si>
    <t>UPI/CR/419548914883/SATYAVIR/HDFC/8920866/UN3668</t>
  </si>
  <si>
    <t>4,92,184.74</t>
  </si>
  <si>
    <t>T1062</t>
  </si>
  <si>
    <t>TSV-09-0094</t>
  </si>
  <si>
    <t>UPI/CR/111024510896/DIVIJA V/HDFC/divijav/SL1610</t>
  </si>
  <si>
    <t>4,92,522.76</t>
  </si>
  <si>
    <t>UC610-0335</t>
  </si>
  <si>
    <t>TSV-09-0095</t>
  </si>
  <si>
    <t>UPI/CR/525276820499/GARVIT /SBIN/garvit4/SL1610</t>
  </si>
  <si>
    <t>4,93,268.76</t>
  </si>
  <si>
    <t>UC610-0325</t>
  </si>
  <si>
    <t>TSV-09-0096</t>
  </si>
  <si>
    <t>UPI/CR/558117903791/SUDHANSH/KKBK/9839239/UN3668</t>
  </si>
  <si>
    <t>4,93,787.76</t>
  </si>
  <si>
    <t>T1005</t>
  </si>
  <si>
    <t>TSV-09-0097</t>
  </si>
  <si>
    <t>UPI/CR/525283986450/AAYUSHMA/HDFC/8287626/SC3567</t>
  </si>
  <si>
    <t>4,94,204.76</t>
  </si>
  <si>
    <t>UC567-0694</t>
  </si>
  <si>
    <t>TSV-09-0098</t>
  </si>
  <si>
    <t>NEFT/IDFBH25252641046/Suraj Kumar/NESF0000333/Salary Sep25 Suraj kumar SL1610</t>
  </si>
  <si>
    <t>4,91,758.76</t>
  </si>
  <si>
    <t>TSV-09-0099</t>
  </si>
  <si>
    <t>NEFT/IDFBH25252641051/Mohsin Khan/SBIN0001679/Salary Sep25 Mohsin Khan UN3668</t>
  </si>
  <si>
    <t>4,78,232.76</t>
  </si>
  <si>
    <t>TSV-09-0100</t>
  </si>
  <si>
    <t>NEFT/IDFBH25252641053/Subham Kumar/PUNB0151900/Salary Sep25 Subham Kumar UN3668</t>
  </si>
  <si>
    <t>4,59,967.76</t>
  </si>
  <si>
    <t>TSV-09-0101</t>
  </si>
  <si>
    <t>NEFT/IDFBH25252641055/Sujeet Kumar/KKBK0000221/Salary Sep25 Sujeet Kumar KN3817</t>
  </si>
  <si>
    <t>4,45,123.76</t>
  </si>
  <si>
    <t>TSV-09-0102</t>
  </si>
  <si>
    <t>NEFT RETURN/IDFBH25252641046/</t>
  </si>
  <si>
    <t>4,47,569.76</t>
  </si>
  <si>
    <t>TSV-09-0103</t>
  </si>
  <si>
    <t>NEFT RETURN/IDFBH25252641053/Any Other Reason</t>
  </si>
  <si>
    <t>4,65,834.76</t>
  </si>
  <si>
    <t>TSV-09-0104</t>
  </si>
  <si>
    <t>UPI/CR/561996875419/TAPAJYOT/ICIC/tapajyo/SC3567</t>
  </si>
  <si>
    <t>4,66,703.76</t>
  </si>
  <si>
    <t>UC567-0688</t>
  </si>
  <si>
    <t>TSV-09-0105</t>
  </si>
  <si>
    <t>UPI/DR/525311502271/Guru Kru/YESB/paytmqr/LPG SL1</t>
  </si>
  <si>
    <t>4,65,083.76</t>
  </si>
  <si>
    <t>TSV-09-0106</t>
  </si>
  <si>
    <t>UPI/CR/525303063189/ARPIT KU/PUNB/shawarp/UN3668</t>
  </si>
  <si>
    <t>4,66,123.76</t>
  </si>
  <si>
    <t>T959</t>
  </si>
  <si>
    <t>TSV-09-0107</t>
  </si>
  <si>
    <t>UPI/CR/181054471058/Dipankar/AIRP/9540724/SC3567</t>
  </si>
  <si>
    <t>4,66,273.76</t>
  </si>
  <si>
    <t>UC567-0716</t>
  </si>
  <si>
    <t>TSV-09-0108</t>
  </si>
  <si>
    <t>UPI/CR/152399784665/RAJA IRF/UCBA/9079954/UN3668</t>
  </si>
  <si>
    <t>4,66,673.76</t>
  </si>
  <si>
    <t>T1022</t>
  </si>
  <si>
    <t>TSV-09-0109</t>
  </si>
  <si>
    <t>UPI/CR/550376661450/GAUTAM K/IPOS/9334424/UN3668</t>
  </si>
  <si>
    <t>4,67,370.76</t>
  </si>
  <si>
    <t>T980</t>
  </si>
  <si>
    <t>TSV-09-0110</t>
  </si>
  <si>
    <t>UPI/CR/525320468874/Mrs USHA/CBIN/urvishi/SC3567</t>
  </si>
  <si>
    <t>4,67,815.76</t>
  </si>
  <si>
    <t>TSV-09-0111</t>
  </si>
  <si>
    <t>UPI/CR/561969519407/MOHIT/KKBK/2002sep/UN3668</t>
  </si>
  <si>
    <t>4,67,958.76</t>
  </si>
  <si>
    <t>T1030</t>
  </si>
  <si>
    <t>TSV-09-0112</t>
  </si>
  <si>
    <t>UPI/CR/561902418479/SARANSH /UTIB/saransh/SC3567</t>
  </si>
  <si>
    <t>4,69,070.76</t>
  </si>
  <si>
    <t>TSV-09-0113</t>
  </si>
  <si>
    <t>UPI/CR/111077249819/PARNIKA /HDFC/rastogi/KN3817</t>
  </si>
  <si>
    <t>4,69,910.76</t>
  </si>
  <si>
    <t>T611</t>
  </si>
  <si>
    <t>TSV-09-0114</t>
  </si>
  <si>
    <t>UPI/CR/919768043741/BRIJBHAN/SBIN/8878754/KN3817</t>
  </si>
  <si>
    <t>4,70,510.76</t>
  </si>
  <si>
    <t>T593</t>
  </si>
  <si>
    <t>TSV-09-0115</t>
  </si>
  <si>
    <t>UPI/DR/525300127700/Suraj Ku/NESF/suraj05/UPI</t>
  </si>
  <si>
    <t>4,68,064.76</t>
  </si>
  <si>
    <t>Salary Suraj</t>
  </si>
  <si>
    <t>TSV-09-0116</t>
  </si>
  <si>
    <t>IMPS-OPM/525321230733/PRABHA RANI WO SH SUSHIL KUMAR/PUNB0151900/7951/ShubhamSalaryAug25UN36</t>
  </si>
  <si>
    <t>4,49,799.76</t>
  </si>
  <si>
    <t>Salary Shumham</t>
  </si>
  <si>
    <t>TSV-09-0117</t>
  </si>
  <si>
    <t>UPI/CR/561926349226/ANUPRIYA/UTIB/anupriy/SC3567</t>
  </si>
  <si>
    <t>4,50,425.76</t>
  </si>
  <si>
    <t>UC567-0706</t>
  </si>
  <si>
    <t>TSV-09-0118</t>
  </si>
  <si>
    <t>UPI/CR/165832676599/MD GHULA/HDFC/9990255/UN3668</t>
  </si>
  <si>
    <t>4,50,958.76</t>
  </si>
  <si>
    <t>T1051</t>
  </si>
  <si>
    <t>TSV-09-0119</t>
  </si>
  <si>
    <t>UPI/CR/167620155182/ABHINAV /ICIC/9667708/UN3668</t>
  </si>
  <si>
    <t>4,52,206.76</t>
  </si>
  <si>
    <t>T1009</t>
  </si>
  <si>
    <t>TSV-09-0120</t>
  </si>
  <si>
    <t>UPI/CR/525468251491/Vaibhaw /SBIN/9431153/UN3668</t>
  </si>
  <si>
    <t>4,52,618.76</t>
  </si>
  <si>
    <t>T1037</t>
  </si>
  <si>
    <t>TSV-09-0121</t>
  </si>
  <si>
    <t>UPI/CR/690506081180/Mohammad/AIRP/8799705/SC3567</t>
  </si>
  <si>
    <t>4,53,014.76</t>
  </si>
  <si>
    <t>UC567-0677</t>
  </si>
  <si>
    <t>TSV-09-0122</t>
  </si>
  <si>
    <t>UPI/CR/690506245797/BHAVESH /IBKL/8860021/UN3668</t>
  </si>
  <si>
    <t>4,53,714.76</t>
  </si>
  <si>
    <t>T984</t>
  </si>
  <si>
    <t>TSV-09-0123</t>
  </si>
  <si>
    <t>UPI/CR/389192954742/MUSKAN S/UBIN/9971825/UN3668</t>
  </si>
  <si>
    <t>4,53,834.76</t>
  </si>
  <si>
    <t>T1031</t>
  </si>
  <si>
    <t>TSV-09-0124</t>
  </si>
  <si>
    <t>UPI/CR/111128938480/SHOBHANA/BARB/shobhik/UN3668</t>
  </si>
  <si>
    <t>4,54,230.76</t>
  </si>
  <si>
    <t>T951</t>
  </si>
  <si>
    <t>TSV-09-0125</t>
  </si>
  <si>
    <t>UPI/DR/562139915220/TUMBLEDR/HDFC/tumbled/Royalty</t>
  </si>
  <si>
    <t>4,52,890.44</t>
  </si>
  <si>
    <t>TSV-09-0126</t>
  </si>
  <si>
    <t>UPI/DR/562121910959/VANDITA /UBIN/vandita/SC3567</t>
  </si>
  <si>
    <t>4,52,451.04</t>
  </si>
  <si>
    <t>Refund</t>
  </si>
  <si>
    <t>TSV-09-0127</t>
  </si>
  <si>
    <t>UPI/CR/603567609468/SAHIL VO/AIRP/8630510/SL1610</t>
  </si>
  <si>
    <t>4,52,800.04</t>
  </si>
  <si>
    <t>UC610-0344</t>
  </si>
  <si>
    <t>TSV-09-0128</t>
  </si>
  <si>
    <t>UPI/DR/562101355045/Guru Kru/YESB/paytmqr/LPG SC3</t>
  </si>
  <si>
    <t>4,51,180.04</t>
  </si>
  <si>
    <t>TSV-09-0129</t>
  </si>
  <si>
    <t>UPI/DR/562177747574/MANISH /KKBK/9560476/UPI</t>
  </si>
  <si>
    <t>4,41,857.04</t>
  </si>
  <si>
    <t>Salary Kamal</t>
  </si>
  <si>
    <t>TSV-09-0130</t>
  </si>
  <si>
    <t>UPI/CR/192130363744/SANJEEV /ICIC/san.goe/SC3567</t>
  </si>
  <si>
    <t>4,47,709.04</t>
  </si>
  <si>
    <t>UC567-0644</t>
  </si>
  <si>
    <t>TSV-09-0131</t>
  </si>
  <si>
    <t>UPI/CR/525514282438/Lucky R/SBIN/luckyya/UN3668</t>
  </si>
  <si>
    <t>4,47,959.04</t>
  </si>
  <si>
    <t>T967</t>
  </si>
  <si>
    <t>TSV-09-0132</t>
  </si>
  <si>
    <t>UPI/CR/562177062933/YASHITA /ICIC/yashita/KN3817</t>
  </si>
  <si>
    <t>4,48,359.04</t>
  </si>
  <si>
    <t>TSV-09-0133</t>
  </si>
  <si>
    <t>UPI/CR/562109123982/ABHYUDAY/KKBK/abhyudh/UN3668</t>
  </si>
  <si>
    <t>4,48,569.04</t>
  </si>
  <si>
    <t>T1046</t>
  </si>
  <si>
    <t>TSV-09-0134</t>
  </si>
  <si>
    <t>UPI/CR/389257954360/ANUJ JA/YESB/7065426/SL1610</t>
  </si>
  <si>
    <t>4,48,624.04</t>
  </si>
  <si>
    <t>TSV-09-0135</t>
  </si>
  <si>
    <t>UPI/CR/525612264363/SHIVAM S/KKBK/9560965/SC3567</t>
  </si>
  <si>
    <t>4,48,834.04</t>
  </si>
  <si>
    <t>UC567-0721</t>
  </si>
  <si>
    <t>TSV-09-0136</t>
  </si>
  <si>
    <t>UPI/CR/562243990158/GARVIT D/PUNB/garvitd/SC3567</t>
  </si>
  <si>
    <t>4,49,196.04</t>
  </si>
  <si>
    <t>UC567-0711</t>
  </si>
  <si>
    <t>TSV-09-0137</t>
  </si>
  <si>
    <t>UPI/CR/185479068601/KANAK KU/HDFC/9741051/SC3567</t>
  </si>
  <si>
    <t>4,50,344.04</t>
  </si>
  <si>
    <t>TSV-09-0138</t>
  </si>
  <si>
    <t>UPI/CR/525683893731/TARUN K/SBIN/9971422/SC3567</t>
  </si>
  <si>
    <t>4,50,494.04</t>
  </si>
  <si>
    <t>UC567-0693</t>
  </si>
  <si>
    <t>TSV-09-0139</t>
  </si>
  <si>
    <t>UPI/CR/160680930953/SADHVI/SBIN/6204539/UN3668</t>
  </si>
  <si>
    <t>4,50,754.04</t>
  </si>
  <si>
    <t>T1014</t>
  </si>
  <si>
    <t>TSV-09-0140</t>
  </si>
  <si>
    <t>UPI/CR/525629017904/ROHAN GU/ICIC/rohan.c/SL1610</t>
  </si>
  <si>
    <t>4,52,004.04</t>
  </si>
  <si>
    <t>UC610-0313</t>
  </si>
  <si>
    <t>TSV-09-0141</t>
  </si>
  <si>
    <t>UPI/DR/525676936243/Google I/UTIB/gpay-ut/UPI</t>
  </si>
  <si>
    <t>4,38,754.04</t>
  </si>
  <si>
    <t>TSV-09-0142</t>
  </si>
  <si>
    <t>UPI/CR/117727268416/HARDEEP /KKBK/7080484/SL1610</t>
  </si>
  <si>
    <t>4,39,310.04</t>
  </si>
  <si>
    <t>UC610-0342</t>
  </si>
  <si>
    <t>TSV-09-0143</t>
  </si>
  <si>
    <t>UPI/CR/111216660246/SWAYAM G/HDFC/swayam./SL1610</t>
  </si>
  <si>
    <t>4,40,239.04</t>
  </si>
  <si>
    <t>UC610-0343</t>
  </si>
  <si>
    <t>TSV-09-0144</t>
  </si>
  <si>
    <t>UPI/CR/525643091511/PIYUSH A/HDFC/8800769/UN3668</t>
  </si>
  <si>
    <t>4,40,551.04</t>
  </si>
  <si>
    <t>T1060</t>
  </si>
  <si>
    <t>TSV-09-0145</t>
  </si>
  <si>
    <t>UPI/CR/525643314980/KISHAN K/HDFC/7379468/UN3668</t>
  </si>
  <si>
    <t>4,40,977.04</t>
  </si>
  <si>
    <t>T1041</t>
  </si>
  <si>
    <t>TSV-09-0146</t>
  </si>
  <si>
    <t>UPI/CR/111221930047/NITI SHU/HDFC/nitishu/UN3668</t>
  </si>
  <si>
    <t>4,42,027.04</t>
  </si>
  <si>
    <t>T1039</t>
  </si>
  <si>
    <t>TSV-09-0147</t>
  </si>
  <si>
    <t>UPI/CR/525611325791/DEEPANSH/ICIC/theriwa/UN3668</t>
  </si>
  <si>
    <t>4,42,350.04</t>
  </si>
  <si>
    <t>T1065</t>
  </si>
  <si>
    <t>TSV-09-0148</t>
  </si>
  <si>
    <t>UPI/CR/414728502856/NEHA ARO/HDFC/9990490/UN3668</t>
  </si>
  <si>
    <t>4,43,316.04</t>
  </si>
  <si>
    <t>TSV-09-0149</t>
  </si>
  <si>
    <t>UPI/CR/525792562959/ABHI JIN/CNRB/jindala/SL1610</t>
  </si>
  <si>
    <t>4,43,633.04</t>
  </si>
  <si>
    <t>UC610-0348</t>
  </si>
  <si>
    <t>TSV-09-0150</t>
  </si>
  <si>
    <t>UPI/CR/424332291196/ANKITH G/ICIC/ankithg/SL1610</t>
  </si>
  <si>
    <t>4,44,115.04</t>
  </si>
  <si>
    <t>UC610-0345</t>
  </si>
  <si>
    <t>TSV-09-0151</t>
  </si>
  <si>
    <t>UPI/CR/525773695204/RAJNI PA/PUNB/rajnipa/SL1610</t>
  </si>
  <si>
    <t>4,44,482.04</t>
  </si>
  <si>
    <t>UC610-0329</t>
  </si>
  <si>
    <t>TSV-09-0152</t>
  </si>
  <si>
    <t>UPI/CR/525718005624/Anjali S/KKBK/8076483/UN3668</t>
  </si>
  <si>
    <t>4,45,582.04</t>
  </si>
  <si>
    <t>T1074</t>
  </si>
  <si>
    <t>TSV-09-0153</t>
  </si>
  <si>
    <t>UPI/CR/525791970531/Mrs USHA/CBIN/urvishi/SL1610</t>
  </si>
  <si>
    <t>4,46,230.04</t>
  </si>
  <si>
    <t>UC610-0321</t>
  </si>
  <si>
    <t>TSV-09-0154</t>
  </si>
  <si>
    <t>UPI/CR/697305136330/JAYANTI/FDRL/8735839/SC3567</t>
  </si>
  <si>
    <t>4,46,580.04</t>
  </si>
  <si>
    <t>UC567-0709</t>
  </si>
  <si>
    <t>TSV-09-0155</t>
  </si>
  <si>
    <t>UPI/CR/525720460701/Raksha K/KKBK/7903674/UN3668</t>
  </si>
  <si>
    <t>4,48,380.04</t>
  </si>
  <si>
    <t>T1049</t>
  </si>
  <si>
    <t>TSV-09-0156</t>
  </si>
  <si>
    <t>UPI/CR/525853536140/MEENAKSH/CNRB/kainmee/UN3668</t>
  </si>
  <si>
    <t>4,49,420.04</t>
  </si>
  <si>
    <t>TSV-09-0157</t>
  </si>
  <si>
    <t>UPI/CR/083217117857/JITENDRA/UCBA/8447160/UN3668</t>
  </si>
  <si>
    <t>4,54,420.04</t>
  </si>
  <si>
    <t>T1068,T1088</t>
  </si>
  <si>
    <t>TSV-09-0158</t>
  </si>
  <si>
    <t>UPI/CR/339013800205/PRIYANSH/YESB/7895282/UN3668</t>
  </si>
  <si>
    <t>4,55,260.04</t>
  </si>
  <si>
    <t>TSV-09-0159</t>
  </si>
  <si>
    <t>UPI/CR/509041483229/GEETA/UTIB/6350208/UN3668</t>
  </si>
  <si>
    <t>4,55,755.04</t>
  </si>
  <si>
    <t>T1090</t>
  </si>
  <si>
    <t>TSV-09-0160</t>
  </si>
  <si>
    <t>UPI/CR/525978974443/BRIJESH /HDFC/9811953/UN3668</t>
  </si>
  <si>
    <t>4,56,565.04</t>
  </si>
  <si>
    <t>T1000</t>
  </si>
  <si>
    <t>TSV-09-0161</t>
  </si>
  <si>
    <t>UPI/CR/562540312548/NEHA PAL/BKID/nehapal/UN3668</t>
  </si>
  <si>
    <t>4,57,555.04</t>
  </si>
  <si>
    <t>T1027</t>
  </si>
  <si>
    <t>TSV-09-0162</t>
  </si>
  <si>
    <t>UPI/CR/140739635339/PALAK AN/HDFC/7011125/UN3668</t>
  </si>
  <si>
    <t>4,57,755.04</t>
  </si>
  <si>
    <t>T1084</t>
  </si>
  <si>
    <t>TSV-09-0163</t>
  </si>
  <si>
    <t>UPI/CR/956670796333/PALAK AN/HDFC/7011125/UN3668</t>
  </si>
  <si>
    <t>4,57,955.04</t>
  </si>
  <si>
    <t>TSV-09-0164</t>
  </si>
  <si>
    <t>UPI/CR/526087953677/JUBIN JA/SBIN/9899293/SC3567</t>
  </si>
  <si>
    <t>4,58,716.04</t>
  </si>
  <si>
    <t>UC567-0724</t>
  </si>
  <si>
    <t>TSV-09-0165</t>
  </si>
  <si>
    <t>UPI/CR/526094320529/SHIVAM K/HDFC/7970549/UN3668</t>
  </si>
  <si>
    <t>4,58,971.04</t>
  </si>
  <si>
    <t>T1078</t>
  </si>
  <si>
    <t>TSV-09-0166</t>
  </si>
  <si>
    <t>UPI/CR/526089574686/JUBIN JA/SBIN/9899293/Sent us</t>
  </si>
  <si>
    <t>4,59,107.04</t>
  </si>
  <si>
    <t>TSV-09-0167</t>
  </si>
  <si>
    <t>UPI/CR/111375429471/MAUSHISH/DCBL/chamarn/SL1610</t>
  </si>
  <si>
    <t>4,59,967.04</t>
  </si>
  <si>
    <t>UC610-0349</t>
  </si>
  <si>
    <t>TSV-09-0168</t>
  </si>
  <si>
    <t>UPI/CR/526090361034/TANWIR H/HDFC/7979925/SL1610</t>
  </si>
  <si>
    <t>4,60,573.04</t>
  </si>
  <si>
    <t>UC610-0351</t>
  </si>
  <si>
    <t>TSV-09-0169</t>
  </si>
  <si>
    <t>UPI/CR/526090696424/PIYUSH A/HDFC/8800769/UN3668</t>
  </si>
  <si>
    <t>4,60,973.04</t>
  </si>
  <si>
    <t>T1059</t>
  </si>
  <si>
    <t>TSV-09-0170</t>
  </si>
  <si>
    <t>UPI/CR/562600978547/ASHWIN R/CNRB/ashwinu/UN3668</t>
  </si>
  <si>
    <t>4,61,272.04</t>
  </si>
  <si>
    <t>T1055</t>
  </si>
  <si>
    <t>TSV-09-0171</t>
  </si>
  <si>
    <t>IMPS-OPM/526017670172/HABIB ALI SHEIKH/ICIC0000004/4846/SalaryHabibAug25TSV</t>
  </si>
  <si>
    <t>4,41,272.04</t>
  </si>
  <si>
    <t>Habib Sheikh</t>
  </si>
  <si>
    <t>TSV-09-0172</t>
  </si>
  <si>
    <t>IMPS-OPM/526017671462/ADNAN ALI SHEIKH/ICIC0000004/8358/SalaryAdnanAug25TSV</t>
  </si>
  <si>
    <t>4,21,272.04</t>
  </si>
  <si>
    <t>Adnan Sheikh</t>
  </si>
  <si>
    <t>TSV-09-0173</t>
  </si>
  <si>
    <t>UPI/CR/526091864121/AAYUSHMA/HDFC/8287626/SC3567</t>
  </si>
  <si>
    <t>4,21,446.04</t>
  </si>
  <si>
    <t>UC567-0728</t>
  </si>
  <si>
    <t>TSV-09-0174</t>
  </si>
  <si>
    <t>UPI/CR/526092268281/MR HARPR/SCBL/9999914/SC3567</t>
  </si>
  <si>
    <t>4,21,555.04</t>
  </si>
  <si>
    <t>UC567-0722</t>
  </si>
  <si>
    <t>TSV-09-0175</t>
  </si>
  <si>
    <t>UPI/CR/526072078476/PRIYAM K/ICIC/priyamk/SL1610</t>
  </si>
  <si>
    <t>4,21,930.04</t>
  </si>
  <si>
    <t>UC610-0359</t>
  </si>
  <si>
    <t>TSV-09-0176</t>
  </si>
  <si>
    <t>UPI/CR/526010148729/Parv Go/SBIN/9729944/UN3668</t>
  </si>
  <si>
    <t>4,22,208.04</t>
  </si>
  <si>
    <t>T1104</t>
  </si>
  <si>
    <t>TSV-09-0177</t>
  </si>
  <si>
    <t>UPI/CR/526038394691/Tanish /SBIN/tanishk/UN3668</t>
  </si>
  <si>
    <t>4,22,758.04</t>
  </si>
  <si>
    <t>T1067</t>
  </si>
  <si>
    <t>TSV-09-0178</t>
  </si>
  <si>
    <t>UPI/CR/201845305574/KURAKULA/UTIB/kurakul/SL1610</t>
  </si>
  <si>
    <t>4,23,535.04</t>
  </si>
  <si>
    <t>UC610-0355</t>
  </si>
  <si>
    <t>TSV-09-0179</t>
  </si>
  <si>
    <t>UPI/DR/526140498180/NAIN SIN/YESB/paytmqr/Diesel</t>
  </si>
  <si>
    <t>4,19,535.04</t>
  </si>
  <si>
    <t>Dieself</t>
  </si>
  <si>
    <t>TSV-09-0180</t>
  </si>
  <si>
    <t>UPI/CR/405726817218/NEHA KU/SBIN/9637130/Payment</t>
  </si>
  <si>
    <t>4,20,142.04</t>
  </si>
  <si>
    <t>UC610-0354</t>
  </si>
  <si>
    <t>TSV-09-0181</t>
  </si>
  <si>
    <t>UPI/CR/690847126547/DEEPIKA/YESB/deep009/UN3668</t>
  </si>
  <si>
    <t>4,20,690.04</t>
  </si>
  <si>
    <t>T1080,T1081</t>
  </si>
  <si>
    <t>TSV-09-0182</t>
  </si>
  <si>
    <t>UPI/CR/526157746880/AMANDEEP/KKBK/amandee/UN3668</t>
  </si>
  <si>
    <t>4,20,810.04</t>
  </si>
  <si>
    <t>T1003</t>
  </si>
  <si>
    <t>TSV-09-0183</t>
  </si>
  <si>
    <t>UPI/CR/111419778200/SHAHIR S/DBSS/shahirs/UN3668</t>
  </si>
  <si>
    <t>4,21,237.04</t>
  </si>
  <si>
    <t>T1100</t>
  </si>
  <si>
    <t>TSV-09-0184</t>
  </si>
  <si>
    <t>UPI/CR/111423892720/UMA/HDFC/umasuha/UN3668</t>
  </si>
  <si>
    <t>4,22,043.04</t>
  </si>
  <si>
    <t>T1056,T1057</t>
  </si>
  <si>
    <t>TSV-09-0185</t>
  </si>
  <si>
    <t>UPI/DR/562718842353/TUMBLEDR/HDFC/tumbled/Chemica</t>
  </si>
  <si>
    <t>3,90,114.90</t>
  </si>
  <si>
    <t>TSV-09-0186</t>
  </si>
  <si>
    <t>UPI/CR/263113319929/SHASHWAT/UBIN/9229080/UN3668</t>
  </si>
  <si>
    <t>3,90,197.90</t>
  </si>
  <si>
    <t>T1098</t>
  </si>
  <si>
    <t>TSV-09-0187</t>
  </si>
  <si>
    <t>UPI/CR/306111451447/RAJAT GA/HDFC/9717669/KN3817</t>
  </si>
  <si>
    <t>3,90,522.90</t>
  </si>
  <si>
    <t>TSV-09-0188</t>
  </si>
  <si>
    <t>UPI/CR/526105413881/TAHERUDD/ICIC/8800608/SC3567</t>
  </si>
  <si>
    <t>3,90,822.90</t>
  </si>
  <si>
    <t>UC567-0732</t>
  </si>
  <si>
    <t>TSV-09-0189</t>
  </si>
  <si>
    <t>UPI/CR/111435289178/SOHUM MU/HDFC/sohum.3/PAY BY</t>
  </si>
  <si>
    <t>3,91,163.90</t>
  </si>
  <si>
    <t>TSV-09-0190</t>
  </si>
  <si>
    <t>UPI/CR/526195792905/KANAK KU/IPOS/kanakku/UN3668</t>
  </si>
  <si>
    <t>3,92,606.90</t>
  </si>
  <si>
    <t>T1077</t>
  </si>
  <si>
    <t>TSV-09-0191</t>
  </si>
  <si>
    <t>UPI/CR/526210001697/JAYESH D/SBIN/bala.d./SC3567</t>
  </si>
  <si>
    <t>3,92,705.90</t>
  </si>
  <si>
    <t>UC567-0740</t>
  </si>
  <si>
    <t>TSV-09-0192</t>
  </si>
  <si>
    <t>UPI/CR/111456653085/GEETESH /HDFC/singh.g/KN3817</t>
  </si>
  <si>
    <t>3,93,025.90</t>
  </si>
  <si>
    <t>T610</t>
  </si>
  <si>
    <t>TSV-09-0193</t>
  </si>
  <si>
    <t>UPI/CR/111461564641/NEERU BH/HDFC/neeru2k/UN3668</t>
  </si>
  <si>
    <t>3,93,155.90</t>
  </si>
  <si>
    <t>T1064</t>
  </si>
  <si>
    <t>TSV-09-0194</t>
  </si>
  <si>
    <t>UPI/CR/111461729808/SWARNA K/JAKA/swarnak/KN3817</t>
  </si>
  <si>
    <t>3,93,455.90</t>
  </si>
  <si>
    <t>TSV-09-0195</t>
  </si>
  <si>
    <t>UPI/CR/389549599637/SHASHANK/BARB/7903535/UN3668</t>
  </si>
  <si>
    <t>3,94,055.90</t>
  </si>
  <si>
    <t>T1075</t>
  </si>
  <si>
    <t>TSV-09-0196</t>
  </si>
  <si>
    <t>UPI/DR/562886282659/TUMBLEDR/HDFC/tumbled/Royalty</t>
  </si>
  <si>
    <t>3,86,882.49</t>
  </si>
  <si>
    <t>TSV-09-0197</t>
  </si>
  <si>
    <t>UPI/CR/389555216160/RINTU /CNRB/9540264/SC3567</t>
  </si>
  <si>
    <t>3,87,180.49</t>
  </si>
  <si>
    <t>UC567-0712</t>
  </si>
  <si>
    <t>TSV-09-0198</t>
  </si>
  <si>
    <t>UPI/DR/562825476829/TUMBLEDR/HDFC/tumbled/Royalty</t>
  </si>
  <si>
    <t>3,86,455.23</t>
  </si>
  <si>
    <t>TSV-09-0199</t>
  </si>
  <si>
    <t>UPI/DR/562869187387/MEENA R/IOBA/9711265/Account</t>
  </si>
  <si>
    <t>3,63,955.23</t>
  </si>
  <si>
    <t>Accounting Services</t>
  </si>
  <si>
    <t>TSV-09-0200</t>
  </si>
  <si>
    <t>UPI/CR/526302369677/SEHAJPAL/SBIN/sehajpa/KN3817</t>
  </si>
  <si>
    <t>3,64,285.23</t>
  </si>
  <si>
    <t>T717</t>
  </si>
  <si>
    <t>TSV-09-0201</t>
  </si>
  <si>
    <t>UPI/CR/690959214430/Yeshu Gu/AIRP/9711152/KN3817</t>
  </si>
  <si>
    <t>3,64,785.23</t>
  </si>
  <si>
    <t>T656</t>
  </si>
  <si>
    <t>TSV-09-0202</t>
  </si>
  <si>
    <t>UPI/CR/111515530504/KANIKA A/HDFC/knika.a/KN3817</t>
  </si>
  <si>
    <t>3,65,323.23</t>
  </si>
  <si>
    <t>T652</t>
  </si>
  <si>
    <t>TSV-09-0203</t>
  </si>
  <si>
    <t>UPI/CR/190751842106/ANUJAGGA/KKBK/9560258/UN3668</t>
  </si>
  <si>
    <t>3,65,748.23</t>
  </si>
  <si>
    <t>T1099</t>
  </si>
  <si>
    <t>TSV-09-0204</t>
  </si>
  <si>
    <t>UPI/CR/111525535868/POONAM C/HDFC/chawla./UN3668</t>
  </si>
  <si>
    <t>3,66,028.23</t>
  </si>
  <si>
    <t>T1061</t>
  </si>
  <si>
    <t>TSV-09-0205</t>
  </si>
  <si>
    <t>UPI/DR/526470683855/SVK TRAD/PUNB/9811063/RWA Mai</t>
  </si>
  <si>
    <t>3,60,263.23</t>
  </si>
  <si>
    <t>Maintenance</t>
  </si>
  <si>
    <t>TSV-09-0206</t>
  </si>
  <si>
    <t>UPI/CR/526423849068/RITVIK R/UCBA/ritvikj/KN3817</t>
  </si>
  <si>
    <t>3,60,713.23</t>
  </si>
  <si>
    <t>TSV-09-0207</t>
  </si>
  <si>
    <t>UPI/CR/526422466785/Pratima /JIOP/8235905/UN3668</t>
  </si>
  <si>
    <t>3,60,988.23</t>
  </si>
  <si>
    <t>T1093</t>
  </si>
  <si>
    <t>TSV-09-0208</t>
  </si>
  <si>
    <t>UPI/CR/514401584048/PRAKASH /UBIN/9891978/UN3668</t>
  </si>
  <si>
    <t>3,62,394.23</t>
  </si>
  <si>
    <t>T1086</t>
  </si>
  <si>
    <t>TSV-09-0209</t>
  </si>
  <si>
    <t>UPI/DR/526486193142/Rigoss/ICIC/rigoss./DG Powe</t>
  </si>
  <si>
    <t>3,61,674.23</t>
  </si>
  <si>
    <t>TSV-09-0210</t>
  </si>
  <si>
    <t>UPI/DR/563038400705/Rigoss/ICIC/rigoss./Electri</t>
  </si>
  <si>
    <t>3,51,814.23</t>
  </si>
  <si>
    <t>TSV-09-0211</t>
  </si>
  <si>
    <t>UPI/CR/563066970264/PARVEEN/IPOS/6395707/SL1610</t>
  </si>
  <si>
    <t>3,51,923.23</t>
  </si>
  <si>
    <t>UC610-0367</t>
  </si>
  <si>
    <t>TSV-09-0212</t>
  </si>
  <si>
    <t>UPI/DR/563011409476/LIVREGAL/IDFB/8812144/meeting</t>
  </si>
  <si>
    <t>3,49,313.23</t>
  </si>
  <si>
    <t>Team Meeting</t>
  </si>
  <si>
    <t>TSV-09-0213</t>
  </si>
  <si>
    <t>UPI/CR/563010824468/YASH PAN/KKBK/yashpan/SL1610</t>
  </si>
  <si>
    <t>3,49,612.23</t>
  </si>
  <si>
    <t>UC610-0361</t>
  </si>
  <si>
    <t>TSV-09-0214</t>
  </si>
  <si>
    <t>UPI/DR/563082025211/Guru Kru/YESB/paytmqr/LPG SL1</t>
  </si>
  <si>
    <t>3,47,992.23</t>
  </si>
  <si>
    <t>TSV-09-0215</t>
  </si>
  <si>
    <t>UPI/CR/691032283420/LAKSHYA /KKBK/laks799/SL1610</t>
  </si>
  <si>
    <t>3,48,217.23</t>
  </si>
  <si>
    <t>UC610-0372</t>
  </si>
  <si>
    <t>TSV-09-0216</t>
  </si>
  <si>
    <t>UPI/CR/563122349775/SAMEER H/ICIC/hsameer/UN3668</t>
  </si>
  <si>
    <t>3,50,092.23</t>
  </si>
  <si>
    <t>T1070</t>
  </si>
  <si>
    <t>TSV-09-0217</t>
  </si>
  <si>
    <t>UPI/DR/563126982421/TATA STA/HDFC/tatasta/Generat</t>
  </si>
  <si>
    <t>3,49,144.23</t>
  </si>
  <si>
    <t>Staff Welfare</t>
  </si>
  <si>
    <t>TSV-09-0218</t>
  </si>
  <si>
    <t>UPI/DR/563142474235/M/S.UCON/ICIC/uconcep/Chemica</t>
  </si>
  <si>
    <t>3,27,028.23</t>
  </si>
  <si>
    <t>TSV-09-0219</t>
  </si>
  <si>
    <t>UPI/DR/563169383108/M/S.UCON/ICIC/uconcep/Chemica</t>
  </si>
  <si>
    <t>3,12,477.23</t>
  </si>
  <si>
    <t>TSV-09-0220</t>
  </si>
  <si>
    <t>UPI/CR/111614790518/AKSH SAH/HDFC/sahniak/SL1610</t>
  </si>
  <si>
    <t>3,13,244.23</t>
  </si>
  <si>
    <t>UC610-0369</t>
  </si>
  <si>
    <t>TSV-09-0221</t>
  </si>
  <si>
    <t>UPI/CR/563192758204/Sanjay/FINO/8295128/KN3817</t>
  </si>
  <si>
    <t>3,13,602.23</t>
  </si>
  <si>
    <t>T657</t>
  </si>
  <si>
    <t>TSV-09-0222</t>
  </si>
  <si>
    <t>UPI/CR/111616622490/SWAYAM G/HDFC/swayam./SL1610</t>
  </si>
  <si>
    <t>3,14,218.23</t>
  </si>
  <si>
    <t>UC610-0376</t>
  </si>
  <si>
    <t>TSV-09-0223</t>
  </si>
  <si>
    <t>UPI/CR/111624006087/BHARAT S/PUNB/bharats/SC3567</t>
  </si>
  <si>
    <t>3,14,318.23</t>
  </si>
  <si>
    <t>TSV-09-0224</t>
  </si>
  <si>
    <t>UPI/CR/637076937895/GAURAV/UTKS/rahulah/UN3668</t>
  </si>
  <si>
    <t>3,14,468.23</t>
  </si>
  <si>
    <t>T1133</t>
  </si>
  <si>
    <t>TSV-09-0225</t>
  </si>
  <si>
    <t>UPI/DR/526641522774/airtel/UTIB/airtel./Mobile</t>
  </si>
  <si>
    <t>3,13,134.15</t>
  </si>
  <si>
    <t>TSV-09-0226</t>
  </si>
  <si>
    <t>UPI/CR/389730262892/ANKIT BH/ICIC/9717033/UN3668</t>
  </si>
  <si>
    <t>3,13,774.15</t>
  </si>
  <si>
    <t>T1111</t>
  </si>
  <si>
    <t>TSV-09-0227</t>
  </si>
  <si>
    <t>UPI/CR/526659263537/MITTI ME/UTIB/mitti.m/UN3668</t>
  </si>
  <si>
    <t>3,15,278.15</t>
  </si>
  <si>
    <t>T1112</t>
  </si>
  <si>
    <t>TSV-09-0228</t>
  </si>
  <si>
    <t>UPI/CR/526685659787/SOMESH S/PUNB/someshs/KN3817</t>
  </si>
  <si>
    <t>3,15,410.15</t>
  </si>
  <si>
    <t>TSV-09-0229</t>
  </si>
  <si>
    <t>UPI/CR/691132005987/RAJU SHU/ICIC/9818069/SC3567</t>
  </si>
  <si>
    <t>3,17,008.15</t>
  </si>
  <si>
    <t>UC567-0683</t>
  </si>
  <si>
    <t>TSV-09-0230</t>
  </si>
  <si>
    <t>UPI/DR/526708598463/PRADEEP /KKBK/pradeep/LPG SC3</t>
  </si>
  <si>
    <t>3,15,638.15</t>
  </si>
  <si>
    <t>TSV-09-0231</t>
  </si>
  <si>
    <t>UPI/CR/111686380402/DEEPAK S/PUNB/pawanes/SC3567</t>
  </si>
  <si>
    <t>3,17,138.15</t>
  </si>
  <si>
    <t>UC567-0739</t>
  </si>
  <si>
    <t>TSV-09-0232</t>
  </si>
  <si>
    <t>UPI/DR/526784994088/DEVEEDEE/UTIB/7827405/LPG SC3</t>
  </si>
  <si>
    <t>3,15,518.15</t>
  </si>
  <si>
    <t>TSV-09-0233</t>
  </si>
  <si>
    <t>POS-VISA/NAIN SINGH TYAGI FILLIGURGAON /5267075950/GURGAON/07:36:33</t>
  </si>
  <si>
    <t>3,11,518.15</t>
  </si>
  <si>
    <t>TSV-09-0234</t>
  </si>
  <si>
    <t>UPI/CR/111689979847/PUSHPIND/CNRB/pushpin/UN3668</t>
  </si>
  <si>
    <t>3,11,893.15</t>
  </si>
  <si>
    <t>T1052</t>
  </si>
  <si>
    <t>TSV-09-0235</t>
  </si>
  <si>
    <t>UPI/CR/111690340323/BRIJ KIS/UBIN/brijksi/UN3668</t>
  </si>
  <si>
    <t>3,12,223.15</t>
  </si>
  <si>
    <t>T1116</t>
  </si>
  <si>
    <t>TSV-09-0236</t>
  </si>
  <si>
    <t>UPI/CR/111693324633/RAUNAK K/HDFC/kondara/SC3567</t>
  </si>
  <si>
    <t>3,17,223.15</t>
  </si>
  <si>
    <t>UC567-0727</t>
  </si>
  <si>
    <t>TSV-09-0237</t>
  </si>
  <si>
    <t>UPI/CR/111696281705/AVADHUT /HDFC/avadhut/UPI</t>
  </si>
  <si>
    <t>3,24,223.15</t>
  </si>
  <si>
    <t>UC567-0758</t>
  </si>
  <si>
    <t>TSV-09-0238</t>
  </si>
  <si>
    <t>UPI/DR/563368905007/navinman/IOBA/navinma/Salary</t>
  </si>
  <si>
    <t>3,14,223.15</t>
  </si>
  <si>
    <t>Salary Navin Sharma</t>
  </si>
  <si>
    <t>TSV-09-0239</t>
  </si>
  <si>
    <t>UPI/DR/563360704752/VIJAY SA/YESB/paytm.s/AC SC35</t>
  </si>
  <si>
    <t>2,80,469.15</t>
  </si>
  <si>
    <t>AC</t>
  </si>
  <si>
    <t>TSV-09-0240</t>
  </si>
  <si>
    <t>UPI/CR/342197069583/PREETAM /ICIC/9899984/SL1610</t>
  </si>
  <si>
    <t>2,80,687.15</t>
  </si>
  <si>
    <t>UC610-0263</t>
  </si>
  <si>
    <t>TSV-09-0241</t>
  </si>
  <si>
    <t>UPI/DR/563366702665/83760481/INDB/8376048/old AC</t>
  </si>
  <si>
    <t>2,76,687.15</t>
  </si>
  <si>
    <t>Old AC Rent</t>
  </si>
  <si>
    <t>TSV-09-0242</t>
  </si>
  <si>
    <t>UPI/CR/526763078447/RAHUL MA/UTIB/rahul.3/na</t>
  </si>
  <si>
    <t>2,77,450.15</t>
  </si>
  <si>
    <t>TSV-09-0243</t>
  </si>
  <si>
    <t>UPI/CR/526724069365/Mr. Sury/ALLA/suryans/SL1610</t>
  </si>
  <si>
    <t>2,78,833.15</t>
  </si>
  <si>
    <t>UC610-0374</t>
  </si>
  <si>
    <t>TSV-09-0244</t>
  </si>
  <si>
    <t>UPI/CR/416951244996/DAVINDER/SBIN/7837704/UN3668</t>
  </si>
  <si>
    <t>2,78,983.15</t>
  </si>
  <si>
    <t>T1124</t>
  </si>
  <si>
    <t>TSV-09-0245</t>
  </si>
  <si>
    <t>UPI/CR/111735044745/POONAM C/HDFC/chawla./UN3668</t>
  </si>
  <si>
    <t>2,79,333.15</t>
  </si>
  <si>
    <t>T1102</t>
  </si>
  <si>
    <t>TSV-09-0246</t>
  </si>
  <si>
    <t>UPI/CR/111745486212/ASHOK KU/HDFC/er.asho/SC3567</t>
  </si>
  <si>
    <t>2,80,675.15</t>
  </si>
  <si>
    <t>UC567-0734</t>
  </si>
  <si>
    <t>TSV-09-0247</t>
  </si>
  <si>
    <t>UPI/CR/388068492669/APURV P/KKBK/apurvpr/UN3668</t>
  </si>
  <si>
    <t>2,81,018.15</t>
  </si>
  <si>
    <t>TSV-09-0248</t>
  </si>
  <si>
    <t>UPI/CR/526818069575/PARITOSH/UTIB/8876073/SC3567</t>
  </si>
  <si>
    <t>2,81,631.15</t>
  </si>
  <si>
    <t>UC567-0748</t>
  </si>
  <si>
    <t>TSV-09-0249</t>
  </si>
  <si>
    <t>UPI/CR/526833530028/Bibhab /SBIN/dashing/UN3668</t>
  </si>
  <si>
    <t>2,81,865.15</t>
  </si>
  <si>
    <t>T1103</t>
  </si>
  <si>
    <t>TSV-09-0250</t>
  </si>
  <si>
    <t>UPI/DR/563421175361/TUMBLEDR/HDFC/tumbled/Royalty</t>
  </si>
  <si>
    <t>2,81,414.42</t>
  </si>
  <si>
    <t>TSV-09-0251</t>
  </si>
  <si>
    <t>UPI/DR/563499371376/TUMBLEDR/HDFC/tumbled/Royalty</t>
  </si>
  <si>
    <t>2,81,109.20</t>
  </si>
  <si>
    <t>TSV-09-0252</t>
  </si>
  <si>
    <t>UPI/CR/472471707590/ANKITH G/ICIC/ankithg/SL1610</t>
  </si>
  <si>
    <t>2,81,354.20</t>
  </si>
  <si>
    <t>UC610-0377</t>
  </si>
  <si>
    <t>TSV-09-0253</t>
  </si>
  <si>
    <t>UPI/CR/526858201406/SUBHANKA/ICIC/thesubh/UN3668</t>
  </si>
  <si>
    <t>2,81,594.20</t>
  </si>
  <si>
    <t>T1126</t>
  </si>
  <si>
    <t>TSV-09-0254</t>
  </si>
  <si>
    <t>UPI/CR/278124873325/UTKARSH /SBIN/9111101/UN3668</t>
  </si>
  <si>
    <t>2,81,834.20</t>
  </si>
  <si>
    <t>TSV-09-0255</t>
  </si>
  <si>
    <t>UPI/CR/526878370152/Nitin Tr/BARB/9569960/UN3668</t>
  </si>
  <si>
    <t>2,82,217.20</t>
  </si>
  <si>
    <t>T1144</t>
  </si>
  <si>
    <t>TSV-09-0256</t>
  </si>
  <si>
    <t>UPI/DR/526973612522/SHIVAM S/KKBK/9560965/Reimbur</t>
  </si>
  <si>
    <t>2,79,082.20</t>
  </si>
  <si>
    <t>Rider SC3567</t>
  </si>
  <si>
    <t>Reimbursement</t>
  </si>
  <si>
    <t>TSV-09-0257</t>
  </si>
  <si>
    <t>UPI/CR/110518352662/SHREYASH/CNRB/9546127/UN3668</t>
  </si>
  <si>
    <t>2,79,465.20</t>
  </si>
  <si>
    <t>T1141</t>
  </si>
  <si>
    <t>TSV-09-0258</t>
  </si>
  <si>
    <t>UPI/CR/563577130654/BHAVESH /IBKL/iambhav/UN3668</t>
  </si>
  <si>
    <t>2,79,840.20</t>
  </si>
  <si>
    <t>T1071</t>
  </si>
  <si>
    <t>TSV-09-0259</t>
  </si>
  <si>
    <t>UPI/CR/563547931318/VISHVA D/HDFC/vishva./UN3668</t>
  </si>
  <si>
    <t>2,80,265.20</t>
  </si>
  <si>
    <t>T1025</t>
  </si>
  <si>
    <t>TSV-09-0260</t>
  </si>
  <si>
    <t>UPI/CR/526901473970/AAYUSHMA/HDFC/8287626/SC3567</t>
  </si>
  <si>
    <t>2,80,730.20</t>
  </si>
  <si>
    <t>UC567-0750</t>
  </si>
  <si>
    <t>TSV-09-0261</t>
  </si>
  <si>
    <t>UPI/CR/526976354577/LALIT SA/SIBL/9625549/UN3668</t>
  </si>
  <si>
    <t>2,81,050.20</t>
  </si>
  <si>
    <t>T1118</t>
  </si>
  <si>
    <t>TSV-09-0262</t>
  </si>
  <si>
    <t>UPI/CR/405574029900/ABHISHEK/UTIB/7510017/UN3668</t>
  </si>
  <si>
    <t>2,81,726.20</t>
  </si>
  <si>
    <t>T1130</t>
  </si>
  <si>
    <t>TSV-09-0263</t>
  </si>
  <si>
    <t>UPI/CR/526908432949/MEGHANA /UBIN/meghana/KN3817</t>
  </si>
  <si>
    <t>2,82,026.20</t>
  </si>
  <si>
    <t>TSV-09-0264</t>
  </si>
  <si>
    <t>UPI/CR/526963939721/AVINAV /SBIN/9128156/UN3668</t>
  </si>
  <si>
    <t>2,82,409.20</t>
  </si>
  <si>
    <t>T1097</t>
  </si>
  <si>
    <t>TSV-09-0265</t>
  </si>
  <si>
    <t>UPI/CR/389892127752/Romanshu/IDFB/9599603/SC3567</t>
  </si>
  <si>
    <t>2,83,194.20</t>
  </si>
  <si>
    <t>UC567-0755</t>
  </si>
  <si>
    <t>TSV-09-0266</t>
  </si>
  <si>
    <t>UPI/CR/527074783853/GAURAV S/ICIC/gaurav./SL1610</t>
  </si>
  <si>
    <t>2,91,044.20</t>
  </si>
  <si>
    <t>UC610-0382</t>
  </si>
  <si>
    <t>TSV-09-0267</t>
  </si>
  <si>
    <t>UPI/CR/691327084509/SHAILEND/PUNB/9810231/SC3567</t>
  </si>
  <si>
    <t>2,92,306.20</t>
  </si>
  <si>
    <t>UC567-0730</t>
  </si>
  <si>
    <t>TSV-09-0268</t>
  </si>
  <si>
    <t>UPI/CR/527078162871/RAJAT KU/HDFC/7011251/UN3668</t>
  </si>
  <si>
    <t>2,92,786.20</t>
  </si>
  <si>
    <t>T1163</t>
  </si>
  <si>
    <t>TSV-09-0269</t>
  </si>
  <si>
    <t>UPI/CR/527081798799/SHREYA S/HDFC/shreya./na</t>
  </si>
  <si>
    <t>2,93,145.20</t>
  </si>
  <si>
    <t>TSV-09-0270</t>
  </si>
  <si>
    <t>UPI/CR/691337326941/MALVIKA /ICIC/8130574/UN3668</t>
  </si>
  <si>
    <t>2,93,587.20</t>
  </si>
  <si>
    <t>TSV-09-0271</t>
  </si>
  <si>
    <t>UPI/CR/389932059986/SURAJ KU/SBIN/7784081/UN3668</t>
  </si>
  <si>
    <t>2,94,055.20</t>
  </si>
  <si>
    <t>T1109</t>
  </si>
  <si>
    <t>TSV-09-0272</t>
  </si>
  <si>
    <t>UPI/CR/111849419350/SATYAVIR/HDFC/satyavi/PAY BY</t>
  </si>
  <si>
    <t>2,94,445.20</t>
  </si>
  <si>
    <t>TSV-09-0273</t>
  </si>
  <si>
    <t>UPI/CR/111849533446/SATYAVIR/HDFC/satyavi/PAY BY</t>
  </si>
  <si>
    <t>2,95,345.20</t>
  </si>
  <si>
    <t>TSV-09-0274</t>
  </si>
  <si>
    <t>UPI/CR/111851568435/SATYAVIR/HDFC/satyavi/PAY BY</t>
  </si>
  <si>
    <t>2,97,345.20</t>
  </si>
  <si>
    <t>TSV-09-0275</t>
  </si>
  <si>
    <t>UPI/CR/111851635039/SATYAVIR/HDFC/satyavi/PAY BY</t>
  </si>
  <si>
    <t>2,99,345.20</t>
  </si>
  <si>
    <t>TSV-09-0276</t>
  </si>
  <si>
    <t>UPI/CR/111868877992/SATYAM G/HDFC/guptasa/KN3817</t>
  </si>
  <si>
    <t>3,00,095.20</t>
  </si>
  <si>
    <t>T686</t>
  </si>
  <si>
    <t>TSV-09-0277</t>
  </si>
  <si>
    <t>UPI/CR/389961495805/SHAKTI K/CNRB/9650467/UN3668</t>
  </si>
  <si>
    <t>3,01,927.20</t>
  </si>
  <si>
    <t>T1119</t>
  </si>
  <si>
    <t>TSV-09-0278</t>
  </si>
  <si>
    <t>UPI/CR/527186734175/SAKET AR/ICIC/9382959/SC3567</t>
  </si>
  <si>
    <t>3,06,927.20</t>
  </si>
  <si>
    <t>UC567-0774</t>
  </si>
  <si>
    <t>TSV-09-0279</t>
  </si>
  <si>
    <t>UPI/CR/105346267154/ANUJ AGG/KKBK/9560258/UN3668</t>
  </si>
  <si>
    <t>3,07,547.20</t>
  </si>
  <si>
    <t>T1128</t>
  </si>
  <si>
    <t>TSV-09-0280</t>
  </si>
  <si>
    <t>UPI/CR/527124293953/PRIYANK /HDFC/9625181/UN3668</t>
  </si>
  <si>
    <t>3,07,855.20</t>
  </si>
  <si>
    <t>T1137</t>
  </si>
  <si>
    <t>TSV-09-0281</t>
  </si>
  <si>
    <t>UPI/CR/527188727137/KINGSLEY/ICIC/kingsle/SL1610</t>
  </si>
  <si>
    <t>3,08,741.20</t>
  </si>
  <si>
    <t>UC610-0394</t>
  </si>
  <si>
    <t>TSV-09-0282</t>
  </si>
  <si>
    <t>UPI/CR/527125871411/GOURAV S/HDFC/9643146/UN3668</t>
  </si>
  <si>
    <t>3,10,341.20</t>
  </si>
  <si>
    <t>T1143</t>
  </si>
  <si>
    <t>TSV-09-0283</t>
  </si>
  <si>
    <t>UPI/CR/111899638234/JATIN VE/HDFC/jatinve/UN3668</t>
  </si>
  <si>
    <t>3,10,621.20</t>
  </si>
  <si>
    <t>T1136</t>
  </si>
  <si>
    <t>TSV-09-0284</t>
  </si>
  <si>
    <t>UPI/CR/694100512725/MR LAKSH/HDFC/8920052/UPI</t>
  </si>
  <si>
    <t>3,11,479.20</t>
  </si>
  <si>
    <t>UC610-0398</t>
  </si>
  <si>
    <t>TSV-09-0285</t>
  </si>
  <si>
    <t>UPI/CR/691418184928/BHASHKAR/IDFB/9953001/UN3668</t>
  </si>
  <si>
    <t>3,11,719.20</t>
  </si>
  <si>
    <t>T1167</t>
  </si>
  <si>
    <t>TSV-09-0286</t>
  </si>
  <si>
    <t>UPI/CR/527241182099/ALTHAF K/FDRL/althafk/UN3668</t>
  </si>
  <si>
    <t>3,12,124.20</t>
  </si>
  <si>
    <t>T1138</t>
  </si>
  <si>
    <t>TSV-09-0287</t>
  </si>
  <si>
    <t>UPI/CR/101568071912/DEFENCE /HDFC/8709496/UN3668</t>
  </si>
  <si>
    <t>3,14,653.20</t>
  </si>
  <si>
    <t>T1164,T1165</t>
  </si>
  <si>
    <t>TSV-09-0288</t>
  </si>
  <si>
    <t>UPI/DR/527282601246/shubhsma/IDFB/shubhsm/Advance</t>
  </si>
  <si>
    <t>3,11,653.20</t>
  </si>
  <si>
    <t>Advance Salary Shubham SC3567</t>
  </si>
  <si>
    <t>TSV-09-0289</t>
  </si>
  <si>
    <t>POS-VISA/Bharat Petroleum CorpoGurgaon /5272143129/Gurgaon/14:14:04</t>
  </si>
  <si>
    <t>3,07,653.20</t>
  </si>
  <si>
    <t>TSV-09-0290</t>
  </si>
  <si>
    <t>UPI/DR/527201401965/AMIT/BKID/9540764/Chemica</t>
  </si>
  <si>
    <t>3,05,603.20</t>
  </si>
  <si>
    <t>TSV-09-0291</t>
  </si>
  <si>
    <t>UPI/CR/741325926715/DAN ALEX/FDRL/9899812/UN3668</t>
  </si>
  <si>
    <t>3,12,103.20</t>
  </si>
  <si>
    <t>T1073</t>
  </si>
  <si>
    <t>TSV-09-0292</t>
  </si>
  <si>
    <t>UPI/DR/527299116229/MANISH /KKBK/9560476/Salary</t>
  </si>
  <si>
    <t>2,97,297.20</t>
  </si>
  <si>
    <t>TSV-09-0293</t>
  </si>
  <si>
    <t>UPI/CR/527396780556/Mrs RAGI/IDIB/raginik/UN3668</t>
  </si>
  <si>
    <t>2,99,297.20</t>
  </si>
  <si>
    <t>TSV-09-0294</t>
  </si>
  <si>
    <t>UPI/CR/527382359623/CHAHAT M/HDFC/chahatm/SL1610</t>
  </si>
  <si>
    <t>2,99,983.20</t>
  </si>
  <si>
    <t>UC610-0407</t>
  </si>
  <si>
    <t>TSV-09-0295</t>
  </si>
  <si>
    <t>UPI/CR/072265037720/MUKESH /YESB/8448489/SC3567</t>
  </si>
  <si>
    <t>3,00,432.20</t>
  </si>
  <si>
    <t>UC567-0742</t>
  </si>
  <si>
    <t>TSV-09-0296</t>
  </si>
  <si>
    <t>UPI/DR/527363169340/Google I/UTIB/gpay-ut/UPI</t>
  </si>
  <si>
    <t>2,89,782.20</t>
  </si>
  <si>
    <t>TSV-09-0297</t>
  </si>
  <si>
    <t>UPI/CR/691490941233/PRAMOD K/PUNB/9810240/KN3817</t>
  </si>
  <si>
    <t>2,90,317.20</t>
  </si>
  <si>
    <t>TSV-10-0001</t>
  </si>
  <si>
    <t>UPI/CR/564059441338/INDER JE/CNRB/inderje/SC3567</t>
  </si>
  <si>
    <t>2,90,487.20</t>
  </si>
  <si>
    <t>10</t>
  </si>
  <si>
    <t>TSV-10-0002</t>
  </si>
  <si>
    <t>UPI/CR/527435397695/ANKIT N/UTIB/9953608/KN3817</t>
  </si>
  <si>
    <t>2,90,637.20</t>
  </si>
  <si>
    <t>TSV-10-0003</t>
  </si>
  <si>
    <t>UPI/CR/527446228186/Samant /SBIN/samantk/KN3817</t>
  </si>
  <si>
    <t>2,90,937.20</t>
  </si>
  <si>
    <t>TSV-10-0004</t>
  </si>
  <si>
    <t>UPI/CR/527450431553/MAYANK /SBIN/mayankp/UN3668</t>
  </si>
  <si>
    <t>2,91,207.20</t>
  </si>
  <si>
    <t>T1192</t>
  </si>
  <si>
    <t>TSV-10-0005</t>
  </si>
  <si>
    <t>UPI/CR/112032294664/MR GAGAN/SCBL/gsinghk/KN3817</t>
  </si>
  <si>
    <t>2,91,347.20</t>
  </si>
  <si>
    <t>T705</t>
  </si>
  <si>
    <t>TSV-10-0006</t>
  </si>
  <si>
    <t>UPI/CR/527461113484/SIMRAN /SBIN/simruns/KN3817</t>
  </si>
  <si>
    <t>2,92,067.20</t>
  </si>
  <si>
    <t>T720</t>
  </si>
  <si>
    <t>TSV-10-0007</t>
  </si>
  <si>
    <t>UPI/DR/564034056960/MOHSIN /SBIN/8920759/DMRC Ca</t>
  </si>
  <si>
    <t>2,91,067.20</t>
  </si>
  <si>
    <t>Metro Card Recharge</t>
  </si>
  <si>
    <t>TSV-10-0008</t>
  </si>
  <si>
    <t>UPI/CR/390119503284/LUV KHOS/IBKL/9810601/SL1610</t>
  </si>
  <si>
    <t>2,91,315.20</t>
  </si>
  <si>
    <t>UC610-0393</t>
  </si>
  <si>
    <t>TSV-10-0009</t>
  </si>
  <si>
    <t>UPI/CR/112067387699/SOHUM MU/HDFC/sohummu/SC3567</t>
  </si>
  <si>
    <t>2,92,097.20</t>
  </si>
  <si>
    <t>UC567-0768</t>
  </si>
  <si>
    <t>TSV-10-0010</t>
  </si>
  <si>
    <t>UPI/CR/412265373428/UTKARSH /SBIN/utkarsh/SL1610</t>
  </si>
  <si>
    <t>2,92,098.20</t>
  </si>
  <si>
    <t>TSV-10-0011</t>
  </si>
  <si>
    <t>UPI/CR/102829290182/UTKARSH /SBIN/utkarsh/Payment</t>
  </si>
  <si>
    <t>2,95,098.20</t>
  </si>
  <si>
    <t>UC610-0413</t>
  </si>
  <si>
    <t>TSV-10-0012</t>
  </si>
  <si>
    <t>UPI/CR/112068247817/MANDEEP /HDFC/mandeep/UN3668</t>
  </si>
  <si>
    <t>2,97,518.20</t>
  </si>
  <si>
    <t>T1178</t>
  </si>
  <si>
    <t>TSV-10-0013</t>
  </si>
  <si>
    <t>UPI/CR/390145587656/DIVYANG /SBIN/7694925/UN3668</t>
  </si>
  <si>
    <t>2,97,931.20</t>
  </si>
  <si>
    <t>T1186</t>
  </si>
  <si>
    <t>TSV-10-0014</t>
  </si>
  <si>
    <t>UPI/CR/200342537049/RICHA JA/PUNB/9450304/UN3668</t>
  </si>
  <si>
    <t>2,98,386.20</t>
  </si>
  <si>
    <t>T1174</t>
  </si>
  <si>
    <t>TSV-10-0015</t>
  </si>
  <si>
    <t>UPI/CR/112075357012/SWAYAM G/HDFC/swayam./SL1610</t>
  </si>
  <si>
    <t>2,98,929.20</t>
  </si>
  <si>
    <t>UC610-0408</t>
  </si>
  <si>
    <t>TSV-10-0016</t>
  </si>
  <si>
    <t>UPI/CR/527530646518/ADITYA T/UCBA/contact/SL1610</t>
  </si>
  <si>
    <t>2,99,476.20</t>
  </si>
  <si>
    <t>UC610-0347</t>
  </si>
  <si>
    <t>TSV-10-0017</t>
  </si>
  <si>
    <t>UPI/CR/112106528850/AJAY KU/YESB/ajaysar/SL1610</t>
  </si>
  <si>
    <t>3,00,396.20</t>
  </si>
  <si>
    <t>UC610-0330</t>
  </si>
  <si>
    <t>TSV-10-0018</t>
  </si>
  <si>
    <t>UPI/CR/292696525625/RAKESH K/CNRB/9811585/UN3668</t>
  </si>
  <si>
    <t>3,00,816.20</t>
  </si>
  <si>
    <t>T1142</t>
  </si>
  <si>
    <t>TSV-10-0019</t>
  </si>
  <si>
    <t>IMPS-OPM/527613450229/UCONCEPTS SOLUTIONS PRIVATE LIMITED/ICIC0001842/7613/DryerRepairSL1610</t>
  </si>
  <si>
    <t>2,92,556.20</t>
  </si>
  <si>
    <t>Dryer Belt</t>
  </si>
  <si>
    <t>Repair &amp; Maintenance</t>
  </si>
  <si>
    <t>TSV-10-0020</t>
  </si>
  <si>
    <t>BILLPAY/QUICK/Airtel Post/20252761228535/03102025</t>
  </si>
  <si>
    <t>2,90,908.92</t>
  </si>
  <si>
    <t>Mobile Payment</t>
  </si>
  <si>
    <t>Mobile</t>
  </si>
  <si>
    <t>TSV-10-0021</t>
  </si>
  <si>
    <t>UPI/CR/112150881816/ANINDYA /HDFC/anindya/SC3567</t>
  </si>
  <si>
    <t>2,91,765.92</t>
  </si>
  <si>
    <t>UC567-0741</t>
  </si>
  <si>
    <t>TSV-10-0022</t>
  </si>
  <si>
    <t>UPI/CR/618885810390/BHASKAR /HDFC/9911751/UN3668</t>
  </si>
  <si>
    <t>2,92,265.92</t>
  </si>
  <si>
    <t>T1181</t>
  </si>
  <si>
    <t>TSV-10-0023</t>
  </si>
  <si>
    <t>UPI/CR/390239239750/AMIT KUM/PUNB/7004316/UN3668</t>
  </si>
  <si>
    <t>2,92,490.92</t>
  </si>
  <si>
    <t>T1188</t>
  </si>
  <si>
    <t>TSV-10-0024</t>
  </si>
  <si>
    <t>UPI/DR/564352153173/RUBINA W/UCBA/9012703/DryerBe</t>
  </si>
  <si>
    <t>2,92,161.92</t>
  </si>
  <si>
    <t>Porter</t>
  </si>
  <si>
    <t>Dryer Drop Porter</t>
  </si>
  <si>
    <t>TSV-10-0025</t>
  </si>
  <si>
    <t>UPI/CR/527719503353/Yash Kum/PPIW/6266508/UN3668</t>
  </si>
  <si>
    <t>2,92,341.92</t>
  </si>
  <si>
    <t>T1199</t>
  </si>
  <si>
    <t>TSV-10-0026</t>
  </si>
  <si>
    <t>UPI/CR/905769752494/HITESH /JAKA/9911936/UN3668</t>
  </si>
  <si>
    <t>2,92,537.92</t>
  </si>
  <si>
    <t>T1107</t>
  </si>
  <si>
    <t>TSV-10-0027</t>
  </si>
  <si>
    <t>UPI/DR/564471784858/DEVEEDEE/UTIB/7827405/LPG SC3</t>
  </si>
  <si>
    <t>2,89,267.92</t>
  </si>
  <si>
    <t>TSV-10-0028</t>
  </si>
  <si>
    <t>UPI/DR/564470693138/navinman/IOBA/navinma/Advance</t>
  </si>
  <si>
    <t>2,84,267.92</t>
  </si>
  <si>
    <t>Advance Salary Naveen Sharma</t>
  </si>
  <si>
    <t>TSV-10-0029</t>
  </si>
  <si>
    <t>UPI/DR/564466686712/85068322/KKBK/8506832/Advance</t>
  </si>
  <si>
    <t>2,81,267.92</t>
  </si>
  <si>
    <t>Advance Salary Jatin Yadav</t>
  </si>
  <si>
    <t>TSV-10-0030</t>
  </si>
  <si>
    <t>UPI/DR/527827914813/TUMBLEDR/HDFC/tumbled/Royalty</t>
  </si>
  <si>
    <t>2,77,532.82</t>
  </si>
  <si>
    <t>TSV-10-0031</t>
  </si>
  <si>
    <t>UPI/DR/527830211083/TUMBLEDR/HDFC/tumbled/Royalty</t>
  </si>
  <si>
    <t>2,74,477.18</t>
  </si>
  <si>
    <t>TSV-10-0032</t>
  </si>
  <si>
    <t>UPI/CR/390300750891/SUNNY ME/ICIC/9695756/KN3817</t>
  </si>
  <si>
    <t>2,74,785.18</t>
  </si>
  <si>
    <t>TSV-10-0033</t>
  </si>
  <si>
    <t>UPI/CR/527851225912/RAVINDER/BARB/8287304/SC3567</t>
  </si>
  <si>
    <t>2,77,785.18</t>
  </si>
  <si>
    <t>TSV-10-0034</t>
  </si>
  <si>
    <t>UPI/CR/564457381023/Akanksha/IDFB/smile27/KN3817</t>
  </si>
  <si>
    <t>2,78,553.18</t>
  </si>
  <si>
    <t>T728</t>
  </si>
  <si>
    <t>TSV-10-0035</t>
  </si>
  <si>
    <t>UPI/CR/390306646448/AYUSH G/SBIN/ayushbu/SC3567</t>
  </si>
  <si>
    <t>2,79,057.18</t>
  </si>
  <si>
    <t>UC567-0762</t>
  </si>
  <si>
    <t>TSV-10-0036</t>
  </si>
  <si>
    <t>POS-VISA/NAIN SINGH TYAGI FILLIGURGAON /5279049694/GURGAON/04:25:39</t>
  </si>
  <si>
    <t>2,75,057.18</t>
  </si>
  <si>
    <t>TSV-10-0037</t>
  </si>
  <si>
    <t>UPI/DR/527991969444/Honeyz C/UTIB/gpay-11/CX Arti</t>
  </si>
  <si>
    <t>Customer Refund</t>
  </si>
  <si>
    <t>TSV-10-0038</t>
  </si>
  <si>
    <t>UPI/CR/527911981959/DEEPANSH/UTIB/9268228/UN3668</t>
  </si>
  <si>
    <t>2,74,893.18</t>
  </si>
  <si>
    <t>T1145</t>
  </si>
  <si>
    <t>TSV-10-0039</t>
  </si>
  <si>
    <t>UPI/CR/527902016194/SALONI K/KKBK/8800986/UN3668</t>
  </si>
  <si>
    <t>2,75,208.18</t>
  </si>
  <si>
    <t>T1139</t>
  </si>
  <si>
    <t>TSV-10-0040</t>
  </si>
  <si>
    <t>UPI/CR/527918717193/RIDHIKA /HDFC/8178266/UN3668</t>
  </si>
  <si>
    <t>2,76,504.18</t>
  </si>
  <si>
    <t>T1120</t>
  </si>
  <si>
    <t>TSV-10-0041</t>
  </si>
  <si>
    <t>RTGS/SBINR12025100601208517/WAGID ALI SHEIKH/SBI</t>
  </si>
  <si>
    <t>4,76,504.18</t>
  </si>
  <si>
    <t>TSV-10-0042</t>
  </si>
  <si>
    <t>UPI/CR/527925474664/RAJENDRA/SBIN/9312336/SC3567</t>
  </si>
  <si>
    <t>4,76,722.18</t>
  </si>
  <si>
    <t>UC567-0797</t>
  </si>
  <si>
    <t>TSV-10-0043</t>
  </si>
  <si>
    <t>UPI/CR/691822904842/RICHA SU/ICIC/9810778/UN3668</t>
  </si>
  <si>
    <t>4,78,246.18</t>
  </si>
  <si>
    <t>T1205</t>
  </si>
  <si>
    <t>TSV-10-0044</t>
  </si>
  <si>
    <t>UPI/CR/564539102217/HARPAL S/UTIB/harpals/SC3567</t>
  </si>
  <si>
    <t>4,78,846.18</t>
  </si>
  <si>
    <t>UC567-0787</t>
  </si>
  <si>
    <t>TSV-10-0045</t>
  </si>
  <si>
    <t>UPI/CR/028620028485/BRIJBHAN/UTIB/8878754/KN3817</t>
  </si>
  <si>
    <t>4,79,406.18</t>
  </si>
  <si>
    <t>T706</t>
  </si>
  <si>
    <t>TSV-10-0046</t>
  </si>
  <si>
    <t>UPI/DR/564656730822/Guru Kru/YESB/paytmqr/LPG SL1</t>
  </si>
  <si>
    <t>4,77,771.18</t>
  </si>
  <si>
    <t>TSV-10-0047</t>
  </si>
  <si>
    <t>UPI/CR/528030222591/SONIA BA/HDFC/9999230/SC3567</t>
  </si>
  <si>
    <t>4,78,912.18</t>
  </si>
  <si>
    <t>UC567-0749</t>
  </si>
  <si>
    <t>TSV-10-0048</t>
  </si>
  <si>
    <t>UPI/CR/112301584383/KANIKA A/HDFC/knika.a/UPI</t>
  </si>
  <si>
    <t>4,85,912.18</t>
  </si>
  <si>
    <t>TSV-10-0049</t>
  </si>
  <si>
    <t>NEFT/IDFB528049617531/KAUSHALAYA DEVI/CNRB0002379/</t>
  </si>
  <si>
    <t>4,58,912.18</t>
  </si>
  <si>
    <t>TSV-10-0050</t>
  </si>
  <si>
    <t>NEFT/IDFB528049617683/SUBHASH CHANDER/HDFC0001562/</t>
  </si>
  <si>
    <t>4,48,912.18</t>
  </si>
  <si>
    <t>TSV-10-0051</t>
  </si>
  <si>
    <t>NEFT/IDFB528049617784/OM PRAKASH DUHANBIMLA DEVI D</t>
  </si>
  <si>
    <t>4,19,912.18</t>
  </si>
  <si>
    <t>TSV-10-0052</t>
  </si>
  <si>
    <t>NEFT/IDFB528049619345/POOJA SOOD/INDB0000724/Rent</t>
  </si>
  <si>
    <t>3,79,792.18</t>
  </si>
  <si>
    <t>TSV-10-0053</t>
  </si>
  <si>
    <t>UPI/CR/112307380728/KHUSHBOO/HDFC/khushiv/UN3668</t>
  </si>
  <si>
    <t>3,79,932.18</t>
  </si>
  <si>
    <t>T1220</t>
  </si>
  <si>
    <t>TSV-10-0054</t>
  </si>
  <si>
    <t>UPI/CR/528073729990/MAHENDRA/KKBK/8505907/UN3668</t>
  </si>
  <si>
    <t>3,79,982.18</t>
  </si>
  <si>
    <t>TSV-10-0055</t>
  </si>
  <si>
    <t>UPI/CR/564641472031/JANNAT J/ICIC/jannatj/SL1610</t>
  </si>
  <si>
    <t>3,80,146.18</t>
  </si>
  <si>
    <t>UC610-0409</t>
  </si>
  <si>
    <t>TSV-10-0056</t>
  </si>
  <si>
    <t>NEFT/IDFBH25281605371/Subham Kumar/PUNB0151900/Salary Sep25 Subham Kumar UN3668</t>
  </si>
  <si>
    <t>3,69,096.18</t>
  </si>
  <si>
    <t>Shubham</t>
  </si>
  <si>
    <t>TSV-10-0057</t>
  </si>
  <si>
    <t>NEFT/IDFBH25281605374/Vishal/CNRB0005123/Salary Sep25 Vishal KN3817</t>
  </si>
  <si>
    <t>3,48,425.18</t>
  </si>
  <si>
    <t>Vishal</t>
  </si>
  <si>
    <t>TSV-10-0058</t>
  </si>
  <si>
    <t>NEFT/IDFBH25281605375/Mohd Dilkash/PUNB0488200/Salary Sep25 Dilkash TSV001</t>
  </si>
  <si>
    <t>3,39,425.18</t>
  </si>
  <si>
    <t>Dilkash</t>
  </si>
  <si>
    <t>TSV-10-0059</t>
  </si>
  <si>
    <t>NEFT/IDFBH25281605378/Subhash Chand/SBIN0000217/Salary Sep25 Subhash Chand UN366</t>
  </si>
  <si>
    <t>3,31,825.18</t>
  </si>
  <si>
    <t>Subhash</t>
  </si>
  <si>
    <t>TSV-10-0060</t>
  </si>
  <si>
    <t>NEFT/IDFBH25281605379/Mohsin Khan/SBIN0001679/Salary Sep25 Mohsin Khan UN3668</t>
  </si>
  <si>
    <t>3,15,875.18</t>
  </si>
  <si>
    <t>Mohsin</t>
  </si>
  <si>
    <t>TSV-10-0061</t>
  </si>
  <si>
    <t>NEFT/IDFBH25281605381/Vinay Kumar/PUNB0062000/Salary Sep25 Vinay Kumar KN3817</t>
  </si>
  <si>
    <t>2,90,208.18</t>
  </si>
  <si>
    <t>Vinay</t>
  </si>
  <si>
    <t>TSV-10-0062</t>
  </si>
  <si>
    <t>NEFT/IDFBH25281605382/Rohit Yadav/YESB0000118/Salary Sep25 Rohit Yadav SP1610</t>
  </si>
  <si>
    <t>2,88,208.18</t>
  </si>
  <si>
    <t>Rohit</t>
  </si>
  <si>
    <t>TSV-10-0063</t>
  </si>
  <si>
    <t>NEFT/IDFBH25281605384/Jaspal Singh/DBSS0IN0811/Salary Sep25 Jaspal singh UN3668</t>
  </si>
  <si>
    <t>2,74,808.18</t>
  </si>
  <si>
    <t>Jaspal</t>
  </si>
  <si>
    <t>TSV-10-0064</t>
  </si>
  <si>
    <t>NEFT/IDFBH25281605386/Suraj Kumar/NESF0000333/Salary Sep25 Suraj kumar KN3817</t>
  </si>
  <si>
    <t>2,69,308.18</t>
  </si>
  <si>
    <t>Suraj</t>
  </si>
  <si>
    <t>TSV-10-0065</t>
  </si>
  <si>
    <t>NEFT/IDFBH25281605388/Piyush Tag/UTIB0000540/Salary Sep25 Piyush Tag TSV</t>
  </si>
  <si>
    <t>2,35,580.18</t>
  </si>
  <si>
    <t>Piyush</t>
  </si>
  <si>
    <t>TSV-10-0066</t>
  </si>
  <si>
    <t>NEFT/IDFBH25281605389/Habib Ali Sheikh/ICIC0000004/Salary Sep25 Habib TSV001</t>
  </si>
  <si>
    <t>2,25,580.18</t>
  </si>
  <si>
    <t>Habib</t>
  </si>
  <si>
    <t>TSV-10-0067</t>
  </si>
  <si>
    <t>NEFT/IDFBH25281605391/Jatin Kumar Yadav/FINO0001001/Salary Sep25 Jatin Yadav SP1610</t>
  </si>
  <si>
    <t>2,10,460.18</t>
  </si>
  <si>
    <t>Jatin</t>
  </si>
  <si>
    <t>TSV-10-0068</t>
  </si>
  <si>
    <t>NEFT/IDFBH25281605392/Jitendra Singh/IOBA0003714/Salary Sep25 Jitendra Singh SC35</t>
  </si>
  <si>
    <t>1,88,960.18</t>
  </si>
  <si>
    <t>Jitendra</t>
  </si>
  <si>
    <t>TSV-10-0069</t>
  </si>
  <si>
    <t>NEFT/IDFBH25281605394/Shivam Shrivastav/KKBK0000287/Salary Sep25 Shivam SC3567</t>
  </si>
  <si>
    <t>1,73,760.18</t>
  </si>
  <si>
    <t>Shivam</t>
  </si>
  <si>
    <t>TSV-10-0070</t>
  </si>
  <si>
    <t>NEFT/IDFBH25281605397/Adnan Ali Sheikh/ICIC0000004/Salary Sep25 Adnan TSV001</t>
  </si>
  <si>
    <t>1,63,760.18</t>
  </si>
  <si>
    <t>Adnan</t>
  </si>
  <si>
    <t>TSV-10-0071</t>
  </si>
  <si>
    <t>NEFT/IDFBH25281605398/Sanjay/FINO0001129/Salary Sep25 Sanjay KN3817</t>
  </si>
  <si>
    <t>1,45,860.18</t>
  </si>
  <si>
    <t>Sanjay</t>
  </si>
  <si>
    <t>TSV-10-0072</t>
  </si>
  <si>
    <t>NEFT/IDFBH25281605403/Shubham Tiwari/IDFB0021011/Salary Sep25 Shubham Tiwari SC35</t>
  </si>
  <si>
    <t>1,34,227.18</t>
  </si>
  <si>
    <t>TSV-10-0073</t>
  </si>
  <si>
    <t>NEFT/IDFBH25281605406/Akram Khan/BARB0BUPGBX/Salary Sep25 Akram Khan UN3668</t>
  </si>
  <si>
    <t>1,15,727.18</t>
  </si>
  <si>
    <t>Akram</t>
  </si>
  <si>
    <t>TSV-10-0074</t>
  </si>
  <si>
    <t>NEFT RETURN/IDFBH25281605386/</t>
  </si>
  <si>
    <t>1,21,227.18</t>
  </si>
  <si>
    <t>TSV-10-0075</t>
  </si>
  <si>
    <t>NEFT RETURN/IDFBH25281605371/</t>
  </si>
  <si>
    <t>1,32,277.18</t>
  </si>
  <si>
    <t>TSV-10-0076</t>
  </si>
  <si>
    <t>NEFT RETURN/IDFBH25281605381/</t>
  </si>
  <si>
    <t>1,57,944.18</t>
  </si>
  <si>
    <t>TSV-10-0077</t>
  </si>
  <si>
    <t>UPI/CR/112333173752/PANKAJ B/HDFC/pankaj2/SL1610</t>
  </si>
  <si>
    <t>1,58,447.18</t>
  </si>
  <si>
    <t>UC610-0414</t>
  </si>
  <si>
    <t>TSV-10-0078</t>
  </si>
  <si>
    <t>IMPS-OPW/528111644238/PRABHA RANI WO SH SUSHIL KUMAR/PUNB0151900/7951/SalarySep25SubhamKumar</t>
  </si>
  <si>
    <t>1,47,397.18</t>
  </si>
  <si>
    <t>TSV-10-0079</t>
  </si>
  <si>
    <t>UPI/CR/087737450347/VIPIN KU/PUNB/9136649/UN3668</t>
  </si>
  <si>
    <t>1,47,744.18</t>
  </si>
  <si>
    <t>T1151</t>
  </si>
  <si>
    <t>TSV-10-0080</t>
  </si>
  <si>
    <t>UPI/CR/691902917469/CHANDAN /PUNB/8860613/SC3567</t>
  </si>
  <si>
    <t>1,54,744.18</t>
  </si>
  <si>
    <t>TSV-10-0081</t>
  </si>
  <si>
    <t>IMPS-OPW/528113868974/Vinay Kumar/PUNB0062000/2942/SalarySep25VinayKumar</t>
  </si>
  <si>
    <t>1,29,077.18</t>
  </si>
  <si>
    <t>TSV-10-0082</t>
  </si>
  <si>
    <t>IMPS-OPW/REV/528113868974/Vinay Kumar/PUNB0062000/2942</t>
  </si>
  <si>
    <t>TSV-10-0083</t>
  </si>
  <si>
    <t>UPI/CR/691908589683/SUNIL/PUNB/9278628/UN3668</t>
  </si>
  <si>
    <t>1,55,304.18</t>
  </si>
  <si>
    <t>T1106</t>
  </si>
  <si>
    <t>TSV-10-0084</t>
  </si>
  <si>
    <t>UPI/DR/564713294782/VINAY KU/PUNB/8700704/Salary</t>
  </si>
  <si>
    <t>1,29,637.18</t>
  </si>
  <si>
    <t>TSV-10-0085</t>
  </si>
  <si>
    <t>UPI/CR/287859124782/ABHAY RA/UTIB/9711516/KN3817</t>
  </si>
  <si>
    <t>1,29,997.18</t>
  </si>
  <si>
    <t>TSV-10-0086</t>
  </si>
  <si>
    <t>UPI/CR/564794135801/GARVIT /SBIN/garvit4/SL1610</t>
  </si>
  <si>
    <t>1,30,524.18</t>
  </si>
  <si>
    <t>UC610-0419</t>
  </si>
  <si>
    <t>TSV-10-0087</t>
  </si>
  <si>
    <t>UPI/CR/528118066809/ANAMIKA /KKBK/7604089/SC3567</t>
  </si>
  <si>
    <t>1,31,072.18</t>
  </si>
  <si>
    <t>UC567-0790</t>
  </si>
  <si>
    <t>TSV-10-0088</t>
  </si>
  <si>
    <t>UPI/CR/606127253289/ALOK RAJ/CNRB/rajalok/UN3668</t>
  </si>
  <si>
    <t>1,31,368.18</t>
  </si>
  <si>
    <t>T1221</t>
  </si>
  <si>
    <t>TSV-10-0089</t>
  </si>
  <si>
    <t>UPI/CR/528246226648/ADITI DU/UTIB/9899444/KN3817</t>
  </si>
  <si>
    <t>1,31,736.18</t>
  </si>
  <si>
    <t>T734</t>
  </si>
  <si>
    <t>TSV-10-0090</t>
  </si>
  <si>
    <t>UPI/CR/564879307254/NEETU DE/ICIC/9680469/SC3567</t>
  </si>
  <si>
    <t>1,31,865.18</t>
  </si>
  <si>
    <t>TSV-10-0091</t>
  </si>
  <si>
    <t>UPI/CR/112397431952/VANDANA /BARB/agarwal/SL1610</t>
  </si>
  <si>
    <t>1,32,005.18</t>
  </si>
  <si>
    <t>UC610-0432</t>
  </si>
  <si>
    <t>TSV-10-0092</t>
  </si>
  <si>
    <t>UPI/CR/390490992691/MR AVISH/SCBL/9953559/KN3817</t>
  </si>
  <si>
    <t>1,34,005.18</t>
  </si>
  <si>
    <t>TSV-10-0093</t>
  </si>
  <si>
    <t>UPI/CR/691992502150/MR AVISH/SCBL/9953559/Sent us</t>
  </si>
  <si>
    <t>1,34,765.18</t>
  </si>
  <si>
    <t>T534</t>
  </si>
  <si>
    <t>TSV-10-0094</t>
  </si>
  <si>
    <t>UPI/CR/691993358734/MUKESH/PUNB/9211620/UN3668</t>
  </si>
  <si>
    <t>1,35,413.18</t>
  </si>
  <si>
    <t>T1229</t>
  </si>
  <si>
    <t>TSV-10-0095</t>
  </si>
  <si>
    <t>UPI/DR/564834417347/Shubham /IDFB/9069359/UPI</t>
  </si>
  <si>
    <t>1,18,980.18</t>
  </si>
  <si>
    <t>Salary Shubham Tiwari</t>
  </si>
  <si>
    <t>TSV-10-0096</t>
  </si>
  <si>
    <t>UPI/DR/564854328472/Shubham /IDFB/9069359/UPI</t>
  </si>
  <si>
    <t>1,02,547.18</t>
  </si>
  <si>
    <t>TSV-10-0097</t>
  </si>
  <si>
    <t>UPI/CR/112434297698/NITEN ME/HDFC/nitenme/SC3567</t>
  </si>
  <si>
    <t>1,03,226.18</t>
  </si>
  <si>
    <t>UC567-0799</t>
  </si>
  <si>
    <t>TSV-10-0098</t>
  </si>
  <si>
    <t>UPI/DR/564976445721/UMASHANK/YESB/paytm.s/Staff W</t>
  </si>
  <si>
    <t>1,01,326.18</t>
  </si>
  <si>
    <t>TSV-10-0099</t>
  </si>
  <si>
    <t>UPI/CR/528383984196/Mrs RAGI/IDIB/raginik/UN3668</t>
  </si>
  <si>
    <t>1,03,326.18</t>
  </si>
  <si>
    <t>TSV-10-0100</t>
  </si>
  <si>
    <t>UPI/DR/564974461690/ABHISHEK/YESB/paytmqr/Externa</t>
  </si>
  <si>
    <t>1,02,816.18</t>
  </si>
  <si>
    <t>External Ironing</t>
  </si>
  <si>
    <t>TSV-10-0101</t>
  </si>
  <si>
    <t>UPI/CR/112445075647/HITESH B/HDFC/bansalh/SC3567</t>
  </si>
  <si>
    <t>1,03,116.18</t>
  </si>
  <si>
    <t>TSV-10-0102</t>
  </si>
  <si>
    <t>UPI/DR/564986074516/Sanjeev/YESB/paytm.s/Staff W</t>
  </si>
  <si>
    <t>1,01,616.18</t>
  </si>
  <si>
    <t>TSV-10-0103</t>
  </si>
  <si>
    <t>UPI/CR/564951789396/SUJATA D/UTIB/sujata./UN3668</t>
  </si>
  <si>
    <t>1,02,176.18</t>
  </si>
  <si>
    <t>T1212</t>
  </si>
  <si>
    <t>TSV-10-0104</t>
  </si>
  <si>
    <t>UPI/CR/661026118451/INDRAJEE/HDFC/8237634/Payment</t>
  </si>
  <si>
    <t>1,03,818.18</t>
  </si>
  <si>
    <t>UC610-0426</t>
  </si>
  <si>
    <t>TSV-10-0105</t>
  </si>
  <si>
    <t>UPI/CR/433732228223/ABHINAV /CNRB/7307781/SL1610</t>
  </si>
  <si>
    <t>1,04,149.18</t>
  </si>
  <si>
    <t>UC610-0420</t>
  </si>
  <si>
    <t>TSV-10-0106</t>
  </si>
  <si>
    <t>UPI/CR/528327915222/JEETU/UTIB/9999176/UN3668</t>
  </si>
  <si>
    <t>1,04,533.18</t>
  </si>
  <si>
    <t>T1215</t>
  </si>
  <si>
    <t>TSV-10-0107</t>
  </si>
  <si>
    <t>UPI/DR/564930366507/navinman/IOBA/navinma/Salary</t>
  </si>
  <si>
    <t>Salary Naveen Sharma</t>
  </si>
  <si>
    <t>TSV-10-0108</t>
  </si>
  <si>
    <t>UPI/CR/564487281580/Adivya S/IDFB/9135471/UN3668</t>
  </si>
  <si>
    <t>T1237</t>
  </si>
  <si>
    <t>TSV-10-0109</t>
  </si>
  <si>
    <t>UPI/CR/565027274805/SAGAR G/SBIN/8159933/SC3567</t>
  </si>
  <si>
    <t>UC567-0791</t>
  </si>
  <si>
    <t>TSV-10-0110</t>
  </si>
  <si>
    <t>UPI/CR/528479643602/SHEETAL /HDFC/7217831/SC3567</t>
  </si>
  <si>
    <t>TSV-10-0111</t>
  </si>
  <si>
    <t>UPI/CR/528479587232/SHEETAL /HDFC/7217831/Sent us</t>
  </si>
  <si>
    <t>TSV-10-0112</t>
  </si>
  <si>
    <t>UPI/CR/068114963433/ISHAN K/KKBK/adityav/UN3668</t>
  </si>
  <si>
    <t>1,00,585.18</t>
  </si>
  <si>
    <t>T1240</t>
  </si>
  <si>
    <t>TSV-10-0113</t>
  </si>
  <si>
    <t>UPI/CR/035338155845/Jitendra/IOBA/7011455/SC3567</t>
  </si>
  <si>
    <t>1,00,675.18</t>
  </si>
  <si>
    <t>TSV-10-0114</t>
  </si>
  <si>
    <t>UPI/CR/528550691353/Maushish/SBIN/chamarn/SC3567</t>
  </si>
  <si>
    <t>1,01,391.18</t>
  </si>
  <si>
    <t>UC567-0806</t>
  </si>
  <si>
    <t>TSV-10-0115</t>
  </si>
  <si>
    <t>UPI/CR/582120853362/SAMRIDDH/SBIN/9508431/KN3817</t>
  </si>
  <si>
    <t>1,01,671.18</t>
  </si>
  <si>
    <t>TSV-10-0116</t>
  </si>
  <si>
    <t>UPI/CR/692141463025/AMIT TY/INDB/9717304/SC3567</t>
  </si>
  <si>
    <t>1,02,349.18</t>
  </si>
  <si>
    <t>UC567-0793</t>
  </si>
  <si>
    <t>TSV-10-0117</t>
  </si>
  <si>
    <t>UPI/CR/528526926413/TRIDIB /BKID/tridibm/KN3817</t>
  </si>
  <si>
    <t>1,02,629.18</t>
  </si>
  <si>
    <t>TSV-10-0118</t>
  </si>
  <si>
    <t>UPI/DR/565191602213/Rigoss/ICIC/rigoss./Electri</t>
  </si>
  <si>
    <t>TSV-10-0119</t>
  </si>
  <si>
    <t>UPI/DR/565110806342/Rigoss/ICIC/rigoss./DG Back</t>
  </si>
  <si>
    <t>TSV-10-0120</t>
  </si>
  <si>
    <t>UPI/DR/565183617500/80908860/KKBK/8090886/Salary</t>
  </si>
  <si>
    <t>Salary Sujeet Kumar</t>
  </si>
  <si>
    <t>TSV-10-0121</t>
  </si>
  <si>
    <t>UPI/CR/528521347652/ANANYAA /SBIN/singhan/SC3567</t>
  </si>
  <si>
    <t>UC567-0788</t>
  </si>
  <si>
    <t>TSV-10-0122</t>
  </si>
  <si>
    <t>UPI/CR/997469171141/MUKESH /YESB/8448489/SC3567</t>
  </si>
  <si>
    <t>UC567-0825</t>
  </si>
  <si>
    <t>TSV-10-0123</t>
  </si>
  <si>
    <t>UPI/CR/528597948966/AKANSHA /HDFC/8447478/UN3668</t>
  </si>
  <si>
    <t>T1001</t>
  </si>
  <si>
    <t>TSV-10-0124</t>
  </si>
  <si>
    <t>UPI/DR/565173545340/TUMBLEDR/HDFC/tumbled/Royalty</t>
  </si>
  <si>
    <t>TSV-10-0125</t>
  </si>
  <si>
    <t>UPI/DR/565119042866/TUMBLEDR/HDFC/tumbled/Royalty</t>
  </si>
  <si>
    <t>TSV-10-0126</t>
  </si>
  <si>
    <t>UPI/CR/565288865906/YAWEDO/HDFC/nitenme/SC3567</t>
  </si>
  <si>
    <t>UC567-0814</t>
  </si>
  <si>
    <t>TSV-10-0127</t>
  </si>
  <si>
    <t>UPI/DR/565291174791/RAMESH C/PUNB/9718350/LPG KN3</t>
  </si>
  <si>
    <t>TSV-10-0128</t>
  </si>
  <si>
    <t>UPI/DR/565265559664/Rapido/YESB/paytm-7/Transpo</t>
  </si>
  <si>
    <t>TSV-10-0129</t>
  </si>
  <si>
    <t>UPI/CR/528631555099/PRITI K/SBIN/drpriti/KN3817</t>
  </si>
  <si>
    <t>TSV-10-0130</t>
  </si>
  <si>
    <t>IFT/10060058376/Mr. VIKHYAT RANA /23328951/UPI/IFT/528603900027/IDFB/SC3567</t>
  </si>
  <si>
    <t>UC567-0824</t>
  </si>
  <si>
    <t>TSV-10-0131</t>
  </si>
  <si>
    <t>UPI/DR/565255978717/RANXESS /BKID/boim-67/Merchan</t>
  </si>
  <si>
    <t>TSV-10-0132</t>
  </si>
  <si>
    <t>UPI/CR/528601821737/VIKAS KU/IBKL/8074467/SC3567</t>
  </si>
  <si>
    <t>UC567-0803</t>
  </si>
  <si>
    <t>TSV-10-0133</t>
  </si>
  <si>
    <t>UPI/CR/528668051519/Aakarsh /SBIN/9682350/SL1610</t>
  </si>
  <si>
    <t>UC610-0424</t>
  </si>
  <si>
    <t>TSV-10-0134</t>
  </si>
  <si>
    <t>UPI/CR/751562946418/MS STUTI/SCBL/9717891/UN3668</t>
  </si>
  <si>
    <t>T1231</t>
  </si>
  <si>
    <t>TSV-10-0135</t>
  </si>
  <si>
    <t>UPI/CR/565285366914/ASMITA J/BKID/jhatith/SL1610</t>
  </si>
  <si>
    <t>UC610-0434</t>
  </si>
  <si>
    <t>TSV-10-0136</t>
  </si>
  <si>
    <t>UPI/CR/528668969467/Parv Go/SBIN/9729944/UN3668</t>
  </si>
  <si>
    <t>T1227</t>
  </si>
  <si>
    <t>TSV-10-0137</t>
  </si>
  <si>
    <t>UPI/DR/528602107223/Sanjay/FINO/8295128/Transpo</t>
  </si>
  <si>
    <t>TSV-10-0138</t>
  </si>
  <si>
    <t>UPI/DR/528636900250/ANUJ MI/KKBK/anujmis/Transpo</t>
  </si>
  <si>
    <t>Chemicals Delivery</t>
  </si>
  <si>
    <t>TSV-10-0139</t>
  </si>
  <si>
    <t>UPI/DR/528656804598/Fuel Nat/YESB/paytm.s/Transpo</t>
  </si>
  <si>
    <t>Diesel</t>
  </si>
  <si>
    <t>TSV-10-0140</t>
  </si>
  <si>
    <t>UPI/DR/528679306355/ISHWAR H/HDFC/vyapar./Compens</t>
  </si>
  <si>
    <t>Compensation</t>
  </si>
  <si>
    <t>TSV-10-0141</t>
  </si>
  <si>
    <t>NEFT/IDFB528650139921/UCONCEPTS SOLUTIONS PRIVATE</t>
  </si>
  <si>
    <t>TSV-10-0142</t>
  </si>
  <si>
    <t>UPI/DR/528622751764/Airtel/AIRP/airtelp/Upi Tra</t>
  </si>
  <si>
    <t>TSV-10-0143</t>
  </si>
  <si>
    <t>UPI/DR/528775121563/Mamata M/BARB/9319220/Mamta M</t>
  </si>
  <si>
    <t>Mamta Maid Salary</t>
  </si>
  <si>
    <t>TSV-10-0144</t>
  </si>
  <si>
    <t>UPI/CR/528712972565/SHLOK MI/KKBK/7042246/SC3567</t>
  </si>
  <si>
    <t>UC567-0813</t>
  </si>
  <si>
    <t>TSV-10-0145</t>
  </si>
  <si>
    <t>UPI/DR/528765520667/Sujay D/SBIN/sujayda/Salary</t>
  </si>
  <si>
    <t>Sjuay Maid Salary</t>
  </si>
  <si>
    <t>TSV-10-0146</t>
  </si>
  <si>
    <t>UPI/CR/528715742865/G VIGNES/UTIB/mailmeg/KN3817</t>
  </si>
  <si>
    <t>T750</t>
  </si>
  <si>
    <t>TSV-10-0147</t>
  </si>
  <si>
    <t>UPI/CR/528768808635/Samant /SBIN/samantk/KN3817</t>
  </si>
  <si>
    <t>T762</t>
  </si>
  <si>
    <t>TSV-10-0148</t>
  </si>
  <si>
    <t>UPI/DR/528795131421/MANJU LA/UBIN/8470941/Salary</t>
  </si>
  <si>
    <t>Manju Maid Salary</t>
  </si>
  <si>
    <t>TSV-10-0149</t>
  </si>
  <si>
    <t>UPI/CR/105942117681/ASHUTOSH/SBIN/8709546/UN3668</t>
  </si>
  <si>
    <t>T1219</t>
  </si>
  <si>
    <t>TSV-10-0150</t>
  </si>
  <si>
    <t>UPI/DR/528775628596/Google I/UTIB/gpayrec/UPI</t>
  </si>
  <si>
    <t>Mobile 9990093507</t>
  </si>
  <si>
    <t>TSV-10-0151</t>
  </si>
  <si>
    <t>UPI/DR/528708940247/apnaco/AIRP/apnaco2/Payment</t>
  </si>
  <si>
    <t>Apna.co Portal</t>
  </si>
  <si>
    <t>TSV-10-0152</t>
  </si>
  <si>
    <t>UPI/CR/692245579515/Anjali /SBIN/8590127/UN3668</t>
  </si>
  <si>
    <t>T1244</t>
  </si>
  <si>
    <t>TSV-10-0153</t>
  </si>
  <si>
    <t>UPI/CR/390734334564/Aarti Ma/BARB/9136812/UN3668</t>
  </si>
  <si>
    <t>T1255</t>
  </si>
  <si>
    <t>TSV-10-0154</t>
  </si>
  <si>
    <t>UPI/DR/528716627515/Guru Kru/YESB/paytmqr/LPG SL1</t>
  </si>
  <si>
    <t>TSV-10-0155</t>
  </si>
  <si>
    <t>UPI/CR/112639620633/ABHISHEK/KKBK/abhishe/UN3668</t>
  </si>
  <si>
    <t>T1226</t>
  </si>
  <si>
    <t>TSV-10-0156</t>
  </si>
  <si>
    <t>UPI/DR/528729980385/SHAROZ/NESF/atif886/Transpo</t>
  </si>
  <si>
    <t>TSV-10-0157</t>
  </si>
  <si>
    <t>UPI/CR/691575880802/RAJAT GA/HDFC/9717669/KN3817</t>
  </si>
  <si>
    <t>T746</t>
  </si>
  <si>
    <t>TSV-10-0158</t>
  </si>
  <si>
    <t>UPI/CR/565478870941/DEVENDER/SBIN/sushila/UN3668</t>
  </si>
  <si>
    <t>T1234</t>
  </si>
  <si>
    <t>TSV-10-0159</t>
  </si>
  <si>
    <t>UPI/CR/785094791585/FARIDA Y/PUNB/9144854/SC3567</t>
  </si>
  <si>
    <t>UC567-0835</t>
  </si>
  <si>
    <t>TSV-10-0160</t>
  </si>
  <si>
    <t>UPI/CR/768416748933/ADARSH K/PUNB/8789859/UN3668</t>
  </si>
  <si>
    <t>T1209</t>
  </si>
  <si>
    <t>TSV-10-0161</t>
  </si>
  <si>
    <t>UPI/DR/565508760642/Google I/ICIC/gpayuti/UPI</t>
  </si>
  <si>
    <t>TSV-10-0162</t>
  </si>
  <si>
    <t>UPI/DR/565543157576/PREETI K/INDB/8595821/Maid Pr</t>
  </si>
  <si>
    <t>Maid Preeti Saary</t>
  </si>
  <si>
    <t>TSV-10-0163</t>
  </si>
  <si>
    <t>UPI/CR/528941643415/ASHOK KU/HDFC/9654612/SL1610</t>
  </si>
  <si>
    <t>UC610-0429</t>
  </si>
  <si>
    <t>TSV-10-0164</t>
  </si>
  <si>
    <t>UPI/CR/112735463568/AJAYKUMA/PUNB/ajay288/UN3668</t>
  </si>
  <si>
    <t>T946</t>
  </si>
  <si>
    <t>TSV-10-0165</t>
  </si>
  <si>
    <t>UPI/CR/112739355404/SAMEER S/HDFC/sameers/SL1610</t>
  </si>
  <si>
    <t>UC610-0446</t>
  </si>
  <si>
    <t>TSV-10-0166</t>
  </si>
  <si>
    <t>UPI/CR/390842127621/MUKESH/PUNB/9211620/UN3668</t>
  </si>
  <si>
    <t>T1239</t>
  </si>
  <si>
    <t>TSV-10-0167</t>
  </si>
  <si>
    <t>UPI/CR/565553896131/RAJAT S/CNRB/rajat.s/UN3668</t>
  </si>
  <si>
    <t>T1250</t>
  </si>
  <si>
    <t>TSV-10-0168</t>
  </si>
  <si>
    <t>UPI/CR/234055175893/VIGNESH /ICIC/vignesh/UN3668</t>
  </si>
  <si>
    <t>TSV-10-0169</t>
  </si>
  <si>
    <t>UPI/CR/390853696465/Kashish /SBIN/7500959/SL1610</t>
  </si>
  <si>
    <t>UC610-0445</t>
  </si>
  <si>
    <t>TSV-10-0170</t>
  </si>
  <si>
    <t>UPI/CR/528946697598/TANWIR H/HDFC/7979925/SL1610</t>
  </si>
  <si>
    <t>UC610-0450</t>
  </si>
  <si>
    <t>TSV-10-0171</t>
  </si>
  <si>
    <t>UPI/CR/528971005921/PRIYAM K/ICIC/priyamk/SL1610</t>
  </si>
  <si>
    <t>UC610-0444</t>
  </si>
  <si>
    <t>TSV-10-0172</t>
  </si>
  <si>
    <t>UPI/CR/116355820767/DEBASISH/PUNB/6289847/UN3668</t>
  </si>
  <si>
    <t>T1262</t>
  </si>
  <si>
    <t>TSV-10-0173</t>
  </si>
  <si>
    <t>UPI/DR/529030142807/AMAR NA/SBIN/9654673/LPG KN3</t>
  </si>
  <si>
    <t>TSV-10-0174</t>
  </si>
  <si>
    <t>UPI/DR/529021157900/RAMESH C/PUNB/9718350/LPG UN3</t>
  </si>
  <si>
    <t>TSV-10-0175</t>
  </si>
  <si>
    <t>UPI/CR/956921045947/Sajid Sa/IDFB/7615868/UN3668</t>
  </si>
  <si>
    <t>T1252</t>
  </si>
  <si>
    <t>TSV-10-0176</t>
  </si>
  <si>
    <t>UPI/CR/529067117432/MR ABHIS/SCBL/9999456/SL1610</t>
  </si>
  <si>
    <t>UC610-0456</t>
  </si>
  <si>
    <t>TSV-10-0177</t>
  </si>
  <si>
    <t>UPI/DR/529067178220/LIVREGAL/IDFB/8812144/meeting</t>
  </si>
  <si>
    <t>TSV-10-0178</t>
  </si>
  <si>
    <t>UPI/DR/101734378534/Apple Se/HDFC/billdes/APPLAMP</t>
  </si>
  <si>
    <t>TSV-10-0179</t>
  </si>
  <si>
    <t>UPI/DR/565778918810/SHIVAM S/KKBK/9560965/Reimbur</t>
  </si>
  <si>
    <t>TSV-10-0180</t>
  </si>
  <si>
    <t>UPI/CR/529196726494/Pankaj /FINO/7633013/UN3668</t>
  </si>
  <si>
    <t>T1218</t>
  </si>
  <si>
    <t>TSV-10-0181</t>
  </si>
  <si>
    <t>UPI/CR/141609027465/KHUSHI/SBIN/9650410/UN3668</t>
  </si>
  <si>
    <t>T1247</t>
  </si>
  <si>
    <t>TSV-10-0182</t>
  </si>
  <si>
    <t>UPI/CR/141640893608/KHUSHI/SBIN/9650410/UN3668</t>
  </si>
  <si>
    <t>T1248</t>
  </si>
  <si>
    <t>TSV-10-0183</t>
  </si>
  <si>
    <t>UPI/CR/112839702190/SUMIT AH/HDFC/sahlawa/SL1610</t>
  </si>
  <si>
    <t>UC610-0454</t>
  </si>
  <si>
    <t>TSV-10-0184</t>
  </si>
  <si>
    <t>UPI/CR/692470517183/RAKESH /SBIN/9990027/UN3668</t>
  </si>
  <si>
    <t>T1261</t>
  </si>
  <si>
    <t>TSV-10-0185</t>
  </si>
  <si>
    <t>NEFT/IDFBH25291119944/Shivam Shrivastav/KKBK0000287/Diwali Bous ShivamShrivastav SC35</t>
  </si>
  <si>
    <t>Diwali Bonus</t>
  </si>
  <si>
    <t>TSV-10-0186</t>
  </si>
  <si>
    <t>NEFT/IDFBH25291119947/Mohsin Khan/SBIN0001679/Diwali Bous Mohsin Khan UN3668</t>
  </si>
  <si>
    <t>TSV-10-0187</t>
  </si>
  <si>
    <t>NEFT/IDFBH25291119950/Vishal/CNRB0005123/Diwali Bonus Vishal KN3817</t>
  </si>
  <si>
    <t>TSV-10-0188</t>
  </si>
  <si>
    <t>NEFT/IDFBH25291119952/Piyush Tag/UTIB0000540/Diwali Gift Boxes TSV001</t>
  </si>
  <si>
    <t>TSV-10-0189</t>
  </si>
  <si>
    <t>NEFT/IDFBH25291119953/Shubham Tiwari/IDFB0021011/Diwali Bous Shubham Tiwari SC3567</t>
  </si>
  <si>
    <t>TSV-10-0190</t>
  </si>
  <si>
    <t>NEFT/IDFBH25291119954/Piyush Tag/UTIB0000540/Diwali Bous Piyush Tag TSV</t>
  </si>
  <si>
    <t>TSV-10-0191</t>
  </si>
  <si>
    <t>NEFT/IDFBH25291119955/Vinay Kumar/PUNB0062000/Diwali Bous Vinay Kumar KN3817</t>
  </si>
  <si>
    <t>TSV-10-0192</t>
  </si>
  <si>
    <t>NEFT/IDFBH25291119956/Rohit Yadav/YESB0000118/Diwali Bous Rohit Yadav SP1610</t>
  </si>
  <si>
    <t>TSV-10-0193</t>
  </si>
  <si>
    <t>NEFT/IDFBH25291119957/Jatin Kumar Yadav/FINO0001001/Diwali Bous Jatin Yadav SP1610</t>
  </si>
  <si>
    <t>TSV-10-0194</t>
  </si>
  <si>
    <t>NEFT/IDFBH25291119958/Sanjay/FINO0001129/Diwali Bous AdvSalary Sanjay KN38</t>
  </si>
  <si>
    <t>TSV-10-0195</t>
  </si>
  <si>
    <t>NEFT/IDFBH25291119959/Jitendra Singh/IOBA0003714/Diwali Bous Jitendra Singh SC3567</t>
  </si>
  <si>
    <t>TSV-10-0196</t>
  </si>
  <si>
    <t>NEFT/IDFBH25291119960/Jaspal Singh/DBSS0IN0811/Diwali Bous Jaspal singh UN3668</t>
  </si>
  <si>
    <t>TSV-10-0197</t>
  </si>
  <si>
    <t>UPI/DR/565716743891/TUMBLEDR/HDFC/tumbled/Royalty</t>
  </si>
  <si>
    <t>TSV-10-0198</t>
  </si>
  <si>
    <t>UPI/DR/565701938500/TUMBLEDR/HDFC/tumbled/Royalty</t>
  </si>
  <si>
    <t>TSV-10-0199</t>
  </si>
  <si>
    <t>NEFT RETURN/IDFBH25291119955/</t>
  </si>
  <si>
    <t>TSV-10-0200</t>
  </si>
  <si>
    <t>NEFT RETURN/IDFBH25291119956/</t>
  </si>
  <si>
    <t>TSV-10-0201</t>
  </si>
  <si>
    <t>UPI/CR/739557048028/TARUN J/SBIN/tjsbi00/UN3668</t>
  </si>
  <si>
    <t>T1259</t>
  </si>
  <si>
    <t>TSV-10-0202</t>
  </si>
  <si>
    <t>UPI/CR/885825583265/MEENAKSH/BARB/meenaks/UN3668</t>
  </si>
  <si>
    <t>T1265</t>
  </si>
  <si>
    <t>TSV-10-0203</t>
  </si>
  <si>
    <t>UPI/CR/293571339084/KUSH KHO/ICIC/9899575/SL1610</t>
  </si>
  <si>
    <t>UC610-0451,UC610-0452</t>
  </si>
  <si>
    <t>TSV-10-0204</t>
  </si>
  <si>
    <t>UPI/DR/565715554822/ROHIT/YESB/ryyadav/Diwali</t>
  </si>
  <si>
    <t>TSV-10-0205</t>
  </si>
  <si>
    <t>UPI/DR/565749163174/VINAY KU/PUNB/8700704/Diwali</t>
  </si>
  <si>
    <t>TSV-10-0206</t>
  </si>
  <si>
    <t>UPI/CR/328601146037/ASUTOSH /SBIN/8455960/UN3668</t>
  </si>
  <si>
    <t>T1222,T1223</t>
  </si>
  <si>
    <t>TSV-10-0207</t>
  </si>
  <si>
    <t>UPI/CR/112882029427/SABARNA /HDFC/sabarna/SL1610</t>
  </si>
  <si>
    <t>UC610-0447</t>
  </si>
  <si>
    <t>TSV-10-0208</t>
  </si>
  <si>
    <t>UPI/CR/390992733365/SOUBHAGY/SBIN/9776804/UN3668</t>
  </si>
  <si>
    <t>T1267</t>
  </si>
  <si>
    <t>TSV-10-0209</t>
  </si>
  <si>
    <t>UPI/CR/293607827933/JATIN LI/ICIC/9871227/KN3817</t>
  </si>
  <si>
    <t>TSV-10-0210</t>
  </si>
  <si>
    <t>UPI/CR/699646320644/NIRANJAN/SBIN/9818328/SC3567</t>
  </si>
  <si>
    <t>TSV-10-0211</t>
  </si>
  <si>
    <t>UPI/CR/529221639799/Vineet S/IDFB/vineet./na</t>
  </si>
  <si>
    <t>TSV-10-0212</t>
  </si>
  <si>
    <t>UPI/CR/529283625567/AASTIK S/IPOS/aastiks/UN3668</t>
  </si>
  <si>
    <t>T1211</t>
  </si>
  <si>
    <t>TSV-10-0213</t>
  </si>
  <si>
    <t>UPI/CR/203672622925/ABHISHEK/UTIB/8949775/SC3567</t>
  </si>
  <si>
    <t>TSV-10-0214</t>
  </si>
  <si>
    <t>UPI/CR/112907872310/PANKAJ K/HDFC/pankaj./UN3668</t>
  </si>
  <si>
    <t>T1285</t>
  </si>
  <si>
    <t>TSV-10-0215</t>
  </si>
  <si>
    <t>UPI/CR/565808134935/Sachin/PPIW/9953002/UN3668</t>
  </si>
  <si>
    <t>T1230</t>
  </si>
  <si>
    <t>TSV-10-0216</t>
  </si>
  <si>
    <t>UPI/DR/529244335313/M/S.UCON/ICIC/uconcep/Packagi</t>
  </si>
  <si>
    <t>Packaging</t>
  </si>
  <si>
    <t>TSV-10-0217</t>
  </si>
  <si>
    <t>UPI/CR/261865968439/RANODEEP/HDFC/7688055/SL1610</t>
  </si>
  <si>
    <t>UC610-0443</t>
  </si>
  <si>
    <t>TSV-10-0218</t>
  </si>
  <si>
    <t>UPI/CR/692584594578/ANJU RAN/ICIC/9654362/SL1610</t>
  </si>
  <si>
    <t>TSV-10-0219</t>
  </si>
  <si>
    <t>UPI/CR/391061597221/Sourab /SBIN/sourab./SC3567</t>
  </si>
  <si>
    <t>TSV-10-0220</t>
  </si>
  <si>
    <t>UPI/CR/112988981477/GEETA W//IBKL/geetraj/UN3668</t>
  </si>
  <si>
    <t>T1266</t>
  </si>
  <si>
    <t>TSV-10-0221</t>
  </si>
  <si>
    <t>UPI/DR/566010880078/SHAROZ/NESF/atif886/Transpo</t>
  </si>
  <si>
    <t>TSV-10-0222</t>
  </si>
  <si>
    <t>UPI/DR/566071967377/LAKSHMI/BKID/7011088/Transpo</t>
  </si>
  <si>
    <t>TSV-10-0223</t>
  </si>
  <si>
    <t>UPI/DR/566008098857/85068322/KKBK/8506832/Reimbur</t>
  </si>
  <si>
    <t>TSV-10-0224</t>
  </si>
  <si>
    <t>UPI/CR/818582195784/BHASKAR /HDFC/9911751/UN3668</t>
  </si>
  <si>
    <t>T1264</t>
  </si>
  <si>
    <t>TSV-10-0225</t>
  </si>
  <si>
    <t>UPI/CR/038790068975/JPGAS SE/UBIN/9810076/SC3567</t>
  </si>
  <si>
    <t>TSV-10-0226</t>
  </si>
  <si>
    <t>UPI/CR/854005279062/SUMITRA /SBIN/9667082/UN3668</t>
  </si>
  <si>
    <t>T1291</t>
  </si>
  <si>
    <t>TSV-10-0227</t>
  </si>
  <si>
    <t>UPI/CR/124816227251/RAKHI K/SBIN/7303242/UN3668</t>
  </si>
  <si>
    <t>T1277</t>
  </si>
  <si>
    <t>TSV-10-0228</t>
  </si>
  <si>
    <t>UPI/CR/113035669685/MR CHIRA/SCBL/chiragk/UN3668</t>
  </si>
  <si>
    <t>T1274</t>
  </si>
  <si>
    <t>TSV-10-0229</t>
  </si>
  <si>
    <t>UPI/CR/566142344434/SHUBHAM /SBIN/shubham/UN3668</t>
  </si>
  <si>
    <t>T1288</t>
  </si>
  <si>
    <t>TSV-10-0230</t>
  </si>
  <si>
    <t>UPI/CR/113041976388/ANCHAL S/HDFC/aanchal/KN3817</t>
  </si>
  <si>
    <t>T803</t>
  </si>
  <si>
    <t>TSV-10-0231</t>
  </si>
  <si>
    <t>UPI/CR/529622708107/PRAVEEN/HDFC/9999072/SC3567</t>
  </si>
  <si>
    <t>TSV-10-0232</t>
  </si>
  <si>
    <t>UPI/CR/529619328232/SHIVAM K/HDFC/sk91285/UN3668</t>
  </si>
  <si>
    <t>T1279</t>
  </si>
  <si>
    <t>TSV-10-0233</t>
  </si>
  <si>
    <t>UPI/CR/692741974672/SOUBHAGY/SBIN/9776804/UN3668</t>
  </si>
  <si>
    <t>T1287</t>
  </si>
  <si>
    <t>TSV-10-0234</t>
  </si>
  <si>
    <t>UPI/CR/692744187163/MOHIT K/KKBK/9999313/UN3668</t>
  </si>
  <si>
    <t>T1299</t>
  </si>
  <si>
    <t>TSV-10-0235</t>
  </si>
  <si>
    <t>UPI/DR/566247100091/MANOJ KU/UBIN/8882356/Salary</t>
  </si>
  <si>
    <t>Waterman</t>
  </si>
  <si>
    <t>TSV-10-0236</t>
  </si>
  <si>
    <t>UPI/CR/566233910051/MR SUJAY/SCBL/sujay.k/SL1610</t>
  </si>
  <si>
    <t>UC610-0400</t>
  </si>
  <si>
    <t>TSV-10-0237</t>
  </si>
  <si>
    <t>UPI/DR/566358949282/Guru Kru/YESB/paytmqr/LPG SL1</t>
  </si>
  <si>
    <t>TSV-10-0238</t>
  </si>
  <si>
    <t>UPI/CR/586873830311/SANJEEV /HDFC/9971870/SC3567</t>
  </si>
  <si>
    <t>TSV-10-0239</t>
  </si>
  <si>
    <t>UPI/DR/529733274140/Amazon P/UTIB/amazonp/Subscri</t>
  </si>
  <si>
    <t>TSV-10-0240</t>
  </si>
  <si>
    <t>UPI/DR/566333652799/LALU SO /BKID/9119812/Transpo</t>
  </si>
  <si>
    <t>TSV-10-0241</t>
  </si>
  <si>
    <t>UPI/DR/529782261687/Amazon P/YESB/amazonp/Subscri</t>
  </si>
  <si>
    <t>TSV-10-0242</t>
  </si>
  <si>
    <t>UPI/CR/391244004517/CHIRAG /SBIN/9711798/SL1610</t>
  </si>
  <si>
    <t>UC610-0467</t>
  </si>
  <si>
    <t>TSV-10-0243</t>
  </si>
  <si>
    <t>UPI/CR/566366574606/SARANSH /UTIB/saransh/SL1610</t>
  </si>
  <si>
    <t>UC610-0439</t>
  </si>
  <si>
    <t>TSV-10-0244</t>
  </si>
  <si>
    <t>UPI/CR/566302771964/SARANSH /UTIB/saransh/UPI</t>
  </si>
  <si>
    <t>TSV-10-0245</t>
  </si>
  <si>
    <t>UPI/CR/566356280733/RAJNI PA/PUNB/rajnipa/SL1610</t>
  </si>
  <si>
    <t>UC610-0458</t>
  </si>
  <si>
    <t>TSV-10-0246</t>
  </si>
  <si>
    <t>UPI/CR/917270222975/Amazon P/UTIB/amazon./Refund</t>
  </si>
  <si>
    <t>TSV-10-0247</t>
  </si>
  <si>
    <t>UPI/CR/566303330769/PRANYA S/CNRB/8826701/UN3668</t>
  </si>
  <si>
    <t>T1286</t>
  </si>
  <si>
    <t>TSV-10-0248</t>
  </si>
  <si>
    <t>UPI/CR/529782668965/Amazon I/YESB/amazon./Refund</t>
  </si>
  <si>
    <t>TSV-10-0249</t>
  </si>
  <si>
    <t>UPI/DR/566361072832/Jatin Ku/FINO/jatinya/Advance</t>
  </si>
  <si>
    <t>Advance Salary Jatin</t>
  </si>
  <si>
    <t>TSV-10-0250</t>
  </si>
  <si>
    <t>UPI/DR/566422784573/Guru Kru/YESB/paytmqr/LPG SC3</t>
  </si>
  <si>
    <t>TSV-10-0251</t>
  </si>
  <si>
    <t>UPI/DR/529827002369/Guru Kru/YESB/paytmqr/LPG SC3</t>
  </si>
  <si>
    <t>TSV-10-0252</t>
  </si>
  <si>
    <t>UPI/CR/692820445062/BABU RAM/ICIC/9811372/SC3567</t>
  </si>
  <si>
    <t>TSV-10-0253</t>
  </si>
  <si>
    <t>UPI/CR/113171252192/NISHTHA /HDFC/sah.nis/UN3668</t>
  </si>
  <si>
    <t>T1297</t>
  </si>
  <si>
    <t>TSV-10-0254</t>
  </si>
  <si>
    <t>UPI/CR/529847982855/AMANDEEP/HDFC/9599478/UN3668</t>
  </si>
  <si>
    <t>T1313</t>
  </si>
  <si>
    <t>TSV-10-0255</t>
  </si>
  <si>
    <t>UPI/CR/101791115883/MANSI SH/BARB/7827001/KN3817</t>
  </si>
  <si>
    <t>T816</t>
  </si>
  <si>
    <t>TSV-10-0256</t>
  </si>
  <si>
    <t>UPI/CR/529832576664/R MATHAN/UTIB/mathang/SC3567</t>
  </si>
  <si>
    <t>TSV-10-0257</t>
  </si>
  <si>
    <t>UPI/CR/084566139614/SHIVANI /SBIN/verma.s/UN3668</t>
  </si>
  <si>
    <t>T1271</t>
  </si>
  <si>
    <t>TSV-10-0258</t>
  </si>
  <si>
    <t>UPI/CR/529956692922/SRISHTI /HDFC/9811084/UN3668</t>
  </si>
  <si>
    <t>TSV-10-0259</t>
  </si>
  <si>
    <t>UPI/CR/529937137710/VIKAS ME/HDFC/vikasme/SC3567</t>
  </si>
  <si>
    <t>TSV-10-0260</t>
  </si>
  <si>
    <t>UPI/CR/113231252019/AJAY KUM/BARB/ajayk54/UN3668</t>
  </si>
  <si>
    <t>T1302</t>
  </si>
  <si>
    <t>TSV-10-0261</t>
  </si>
  <si>
    <t>UPI/CR/566632487016/Sumit Ah/BARB/sahlawa/SL1610</t>
  </si>
  <si>
    <t>UC610-0464</t>
  </si>
  <si>
    <t>TSV-10-0262</t>
  </si>
  <si>
    <t>CASH DEPOSIT BY SELF 21008</t>
  </si>
  <si>
    <t>1,00,000.00</t>
  </si>
  <si>
    <t>1,20,554.34</t>
  </si>
  <si>
    <t>TSV-10-0263</t>
  </si>
  <si>
    <t>UPI/DR/566601550410/RANXESS /BKID/boim-67/Merchan</t>
  </si>
  <si>
    <t>1,11,055.34</t>
  </si>
  <si>
    <t>TSV-10-0264</t>
  </si>
  <si>
    <t>UPI/DR/566610142511/TUMBLEDR/HDFC/tumbled/Chemica</t>
  </si>
  <si>
    <t>TSV-10-0265</t>
  </si>
  <si>
    <t>UPI/CR/530066253353/MAYANK R/ICIC/mayank./na</t>
  </si>
  <si>
    <t>UC610-0466</t>
  </si>
  <si>
    <t>TSV-10-0266</t>
  </si>
  <si>
    <t>BILLPAY/REGBIL/Airtel Post/20253006783881/27102025</t>
  </si>
  <si>
    <t>TSV-10-0267</t>
  </si>
  <si>
    <t>BILLPAY/REGBIL/Tata Power /20253006784022/27102025</t>
  </si>
  <si>
    <t>TSV-10-0268</t>
  </si>
  <si>
    <t>BILLPAY/QUICK/Dakshin Har/20253006785580/27102025</t>
  </si>
  <si>
    <t>TSV-10-0269</t>
  </si>
  <si>
    <t>UPI/CR/692942115272/MOHIT K/KKBK/9999313/UN3668</t>
  </si>
  <si>
    <t>T1325</t>
  </si>
  <si>
    <t>TSV-10-0270</t>
  </si>
  <si>
    <t>UPI/CR/530051124826/Bibhab /SBIN/dashing/UN3668</t>
  </si>
  <si>
    <t>T308</t>
  </si>
  <si>
    <t>TSV-10-0271</t>
  </si>
  <si>
    <t>UPI/CR/530115518148/ANAMIKA /KKBK/7604089/SC3567</t>
  </si>
  <si>
    <t>TSV-10-0272</t>
  </si>
  <si>
    <t>UPI/CR/566715904599/FARHAN M/HDFC/9004326/SL1610</t>
  </si>
  <si>
    <t>UC610-0462</t>
  </si>
  <si>
    <t>TSV-10-0273</t>
  </si>
  <si>
    <t>UPI/CR/566785506239/SUMIT KU/INDB/sumit.k/SC3567</t>
  </si>
  <si>
    <t>TSV-10-0274</t>
  </si>
  <si>
    <t>UPI/CR/530248852439/ALTHAF K/FDRL/althafk/UN3668</t>
  </si>
  <si>
    <t>T1309,T1310</t>
  </si>
  <si>
    <t>TSV-10-0275</t>
  </si>
  <si>
    <t>UPI/CR/566816968994/ADITYA B/HDFC/9716787/SC3567</t>
  </si>
  <si>
    <t>TSV-10-0276</t>
  </si>
  <si>
    <t>UPI/CR/530218276045/Mr MUKES/IDIB/mukeshp/SC3567</t>
  </si>
  <si>
    <t>TSV-10-0277</t>
  </si>
  <si>
    <t>UPI/CR/178198352118/HARDEEP /KKBK/7080484/SL1610</t>
  </si>
  <si>
    <t>UC610-0478</t>
  </si>
  <si>
    <t>TSV-10-0278</t>
  </si>
  <si>
    <t>UPI/DR/530200361037/NAIN SIN/YESB/paytmqr/Transpo</t>
  </si>
  <si>
    <t>Wagid Fuel</t>
  </si>
  <si>
    <t>TSV-10-0279</t>
  </si>
  <si>
    <t>UPI/CR/113339334426/MAMTA SA/HDFC/mamtasa/UN3668</t>
  </si>
  <si>
    <t>T1269</t>
  </si>
  <si>
    <t>TSV-10-0280</t>
  </si>
  <si>
    <t>IMPS-OPM/530214038139/Jitendra Singh/IOBA0003714/5211/AdvanceSalaryJitenderS</t>
  </si>
  <si>
    <t>TSV-10-0281</t>
  </si>
  <si>
    <t>UPI/CR/530228041306/VIVEK G/KKBK/vivek1g/SC3567</t>
  </si>
  <si>
    <t>TSV-10-0282</t>
  </si>
  <si>
    <t>UPI/CR/553587904019/SUMIT KA/ICIC/9999873/UN3668</t>
  </si>
  <si>
    <t>T1300</t>
  </si>
  <si>
    <t>TSV-10-0283</t>
  </si>
  <si>
    <t>UPI/CR/530277529305/RAHUL NA/HDFC/9811909/SL1610</t>
  </si>
  <si>
    <t>UC610-0491</t>
  </si>
  <si>
    <t>TSV-10-0284</t>
  </si>
  <si>
    <t>UPI/CR/988985853400/AYAN ARI/BARB/9208811/UN3668</t>
  </si>
  <si>
    <t>T1320</t>
  </si>
  <si>
    <t>TSV-10-0285</t>
  </si>
  <si>
    <t>UPI/CR/655727061548/AYAN ARI/BARB/9208811/Payment</t>
  </si>
  <si>
    <t>TSV-10-0286</t>
  </si>
  <si>
    <t>UPI/CR/693030806707/RAJ VE/KKBK/9540081/UN3668</t>
  </si>
  <si>
    <t>T1322</t>
  </si>
  <si>
    <t>TSV-10-0287</t>
  </si>
  <si>
    <t>UPI/CR/530259337109/MOHSIN /SBIN/8920759/UN3668</t>
  </si>
  <si>
    <t>TSV-10-0288</t>
  </si>
  <si>
    <t>UPI/CR/566853365948/JAPLEEN /UTIB/japss95/SL1610</t>
  </si>
  <si>
    <t>UC610-0472</t>
  </si>
  <si>
    <t>TSV-10-0289</t>
  </si>
  <si>
    <t>UPI/CR/113360881610/AKSH SAH/HDFC/sahniak/SL1610</t>
  </si>
  <si>
    <t>UC610-0468</t>
  </si>
  <si>
    <t>TSV-10-0290</t>
  </si>
  <si>
    <t>UPI/CR/693046309722/AMEY PRA/KKBK/9244316/SC3567</t>
  </si>
  <si>
    <t>TSV-10-0291</t>
  </si>
  <si>
    <t>UPI/CR/113386740197/OM RAGHA/HDFC/raghavj/SC3567</t>
  </si>
  <si>
    <t>TSV-10-0292</t>
  </si>
  <si>
    <t>UPI/CR/530301334501/AVINASH /HDFC/9818733/SC3567</t>
  </si>
  <si>
    <t>TSV-10-0293</t>
  </si>
  <si>
    <t>UPI/CR/113400469902/HARSHITA/PUNB/rupalli/UN3668</t>
  </si>
  <si>
    <t>T1348</t>
  </si>
  <si>
    <t>TSV-10-0294</t>
  </si>
  <si>
    <t>UPI/CR/566998260436/AAYUSH G/HDFC/agarg04/SC3567</t>
  </si>
  <si>
    <t>TSV-10-0295</t>
  </si>
  <si>
    <t>UPI/CR/113425008552/ARPENDU /HDFC/arpendu/UPI</t>
  </si>
  <si>
    <t>TSV-10-0296</t>
  </si>
  <si>
    <t>UPI/DR/567074374052/AMIT/BKID/9540764/Tag Gun</t>
  </si>
  <si>
    <t>Tag Gun</t>
  </si>
  <si>
    <t>TSV-10-0297</t>
  </si>
  <si>
    <t>UPI/CR/391549204601/RAJENDRA/SBIN/9312336/SC3567</t>
  </si>
  <si>
    <t>TSV-10-0298</t>
  </si>
  <si>
    <t>UPI/DR/567018490162/airtel/UTIB/airtel./UPI</t>
  </si>
  <si>
    <t>TSV-10-0299</t>
  </si>
  <si>
    <t>UPI/DR/530404504090/ADESH KU/YESB/paytmqr/Repair</t>
  </si>
  <si>
    <t>Repair</t>
  </si>
  <si>
    <t>TSV-10-0300</t>
  </si>
  <si>
    <t>UPI/CR/567011327730/VAIBHAV /HDFC/9540512/KN3817</t>
  </si>
  <si>
    <t>T833</t>
  </si>
  <si>
    <t>TSV-10-0301</t>
  </si>
  <si>
    <t>UPI/CR/181619303589/ANKITMOH/HDFC/7489821/SC3567</t>
  </si>
  <si>
    <t>TSV-10-0302</t>
  </si>
  <si>
    <t>UPI/DR/530451814220/BRAJVALA/CNRB/abhinay/Compens</t>
  </si>
  <si>
    <t>TSV-10-0303</t>
  </si>
  <si>
    <t>UPI/CR/567020684105/Akanksha/IDFB/smile27/KN3817</t>
  </si>
  <si>
    <t>TSV-10-0304</t>
  </si>
  <si>
    <t>UPI/CR/391567584630/BHARAT /KKBK/9582942/UN3668</t>
  </si>
  <si>
    <t>T1317</t>
  </si>
  <si>
    <t>TSV-10-0305</t>
  </si>
  <si>
    <t>UPI/CR/193541867445/ABHINAVK/ICIC/7307781/SL1610</t>
  </si>
  <si>
    <t>UC610-0494</t>
  </si>
  <si>
    <t>TSV-10-0306</t>
  </si>
  <si>
    <t>UPI/CR/841684696899/GURU JIT/HDFC/9699956/UN3668</t>
  </si>
  <si>
    <t>T1335</t>
  </si>
  <si>
    <t>TSV-11-0001</t>
  </si>
  <si>
    <t>UPI/CR/391597834689/MR RAJ /BDBL/7701945/SC3567</t>
  </si>
  <si>
    <t>11</t>
  </si>
  <si>
    <t>TSV-11-0002</t>
  </si>
  <si>
    <t>UPI/CR/557684174586/S M IMRA/CNRB/8826622/UN3668</t>
  </si>
  <si>
    <t>T1359</t>
  </si>
  <si>
    <t>TSV-11-0003</t>
  </si>
  <si>
    <t>UPI/CR/056754121124/SHEEBA /SBIN/9773821/UN3668</t>
  </si>
  <si>
    <t>T1351</t>
  </si>
  <si>
    <t>TSV-11-0004</t>
  </si>
  <si>
    <t>UPI/CR/440330254250/SHEEBA /SBIN/9773821/UN3668</t>
  </si>
  <si>
    <t>T1350</t>
  </si>
  <si>
    <t>TSV-11-0005</t>
  </si>
  <si>
    <t>UPI/CR/530515526604/RAJESH K/UTIB/rajesh./SC3567</t>
  </si>
  <si>
    <t>UC567-0883</t>
  </si>
  <si>
    <t>TSV-11-0006</t>
  </si>
  <si>
    <t>UPI/CR/681537023058/INDRAJEE/HDFC/8237634/SL1610</t>
  </si>
  <si>
    <t>UC610-0490</t>
  </si>
  <si>
    <t>TSV-11-0007</t>
  </si>
  <si>
    <t>UPI/CR/567198679178/SUBHRAJI/UTIB/subhraj/UN3668</t>
  </si>
  <si>
    <t>T1333</t>
  </si>
  <si>
    <t>TSV-11-0008</t>
  </si>
  <si>
    <t>UPI/DR/567228838125/NAIN SIN/YESB/paytmqr/Transpo</t>
  </si>
  <si>
    <t>TSV-11-0009</t>
  </si>
  <si>
    <t>UPI/CR/391649057880/BABU RAM/ICIC/9811372/SC3567</t>
  </si>
  <si>
    <t>UC567-0910</t>
  </si>
  <si>
    <t>TSV-11-0010</t>
  </si>
  <si>
    <t>UPI/CR/567282172286/UTSAV KU/BKID/utsavku/UN3668</t>
  </si>
  <si>
    <t>T1349</t>
  </si>
  <si>
    <t>TSV-11-0011</t>
  </si>
  <si>
    <t>UPI/CR/113542994465/AJAY KU/YESB/ajaysar/SL1610</t>
  </si>
  <si>
    <t>UC610-0455</t>
  </si>
  <si>
    <t>TSV-11-0012</t>
  </si>
  <si>
    <t>UPI/CR/530682011756/Parv Go/SBIN/9729944/UN3668</t>
  </si>
  <si>
    <t>T1358</t>
  </si>
  <si>
    <t>TSV-11-0013</t>
  </si>
  <si>
    <t>UPI/CR/530637601400/Parv Go/SBIN/9729944/Sent us</t>
  </si>
  <si>
    <t>TSV-11-0014</t>
  </si>
  <si>
    <t>UPI/CR/822803831249/PALAK AN/HDFC/7011125/UN3668</t>
  </si>
  <si>
    <t>T1332</t>
  </si>
  <si>
    <t>TSV-11-0015</t>
  </si>
  <si>
    <t>UPI/CR/567264279341/ANKITA K/ICIC/kuhu.sh/UN3668</t>
  </si>
  <si>
    <t>T1360</t>
  </si>
  <si>
    <t>TSV-11-0016</t>
  </si>
  <si>
    <t>UPI/CR/113555792487/RINTU /CNRB/rintu.4/PAY BY</t>
  </si>
  <si>
    <t>TSV-11-0017</t>
  </si>
  <si>
    <t>UPI/CR/122124234893/GopalSat/SBIN/8092573/UN3668</t>
  </si>
  <si>
    <t>T1336</t>
  </si>
  <si>
    <t>TSV-11-0018</t>
  </si>
  <si>
    <t>UPI/CR/530787374650/ANURAG /SBIN/9709375/SC3567</t>
  </si>
  <si>
    <t>UC567-0894</t>
  </si>
  <si>
    <t>TSV-11-0019</t>
  </si>
  <si>
    <t>UPI/CR/530714597677/JYOTI RA/ICIC/jyotira/SC3567</t>
  </si>
  <si>
    <t>UC567-0885</t>
  </si>
  <si>
    <t>TSV-11-0020</t>
  </si>
  <si>
    <t>UPI/CR/113427363004/MOHD ASI/ICIC/asif768/UN3668</t>
  </si>
  <si>
    <t>T1337</t>
  </si>
  <si>
    <t>TSV-11-0021</t>
  </si>
  <si>
    <t>UPI/CR/113602922600/NEELESH /HDFC/kr.neel/SC3567</t>
  </si>
  <si>
    <t>UC567-0895</t>
  </si>
  <si>
    <t>TSV-11-0022</t>
  </si>
  <si>
    <t>UPI/CR/530741995149/MR ANKIT/SCBL/abhasin/SC3567</t>
  </si>
  <si>
    <t>UC567-0915</t>
  </si>
  <si>
    <t>TSV-11-0023</t>
  </si>
  <si>
    <t>UPI/CR/530784421662/ADIVYA S/NESF/9135471/UN3668</t>
  </si>
  <si>
    <t>T1371</t>
  </si>
  <si>
    <t>TSV-11-0024</t>
  </si>
  <si>
    <t>UPI/DR/530746844148/Shobha /IOBA/9731868/Transpo</t>
  </si>
  <si>
    <t>TSV-11-0025</t>
  </si>
  <si>
    <t>UPI/CR/437826689839/ISHITA G/UTIB/9125736/SL1610</t>
  </si>
  <si>
    <t>UC610-0496</t>
  </si>
  <si>
    <t>TSV-11-0026</t>
  </si>
  <si>
    <t>UPI/DR/530707458219/Balvindr/FINO/9354783/UPI</t>
  </si>
  <si>
    <t>TSV-11-0027</t>
  </si>
  <si>
    <t>UPI/DR/530887078263/AMAR NA/SBIN/9654673/LPG KN3</t>
  </si>
  <si>
    <t>TSV-11-0028</t>
  </si>
  <si>
    <t>UPI/DR/567435403062/Guru Kru/YESB/paytmqr/LPG SL1</t>
  </si>
  <si>
    <t>TSV-11-0029</t>
  </si>
  <si>
    <t>UPI/DR/567424104438/SHIV RO /UBIN/pal8336/RO Wate</t>
  </si>
  <si>
    <t>RO Water</t>
  </si>
  <si>
    <t>TSV-11-0030</t>
  </si>
  <si>
    <t>UPI/CR/530850719242/SARANG J/SBIN/indurka/SL1610</t>
  </si>
  <si>
    <t>UC610-0510</t>
  </si>
  <si>
    <t>TSV-11-0031</t>
  </si>
  <si>
    <t>UPI/CR/294462825928/DEVRAJ /KKBK/7808324/UN3668</t>
  </si>
  <si>
    <t>T1282</t>
  </si>
  <si>
    <t>TSV-11-0032</t>
  </si>
  <si>
    <t>UPI/CR/391772583545/DEVRAJ /KKBK/7808324/UN3668</t>
  </si>
  <si>
    <t>T1372</t>
  </si>
  <si>
    <t>TSV-11-0033</t>
  </si>
  <si>
    <t>UPI/CR/391773427196/PRIYANKA/RATN/9654475/UN3668</t>
  </si>
  <si>
    <t>TSV-11-0034</t>
  </si>
  <si>
    <t>UPI/CR/294463821553/PRIYANKA/RATN/9654475/UN3668</t>
  </si>
  <si>
    <t>T1278</t>
  </si>
  <si>
    <t>TSV-11-0035</t>
  </si>
  <si>
    <t>UPI/DR/567518949619/Guru Kru/YESB/paytmqr/LPG SC3</t>
  </si>
  <si>
    <t>TSV-11-0036</t>
  </si>
  <si>
    <t>UPI/CR/786235684424/ROSHNI J/ICIC/roshnij/SL1610</t>
  </si>
  <si>
    <t>UC610-0497</t>
  </si>
  <si>
    <t>TSV-11-0037</t>
  </si>
  <si>
    <t>UPI/DR/567558654451/Amazon P/UTIB/amazonp/You are</t>
  </si>
  <si>
    <t>TSV-11-0038</t>
  </si>
  <si>
    <t>UPI/DR/567525063065/PRADEEP /KKBK/pradeep/Staff W</t>
  </si>
  <si>
    <t>TSV-11-0039</t>
  </si>
  <si>
    <t>UPI/CR/706503764212/SUDHANSH/KKBK/9839239/UN3668</t>
  </si>
  <si>
    <t>T1345</t>
  </si>
  <si>
    <t>TSV-11-0040</t>
  </si>
  <si>
    <t>UPI/DR/567548196805/Guru Kru/YESB/paytmqr/LPG SL1</t>
  </si>
  <si>
    <t>TSV-11-0041</t>
  </si>
  <si>
    <t>UPI/CR/693391006703/NIDHI JA/ICIC/9953235/SL1610</t>
  </si>
  <si>
    <t>UC610-0507</t>
  </si>
  <si>
    <t>TSV-11-0042</t>
  </si>
  <si>
    <t>UPI/CR/391815212915/ADNAN/INDB/9958503/UN3668</t>
  </si>
  <si>
    <t>T1391</t>
  </si>
  <si>
    <t>TSV-11-0043</t>
  </si>
  <si>
    <t>UPI/CR/530976162105/SHIVANI /ICIC/9820503/SL1610</t>
  </si>
  <si>
    <t>UC610-0498</t>
  </si>
  <si>
    <t>TSV-11-0044</t>
  </si>
  <si>
    <t>UPI/CR/693398604580/MITESH J/HDFC/miteshj/SC3567</t>
  </si>
  <si>
    <t>UC567-0889</t>
  </si>
  <si>
    <t>TSV-11-0045</t>
  </si>
  <si>
    <t>UPI/CR/530921699042/JYOTSNA/UTIB/jyotsna/UN3668</t>
  </si>
  <si>
    <t>Manual Bill</t>
  </si>
  <si>
    <t>TSV-11-0046</t>
  </si>
  <si>
    <t>UPI/CR/391828455765/KRISHNA /SBIN/7535846/KN3817</t>
  </si>
  <si>
    <t>T858</t>
  </si>
  <si>
    <t>TSV-11-0047</t>
  </si>
  <si>
    <t>UPI/CR/948916503454/TANISHA /HDFC/7506006/SL1610</t>
  </si>
  <si>
    <t>UC610-0487</t>
  </si>
  <si>
    <t>TSV-11-0048</t>
  </si>
  <si>
    <t>UPI/CR/908809078322/SUDHANSH/KKBK/9839239/UN3668</t>
  </si>
  <si>
    <t>TSV-11-0049</t>
  </si>
  <si>
    <t>UPI/CR/391846678112/VINEET A/IOBA/9873277/SC3567</t>
  </si>
  <si>
    <t>UC567-0906</t>
  </si>
  <si>
    <t>TSV-11-0050</t>
  </si>
  <si>
    <t>UPI/CR/391856299890/RINKU D/YESB/9643356/SC3567</t>
  </si>
  <si>
    <t>UC567-0877</t>
  </si>
  <si>
    <t>TSV-11-0051</t>
  </si>
  <si>
    <t>UPI/CR/113742881744/VAISHALI/HDFC/vselkar/SL1610</t>
  </si>
  <si>
    <t>UC610-0513</t>
  </si>
  <si>
    <t>TSV-11-0052</t>
  </si>
  <si>
    <t>UPI/CR/531087388404/SANJAY N/HDFC/9818162/UN3668</t>
  </si>
  <si>
    <t>T1368</t>
  </si>
  <si>
    <t>TSV-11-0053</t>
  </si>
  <si>
    <t>UPI/DR/567741410313/ROHIT/YESB/ryyadav/Reimbur</t>
  </si>
  <si>
    <t>TSV-11-0054</t>
  </si>
  <si>
    <t>UPI/CR/531194309079/ARPIT SH/ICIC/8529241/SL1610</t>
  </si>
  <si>
    <t>TSV-11-0055</t>
  </si>
  <si>
    <t>UPI/CR/693478851146/Mr RAMES/CBIN/9811254/UN3668</t>
  </si>
  <si>
    <t>TSV-11-0056</t>
  </si>
  <si>
    <t>UPI/CR/113781682203/SABARNA /HDFC/sabarna/SL1610</t>
  </si>
  <si>
    <t>UC610-0503</t>
  </si>
  <si>
    <t>TSV-11-0057</t>
  </si>
  <si>
    <t>UPI/CR/531107466879/APRA GUP/IBKL/guptaap/SL1610</t>
  </si>
  <si>
    <t>UC610-0489</t>
  </si>
  <si>
    <t>TSV-11-0058</t>
  </si>
  <si>
    <t>UPI/CR/531196735556/ALTAMASH/HDFC/8757822/KN3817</t>
  </si>
  <si>
    <t>T868</t>
  </si>
  <si>
    <t>TSV-11-0059</t>
  </si>
  <si>
    <t>UPI/CR/620874378818/SWEETY/IDFB/9319401/UN3668</t>
  </si>
  <si>
    <t>T1385</t>
  </si>
  <si>
    <t>TSV-11-0060</t>
  </si>
  <si>
    <t>UPI/CR/128394288229/AKASH JA/BARB/07akash/UN3668</t>
  </si>
  <si>
    <t>T1378</t>
  </si>
  <si>
    <t>TSV-11-0061</t>
  </si>
  <si>
    <t>UPI/CR/391933257885/KUSH KHO/ICIC/9899575/SL1610</t>
  </si>
  <si>
    <t>UC610-0499</t>
  </si>
  <si>
    <t>TSV-11-0062</t>
  </si>
  <si>
    <t>UPI/CR/771452924676/Varun Pr/AUBL/9716241/UN3668</t>
  </si>
  <si>
    <t>T1352</t>
  </si>
  <si>
    <t>TSV-11-0063</t>
  </si>
  <si>
    <t>UPI/DR/101917092363/Blinkit/HDFC/blinkit/Pay via</t>
  </si>
  <si>
    <t>TSV-11-0064</t>
  </si>
  <si>
    <t>UPI/DR/101917734046/BLINKIT /HDFC/grofers/PAYMENT</t>
  </si>
  <si>
    <t>TSV-11-0065</t>
  </si>
  <si>
    <t>UPI/CR/531281694891/Abhilash/SBIN/shreeab/UN3668</t>
  </si>
  <si>
    <t>T1361</t>
  </si>
  <si>
    <t>TSV-11-0066</t>
  </si>
  <si>
    <t>UPI/CR/391959770373/ABHISHEK/ICIC/9910594/UN3668</t>
  </si>
  <si>
    <t>TSV-11-0067</t>
  </si>
  <si>
    <t>UPI/CR/294674592775/MR HARPR/SCBL/9999914/SC3567</t>
  </si>
  <si>
    <t>UC567-0912</t>
  </si>
  <si>
    <t>TSV-11-0068</t>
  </si>
  <si>
    <t>UPI/CR/531236828876/GITU MON/ICIC/geetu12/SC3567</t>
  </si>
  <si>
    <t>UC567-0869</t>
  </si>
  <si>
    <t>TSV-11-0069</t>
  </si>
  <si>
    <t>UPI/CR/113860384297/PUJA KUM/HDFC/pujasmu/SL1610</t>
  </si>
  <si>
    <t>UC610-0502</t>
  </si>
  <si>
    <t>TSV-11-0070</t>
  </si>
  <si>
    <t>UPI/CR/200503649130/ASHWANIT/HDFC/6393114/SL1610</t>
  </si>
  <si>
    <t>UC610-0523</t>
  </si>
  <si>
    <t>TSV-11-0071</t>
  </si>
  <si>
    <t>UPI/DR/531379678225/ZOYA KH/KKBK/8920759/Salary</t>
  </si>
  <si>
    <t>Salary Mohsin</t>
  </si>
  <si>
    <t>TSV-11-0072</t>
  </si>
  <si>
    <t>UPI/DR/531323072318/MANOJ KU/UBIN/mkumar5/Salary</t>
  </si>
  <si>
    <t>Salary Motor Operator</t>
  </si>
  <si>
    <t>TSV-11-0073</t>
  </si>
  <si>
    <t>UPI/CR/531314623210/Deepak /SBIN/deepakk/UN3668</t>
  </si>
  <si>
    <t>T1364</t>
  </si>
  <si>
    <t>TSV-11-0074</t>
  </si>
  <si>
    <t>UPI/CR/531316740759/Nisha V/SBIN/nishive/KN3817</t>
  </si>
  <si>
    <t>TSV-11-0075</t>
  </si>
  <si>
    <t>UPI/CR/693598158859/PRATEEKS/ICIC/8447592/SC3567</t>
  </si>
  <si>
    <t>UC567-0917</t>
  </si>
  <si>
    <t>TSV-11-0076</t>
  </si>
  <si>
    <t>UPI/CR/392005816595/AMAN BEG/BKID/9910013/UN3668</t>
  </si>
  <si>
    <t>T1434</t>
  </si>
  <si>
    <t>TSV-11-0077</t>
  </si>
  <si>
    <t>UPI/CR/531381566814/ABHI JIN/CNRB/jindala/SL1610</t>
  </si>
  <si>
    <t>UC610-0527</t>
  </si>
  <si>
    <t>TSV-11-0078</t>
  </si>
  <si>
    <t>UPI/CR/943465737261/TOUSIF /SBIN/tousif0/UN3668</t>
  </si>
  <si>
    <t>T1392</t>
  </si>
  <si>
    <t>TSV-11-0079</t>
  </si>
  <si>
    <t>UPI/CR/567949708511/RAMESH K/PUNB/priyank/UPI</t>
  </si>
  <si>
    <t>Zest Hotels</t>
  </si>
  <si>
    <t>Zest Hotel</t>
  </si>
  <si>
    <t>Partial Payment Until 31-Oct</t>
  </si>
  <si>
    <t>TSV-11-0080</t>
  </si>
  <si>
    <t>UPI/DR/531319288854/Alok Ku/SBIN/9026941/Transpo</t>
  </si>
  <si>
    <t>TSV-11-0081</t>
  </si>
  <si>
    <t>UPI/DR/567933807344/DUSHYANT/SBIN/9264910/Transpo</t>
  </si>
  <si>
    <t>TSV-11-0082</t>
  </si>
  <si>
    <t>UPI/CR/531375488260/ATUL KUM/UTIB/atulkes/UN3668</t>
  </si>
  <si>
    <t>T1389</t>
  </si>
  <si>
    <t>TSV-11-0083</t>
  </si>
  <si>
    <t>UPI/DR/568048027647/DEEPAK K/PUNB/q498261/Transpo</t>
  </si>
  <si>
    <t>TSV-11-0084</t>
  </si>
  <si>
    <t>IMPS/531411474018/WAGIDALISHEIKH/IOBA0000001/2036/SeedCapital</t>
  </si>
  <si>
    <t>2,50,000.00</t>
  </si>
  <si>
    <t>3,45,785.13</t>
  </si>
  <si>
    <t>TSV-11-0085</t>
  </si>
  <si>
    <t>NEFT/IDFBH25314313437/Pooja Sood/INDB0000724/Shop Rent Nov2025 SC3567</t>
  </si>
  <si>
    <t>3,05,665.13</t>
  </si>
  <si>
    <t>TSV-11-0086</t>
  </si>
  <si>
    <t>NEFT/IDFBH25314313438/Kaushalya Devi/CNRB0002379/Shop Rent Nov2025 UN3668</t>
  </si>
  <si>
    <t>2,78,665.13</t>
  </si>
  <si>
    <t>TSV-11-0087</t>
  </si>
  <si>
    <t>NEFT/IDFBH25314313439/Subhash Chander/HDFC0001562/Shop Rent Nov2025 KN3817</t>
  </si>
  <si>
    <t>2,68,665.13</t>
  </si>
  <si>
    <t>TSV-11-0088</t>
  </si>
  <si>
    <t>NEFT/IDFBH25314313440/Om Prakash Duhan/SBIN0011444/Shop Rent Nov2025 SL1610</t>
  </si>
  <si>
    <t>2,39,665.13</t>
  </si>
  <si>
    <t>TSV-11-0089</t>
  </si>
  <si>
    <t>UPI/DR/568096948989/Google I/UTIB/gpay-ut/UPI</t>
  </si>
  <si>
    <t>2,28,875.13</t>
  </si>
  <si>
    <t>TSV-11-0090</t>
  </si>
  <si>
    <t>NEFT/IDFBH25314322479/Subham Kumar/PUNB0151900/Salary Oct25 Subham UN3668</t>
  </si>
  <si>
    <t>2,22,551.13</t>
  </si>
  <si>
    <t>Shubham Salary</t>
  </si>
  <si>
    <t>TSV-11-0091</t>
  </si>
  <si>
    <t>NEFT/IDFBH25314322480/Mohsin/SBIN0001679/Salary Oct25 Mohsin UN3668</t>
  </si>
  <si>
    <t>2,14,720.13</t>
  </si>
  <si>
    <t>Mohsin Salary</t>
  </si>
  <si>
    <t>TSV-11-0092</t>
  </si>
  <si>
    <t>NEFT/IDFBH25314322481/Vinay Kumar/PUNB0062000/Salary Oct25 Vinay KN3817</t>
  </si>
  <si>
    <t>1,88,449.13</t>
  </si>
  <si>
    <t>Vinay Salary</t>
  </si>
  <si>
    <t>TSV-11-0093</t>
  </si>
  <si>
    <t>NEFT/IDFBH25314322482/Jatin Kumar Yadav/FINO0001001/Salary Oct25 Jatin SL1610</t>
  </si>
  <si>
    <t>1,72,852.13</t>
  </si>
  <si>
    <t>Jatin Salary</t>
  </si>
  <si>
    <t>TSV-11-0094</t>
  </si>
  <si>
    <t>NEFT/IDFBH25314322483/Piyush Tag/UTIB0000540/Salary Oct25 Piyush Tag TSV001</t>
  </si>
  <si>
    <t>1,56,754.13</t>
  </si>
  <si>
    <t>Piyush Salary</t>
  </si>
  <si>
    <t>TSV-11-0095</t>
  </si>
  <si>
    <t>NEFT/IDFBH25314322484/Adnan Ali Sheikh/ICIC0000004/Salary Oct25 Adnan TSV001</t>
  </si>
  <si>
    <t>1,46,754.13</t>
  </si>
  <si>
    <t>Adnan Salary</t>
  </si>
  <si>
    <t>TSV-11-0096</t>
  </si>
  <si>
    <t>NEFT/IDFBH25314322485/Habib Ali Sheikh/ICIC0000004/Salary Oct25 Habib TSV001</t>
  </si>
  <si>
    <t>1,36,754.13</t>
  </si>
  <si>
    <t>Habib Salary</t>
  </si>
  <si>
    <t>TSV-11-0097</t>
  </si>
  <si>
    <t>NEFT/IDFBH25314322486/Jaspal singh/DBSS0IN0811/Salary Oct25 Jaspal UN3668</t>
  </si>
  <si>
    <t>1,20,854.13</t>
  </si>
  <si>
    <t>Jaspal Salary</t>
  </si>
  <si>
    <t>TSV-11-0098</t>
  </si>
  <si>
    <t>NEFT/IDFBH25314322508/Kamal Singh/AIRP0000001/Salary Oct25 Kamal SL1610</t>
  </si>
  <si>
    <t>1,09,254.13</t>
  </si>
  <si>
    <t>Kamal Salary</t>
  </si>
  <si>
    <t>TSV-11-0099</t>
  </si>
  <si>
    <t>NEFT/IDFBH25314322509/Mohd Dilkash/PUNB0488200/Salary Oct25 Dilkash TSV001</t>
  </si>
  <si>
    <t>1,00,254.13</t>
  </si>
  <si>
    <t>Dilkash Salary</t>
  </si>
  <si>
    <t>TSV-11-0100</t>
  </si>
  <si>
    <t>NEFT/IDFBH25314322510/Vishal/CNRB0005123/Salary Oct25 Vishal KN3817</t>
  </si>
  <si>
    <t>Vishal Salary</t>
  </si>
  <si>
    <t>TSV-11-0101</t>
  </si>
  <si>
    <t>NEFT/IDFBH25314322511/Jitendra Singh/IOBA0003714/Salary Oct25 Jitendra SC3567</t>
  </si>
  <si>
    <t>Jitender Salary</t>
  </si>
  <si>
    <t>TSV-11-0102</t>
  </si>
  <si>
    <t>NEFT/IDFBH25314322512/Rohit Yadav/YESB0000118/Salary Oct25 Rohit SP1610</t>
  </si>
  <si>
    <t>Rohit Salary</t>
  </si>
  <si>
    <t>TSV-11-0103</t>
  </si>
  <si>
    <t>NEFT RETURN/IDFBH25314322481/</t>
  </si>
  <si>
    <t>TSV-11-0104</t>
  </si>
  <si>
    <t>NEFT RETURN/IDFBH25314322508/</t>
  </si>
  <si>
    <t>TSV-11-0105</t>
  </si>
  <si>
    <t>NEFT RETURN/IDFBH25314322479/</t>
  </si>
  <si>
    <t>TSV-11-0106</t>
  </si>
  <si>
    <t>UPI/CR/531456974704/VANDANA /UTIB/khosla@/SL1610</t>
  </si>
  <si>
    <t>UC610-0524</t>
  </si>
  <si>
    <t>TSV-11-0107</t>
  </si>
  <si>
    <t>UPI/CR/531414227672/Anuj Agg/KKBK/9560258/UN3668</t>
  </si>
  <si>
    <t>T1353</t>
  </si>
  <si>
    <t>TSV-11-0108</t>
  </si>
  <si>
    <t>UPI/CR/141874529566/PIYUSH T/UTIB/8979156/SC3567</t>
  </si>
  <si>
    <t>UC567-0891</t>
  </si>
  <si>
    <t>TSV-11-0109</t>
  </si>
  <si>
    <t>UPI/CR/113944025070/PRATAP S/HDFC/pratap./PAY BY</t>
  </si>
  <si>
    <t>T1327</t>
  </si>
  <si>
    <t>TSV-11-0110</t>
  </si>
  <si>
    <t>UPI/CR/693658959330/SHUBHAM /ICIC/8861503/SL1610</t>
  </si>
  <si>
    <t>UC610-0525,UC610-0535</t>
  </si>
  <si>
    <t>TSV-11-0111</t>
  </si>
  <si>
    <t>UPI/CR/693660067968/AYUSH SH/PUNB/9915724/UN3668</t>
  </si>
  <si>
    <t>1,00,323.49</t>
  </si>
  <si>
    <t>T1407</t>
  </si>
  <si>
    <t>TSV-11-0112</t>
  </si>
  <si>
    <t>UPI/CR/113948273142/RAKHI RA/CNRB/csrakhi/UN3668</t>
  </si>
  <si>
    <t>1,00,723.49</t>
  </si>
  <si>
    <t>T1382</t>
  </si>
  <si>
    <t>TSV-11-0113</t>
  </si>
  <si>
    <t>UPI/CR/693663018295/JATIN KU/KKBK/8506832/Sent us</t>
  </si>
  <si>
    <t>1,02,723.49</t>
  </si>
  <si>
    <t>TSV-11-0114</t>
  </si>
  <si>
    <t>UPI/DR/568019475808/PRABHA R/UCBA/8264769/Salary</t>
  </si>
  <si>
    <t>TSV-11-0115</t>
  </si>
  <si>
    <t>UPI/DR/568033378273/VINAY KU/PUNB/8700704/Salary</t>
  </si>
  <si>
    <t>TSV-11-0116</t>
  </si>
  <si>
    <t>UPI/DR/568037780440/MANISH ./KKBK/9560476/Salary</t>
  </si>
  <si>
    <t>TSV-11-0117</t>
  </si>
  <si>
    <t>UPI/CR/316054431963/SANJEEV /ICIC/san.goe/SC3567</t>
  </si>
  <si>
    <t>UC567-0908</t>
  </si>
  <si>
    <t>TSV-11-0118</t>
  </si>
  <si>
    <t>UPI/CR/531487459535/AKSHAT /SBIN/akkshat/SL1610</t>
  </si>
  <si>
    <t>UC610-0506</t>
  </si>
  <si>
    <t>TSV-11-0119</t>
  </si>
  <si>
    <t>UPI/CR/201319923600/GURUJITE/HDFC/9699956/UN3668</t>
  </si>
  <si>
    <t>T1394</t>
  </si>
  <si>
    <t>TSV-11-0120</t>
  </si>
  <si>
    <t>UPI/DR/568053396502/MANJU LA/UBIN/8470941/Salary</t>
  </si>
  <si>
    <t>Salary Maid</t>
  </si>
  <si>
    <t>TSV-11-0121</t>
  </si>
  <si>
    <t>UPI/DR/568025687530/Mamata M/BARB/9319220/Salary</t>
  </si>
  <si>
    <t>TSV-11-0122</t>
  </si>
  <si>
    <t>UPI/DR/531444701987/Sujay D/SBIN/sujayda/Salary</t>
  </si>
  <si>
    <t>TSV-11-0123</t>
  </si>
  <si>
    <t>UPI/DR/568060198772/PREETI K/INDB/8595821/Salary</t>
  </si>
  <si>
    <t>TSV-11-0124</t>
  </si>
  <si>
    <t>UPI/DR/568012597417/navinman/IOBA/navinma/Advance</t>
  </si>
  <si>
    <t>Advance Salary Naveen</t>
  </si>
  <si>
    <t>TSV-11-0125</t>
  </si>
  <si>
    <t>UPI/CR/794199948428/SATYAVIR/HDFC/8920866/UN3668</t>
  </si>
  <si>
    <t>UN Leather B2B</t>
  </si>
  <si>
    <t>TSV-11-0126</t>
  </si>
  <si>
    <t>UPI/CR/531544683512/SHIVANI /ICIC/9820503/Sent us</t>
  </si>
  <si>
    <t>UC610-0517</t>
  </si>
  <si>
    <t>TSV-11-0127</t>
  </si>
  <si>
    <t>UPI/DR/531584525699/TUSHAR/SBIN/kalratu/Transpo</t>
  </si>
  <si>
    <t>TSV-11-0128</t>
  </si>
  <si>
    <t>UPI/DR/531502329219/AJAY KUM/BKID/9760612/Transpo</t>
  </si>
  <si>
    <t>TSV-11-0129</t>
  </si>
  <si>
    <t>UPI/CR/392113492459/VISHAL /SBIN/7459961/SL1610</t>
  </si>
  <si>
    <t>UC610-0480</t>
  </si>
  <si>
    <t>TSV-11-0130</t>
  </si>
  <si>
    <t>UPI/CR/392113517864/VISHAL /SBIN/7459961/Sent us</t>
  </si>
  <si>
    <t>TSV-11-0131</t>
  </si>
  <si>
    <t>UPI/DR/531518147731/M/S.UCON/ICIC/uconcep/Chemica</t>
  </si>
  <si>
    <t>TSV-11-0132</t>
  </si>
  <si>
    <t>UPI/DR/531558639653/M/S.UCON/ICIC/uconcep/Packagi</t>
  </si>
  <si>
    <t>TSV-11-0133</t>
  </si>
  <si>
    <t>UPI/CR/531520565519/Mr DHARA/CBIN/dharamv/UN3668</t>
  </si>
  <si>
    <t>T1426</t>
  </si>
  <si>
    <t>TSV-11-0134</t>
  </si>
  <si>
    <t>UPI/CR/531567541902/VIKAS ME/HDFC/vikasme/SC3567</t>
  </si>
  <si>
    <t>TSV-11-0135</t>
  </si>
  <si>
    <t>UPI/CR/620571719275/HINA RAW/UBIN/9650641/SL1610</t>
  </si>
  <si>
    <t>UC610-0531</t>
  </si>
  <si>
    <t>TSV-11-0136</t>
  </si>
  <si>
    <t>UPI/CR/275643372486/RAKESH K/ICIC/9873333/SC3567</t>
  </si>
  <si>
    <t>UC567-0888</t>
  </si>
  <si>
    <t>TSV-11-0137</t>
  </si>
  <si>
    <t>UPI/DR/531506361608/Avneesh /AIRP/9044820/Transpo</t>
  </si>
  <si>
    <t>TSV-11-0138</t>
  </si>
  <si>
    <t>UPI/CR/568155423736/ANIL KUM/UTIB/anilbol/UN3668</t>
  </si>
  <si>
    <t>T1452</t>
  </si>
  <si>
    <t>TSV-11-0139</t>
  </si>
  <si>
    <t>UPI/DR/568274905770/Guru Kru/YESB/paytmqr/LPG SC3</t>
  </si>
  <si>
    <t>TSV-11-0140</t>
  </si>
  <si>
    <t>UPI/DR/531605776072/Guru Kru/YESB/paytmqr/LPG SC3</t>
  </si>
  <si>
    <t>TSV-11-0141</t>
  </si>
  <si>
    <t>UPI/CR/614897508302/RAMAN SI/BARB/ramanch/SC3567</t>
  </si>
  <si>
    <t>UC567-0941</t>
  </si>
  <si>
    <t>TSV-11-0142</t>
  </si>
  <si>
    <t>UPI/CR/873311254871/CHANDRIM/HDFC/9953655/SL1610</t>
  </si>
  <si>
    <t>UC610-0522</t>
  </si>
  <si>
    <t>TSV-11-0143</t>
  </si>
  <si>
    <t>UPI/CR/114039249617/LEELAMOH/HDFC/leelamo/SL1610</t>
  </si>
  <si>
    <t>UC610-0546</t>
  </si>
  <si>
    <t>TSV-11-0144</t>
  </si>
  <si>
    <t>UPI/CR/531659848077/YUVRAAJ /UTIB/8860030/UN3668</t>
  </si>
  <si>
    <t>T1408</t>
  </si>
  <si>
    <t>TSV-11-0145</t>
  </si>
  <si>
    <t>UPI/CR/531649838120/ADNAN AL/ICIC/9142777/SL1610</t>
  </si>
  <si>
    <t>No Bill</t>
  </si>
  <si>
    <t>TSV-11-0146</t>
  </si>
  <si>
    <t>UPI/CR/392169313839/MANSI BH/ICIC/8532071/SL1610</t>
  </si>
  <si>
    <t>UC610-0521</t>
  </si>
  <si>
    <t>TSV-11-0147</t>
  </si>
  <si>
    <t>UPI/DR/568293521440/Jitendra/IOBA/7011455/Staff W</t>
  </si>
  <si>
    <t>TSV-11-0148</t>
  </si>
  <si>
    <t>UPI/CR/114053327025/PANKAJ K/HDFC/priyans/UN3668</t>
  </si>
  <si>
    <t>T1396,T1397</t>
  </si>
  <si>
    <t>TSV-11-0149</t>
  </si>
  <si>
    <t>UPI/CR/114058175998/PANKAJ K/HDFC/pankaj./UN3668</t>
  </si>
  <si>
    <t>T1386</t>
  </si>
  <si>
    <t>TSV-11-0150</t>
  </si>
  <si>
    <t>UPI/DR/568243340813/SAHIL/KKBK/8448153/Ironing</t>
  </si>
  <si>
    <t>Ironing</t>
  </si>
  <si>
    <t>TSV-11-0151</t>
  </si>
  <si>
    <t>UPI/CR/531624221557/AGAMTEJ /UTIB/agamtej/KN3817</t>
  </si>
  <si>
    <t>T918</t>
  </si>
  <si>
    <t>TSV-11-0152</t>
  </si>
  <si>
    <t>UPI/CR/553207794801/ABHISHEK/DBSS/8130021/UN3668</t>
  </si>
  <si>
    <t>T1454</t>
  </si>
  <si>
    <t>TSV-11-0153</t>
  </si>
  <si>
    <t>Charge:AMB_charges/Inv0610251788741001/31-OCT-2025/</t>
  </si>
  <si>
    <t>TSV-11-0154</t>
  </si>
  <si>
    <t>CGST on Charge:AMB_charges/Inv0610251788741001/31-OCT-2025/</t>
  </si>
  <si>
    <t>TSV-11-0155</t>
  </si>
  <si>
    <t>SGST on Charge:AMB_charges/Inv0610251788741001/31-OCT-2025/</t>
  </si>
  <si>
    <t>TSV-11-0156</t>
  </si>
  <si>
    <t>UPI/DR/568346468990/Guru Kru/YESB/paytmqr/LPG SL1</t>
  </si>
  <si>
    <t>TSV-11-0157</t>
  </si>
  <si>
    <t>UPI/CR/392201797968/CHANCHAL/UTKS/9911956/SL1610</t>
  </si>
  <si>
    <t>UC610-0520</t>
  </si>
  <si>
    <t>TSV-11-0158</t>
  </si>
  <si>
    <t>UPI/CR/693813261530/MANJU D/IOBA/6398761/UN3668</t>
  </si>
  <si>
    <t>T1440</t>
  </si>
  <si>
    <t>TSV-11-0159</t>
  </si>
  <si>
    <t>UPI/CR/523969022016/Bindu/AIRP/9213377/UN3668</t>
  </si>
  <si>
    <t>T1412</t>
  </si>
  <si>
    <t>TSV-11-0160</t>
  </si>
  <si>
    <t>UPI/CR/531770634600/SUMANYU /HDFC/9873550/UN3668</t>
  </si>
  <si>
    <t>T1402</t>
  </si>
  <si>
    <t>TSV-11-0161</t>
  </si>
  <si>
    <t>UPI/CR/531770617854/SUMANYU /HDFC/9873550/Sent us</t>
  </si>
  <si>
    <t>TSV-11-0162</t>
  </si>
  <si>
    <t>UPI/CR/182387692656/INDRAJEE/HDFC/8237634/SL1610</t>
  </si>
  <si>
    <t>UC610-0529</t>
  </si>
  <si>
    <t>TSV-11-0163</t>
  </si>
  <si>
    <t>UPI/CR/330924507850/Shruti /SBIN/7979863/UN3668</t>
  </si>
  <si>
    <t>T1410</t>
  </si>
  <si>
    <t>TSV-11-0164</t>
  </si>
  <si>
    <t>UPI/CR/531701208455/AMAN GA/UTIB/9661926/UN3668</t>
  </si>
  <si>
    <t>T1442</t>
  </si>
  <si>
    <t>TSV-11-0165</t>
  </si>
  <si>
    <t>UPI/DR/531755307277/AWNISH/INDB/awnish3/Transpo</t>
  </si>
  <si>
    <t>TSV-11-0166</t>
  </si>
  <si>
    <t>UPI/CR/531710509107/AMIT TAN/HDFC/ar.amit/SL1610</t>
  </si>
  <si>
    <t>UC610-0488</t>
  </si>
  <si>
    <t>TSV-11-0167</t>
  </si>
  <si>
    <t>UPI/CR/568329512420/JATIN AR/BARB/7906670/SC3567</t>
  </si>
  <si>
    <t>UC567-0932</t>
  </si>
  <si>
    <t>TSV-11-0168</t>
  </si>
  <si>
    <t>UPI/CR/999862934495/BHAVYA /SBIN/8708167/UN3668</t>
  </si>
  <si>
    <t>T1425</t>
  </si>
  <si>
    <t>TSV-11-0169</t>
  </si>
  <si>
    <t>UPI/CR/392225329895/Harshita/SBIN/harshit/UN3668</t>
  </si>
  <si>
    <t>TSV-11-0170</t>
  </si>
  <si>
    <t>UPI/CR/114108937927/Mr Saumy/IDIB/saumyas/UN3668</t>
  </si>
  <si>
    <t>T1419</t>
  </si>
  <si>
    <t>TSV-11-0171</t>
  </si>
  <si>
    <t>UPI/CR/568325533759/MEDISETT/ICIC/8861331/SC3567</t>
  </si>
  <si>
    <t>UC567-0956</t>
  </si>
  <si>
    <t>TSV-11-0172</t>
  </si>
  <si>
    <t>UPI/DR/531760930680/87001416/KKBK/8700141/Transpo</t>
  </si>
  <si>
    <t>TSV-11-0173</t>
  </si>
  <si>
    <t>UPI/CR/392247806240/POOJA DH/DBSS/9810557/SL1610</t>
  </si>
  <si>
    <t>UC610-0535</t>
  </si>
  <si>
    <t>TSV-11-0174</t>
  </si>
  <si>
    <t>UPI/CR/392254967120/GULSHAN /IBKL/9711707/SL1610</t>
  </si>
  <si>
    <t>UC610-0551</t>
  </si>
  <si>
    <t>TSV-11-0175</t>
  </si>
  <si>
    <t>UPI/CR/114137760626/DHIRENDR/KKBK/dhirend/PAY BY</t>
  </si>
  <si>
    <t>TSV-11-0176</t>
  </si>
  <si>
    <t>UPI/CR/135043813997/DEEPIKA /RATN/kumarid/UN3668</t>
  </si>
  <si>
    <t>T1377</t>
  </si>
  <si>
    <t>TSV-11-0177</t>
  </si>
  <si>
    <t>UPI/CR/568416632391/HINDUTWA/KKBK/8299642/UN3668</t>
  </si>
  <si>
    <t>T1459</t>
  </si>
  <si>
    <t>TSV-11-0178</t>
  </si>
  <si>
    <t>UPI/CR/108570797770/A R ENTE/UTIB/9810790/KN3817</t>
  </si>
  <si>
    <t>T923</t>
  </si>
  <si>
    <t>TSV-11-0179</t>
  </si>
  <si>
    <t>UPI/CR/568404649382/VISHAL K/BARB/7830389/UN3668</t>
  </si>
  <si>
    <t>T1429</t>
  </si>
  <si>
    <t>TSV-11-0180</t>
  </si>
  <si>
    <t>UPI/CR/531885495111/ANJALI J/HDFC/9540079/UN3668</t>
  </si>
  <si>
    <t>T1460</t>
  </si>
  <si>
    <t>TSV-11-0181</t>
  </si>
  <si>
    <t>UPI/CR/693883333179/MANISHA /SBIN/8368271/KN3817</t>
  </si>
  <si>
    <t>T882</t>
  </si>
  <si>
    <t>TSV-11-0182</t>
  </si>
  <si>
    <t>UPI/CR/114150161556/ANSHU RA/UBIN/anshura/SL1610</t>
  </si>
  <si>
    <t>UC610-0534</t>
  </si>
  <si>
    <t>TSV-11-0183</t>
  </si>
  <si>
    <t>UPI/CR/114157617076/NIKHIL K/BDBL/kumarka/UN3668</t>
  </si>
  <si>
    <t>T1463</t>
  </si>
  <si>
    <t>TSV-11-0184</t>
  </si>
  <si>
    <t>UPI/CR/339772702444/MANJU P/KKBK/manjupu/UN3668</t>
  </si>
  <si>
    <t>T1465</t>
  </si>
  <si>
    <t>TSV-11-0185</t>
  </si>
  <si>
    <t>UPI/CR/338665370882/NISHA/ICIC/9266783/UN3668</t>
  </si>
  <si>
    <t>T1443</t>
  </si>
  <si>
    <t>TSV-11-0186</t>
  </si>
  <si>
    <t>UPI/CR/693899135047/SACHIN K/ICIC/9205944/UN3668</t>
  </si>
  <si>
    <t>T1431</t>
  </si>
  <si>
    <t>TSV-11-0187</t>
  </si>
  <si>
    <t>UPI/CR/531870581654/Tina Meh/IDFB/tinameh/KN3817</t>
  </si>
  <si>
    <t>T903</t>
  </si>
  <si>
    <t>TSV-11-0188</t>
  </si>
  <si>
    <t>UPI/DR/568514614573/ombk.aaf/PPIW/ombk.aa/Transpo</t>
  </si>
  <si>
    <t>TSV-11-0189</t>
  </si>
  <si>
    <t>UPI/CR/211564280503/Ashutosh/PPIW/ashu.sm/SL1610</t>
  </si>
  <si>
    <t>UC610-0532</t>
  </si>
  <si>
    <t>TSV-11-0190</t>
  </si>
  <si>
    <t>UPI/CR/531903472756/SUDERSHA/SBIN/9911595/SC3567</t>
  </si>
  <si>
    <t>TSV-11-0191</t>
  </si>
  <si>
    <t>UPI/CR/556953507942/SHIVAM K/HDFC/ss53409/UN3668</t>
  </si>
  <si>
    <t>T1432</t>
  </si>
  <si>
    <t>TSV-11-0192</t>
  </si>
  <si>
    <t>UPI/CR/531955281368/NARENDRA/SBIN/8130726/SC3567</t>
  </si>
  <si>
    <t>TSV-11-0193</t>
  </si>
  <si>
    <t>UPI/CR/715552359151/SHANDHYA/HDFC/7505180/UN3668</t>
  </si>
  <si>
    <t>T1471</t>
  </si>
  <si>
    <t>TSV-11-0194</t>
  </si>
  <si>
    <t>UPI/CR/531996771168/PRIYANKA/SBIN/9127008/KN3817</t>
  </si>
  <si>
    <t>TSV-11-0195</t>
  </si>
  <si>
    <t>UPI/CR/601005765210/ADITYA S/HDFC/aditya./SC3567</t>
  </si>
  <si>
    <t>UC567-0939</t>
  </si>
  <si>
    <t>TSV-11-0196</t>
  </si>
  <si>
    <t>UPI/CR/531943939064/MOHD IBR/KKBK/9711006/KN3817</t>
  </si>
  <si>
    <t>T919</t>
  </si>
  <si>
    <t>TSV-11-0197</t>
  </si>
  <si>
    <t>UPI/CR/701784795288/SHAGUN A/UTIB/shagun5/SC3567</t>
  </si>
  <si>
    <t>UC567-0905</t>
  </si>
  <si>
    <t>TSV-11-0198</t>
  </si>
  <si>
    <t>UPI/CR/114204779580/HITESH B/HDFC/bansalh/SC3567</t>
  </si>
  <si>
    <t>UC567-0936</t>
  </si>
  <si>
    <t>TSV-11-0199</t>
  </si>
  <si>
    <t>UPI/DR/568584673132/84484150/KKBK/8448415/Transpo</t>
  </si>
  <si>
    <t>TSV-11-0200</t>
  </si>
  <si>
    <t>UPI/CR/114222074717/PRIYANK /HDFC/priyank/UPI</t>
  </si>
  <si>
    <t>UC610-0504</t>
  </si>
  <si>
    <t>TSV-11-0201</t>
  </si>
  <si>
    <t>UPI/CR/114222101942/PRIYANK /HDFC/priyank/UPI</t>
  </si>
  <si>
    <t>TSV-11-0202</t>
  </si>
  <si>
    <t>UPI/CR/392359401399/MOHIT KU/CNRB/8285822/UN3668</t>
  </si>
  <si>
    <t>T1449</t>
  </si>
  <si>
    <t>TSV-11-0203</t>
  </si>
  <si>
    <t>UPI/DR/532087320893/AMRISH S/HDFC/9899412/Transpo</t>
  </si>
  <si>
    <t>TSV-11-0204</t>
  </si>
  <si>
    <t>UPI/CR/132804835615/SAVITRI/HDFC/9958784/UN3668</t>
  </si>
  <si>
    <t>T1437</t>
  </si>
  <si>
    <t>TSV-11-0205</t>
  </si>
  <si>
    <t>UPI/CR/312877683205/MR LAKSH/HDFC/8920052/UPI</t>
  </si>
  <si>
    <t>UC610-0541</t>
  </si>
  <si>
    <t>TSV-11-0206</t>
  </si>
  <si>
    <t>UPI/DR/532065913171/Mr AASHU/MAHB/7011633/Transpo</t>
  </si>
  <si>
    <t>TSV-11-0207</t>
  </si>
  <si>
    <t>UPI/DR/532004836435/VIRENDRA/PUNB/7877713/Transpo</t>
  </si>
  <si>
    <t>TSV-11-0208</t>
  </si>
  <si>
    <t>UPI/CR/532090572049/SUBHRAJI/UTIB/subhraj/UN3668</t>
  </si>
  <si>
    <t>T1379</t>
  </si>
  <si>
    <t>TSV-11-0209</t>
  </si>
  <si>
    <t>UPI/CR/324415363205/ROHIT KU/UTIB/6394358/UPI</t>
  </si>
  <si>
    <t>UC610-0548</t>
  </si>
  <si>
    <t>TSV-11-0210</t>
  </si>
  <si>
    <t>UPI/DR/532013934490/NARESH A/UBIN/8510912/Transpo</t>
  </si>
  <si>
    <t>TSV-11-0211</t>
  </si>
  <si>
    <t>UPI/DR/532064422896/NARESH A/UBIN/8510912/Transpo</t>
  </si>
  <si>
    <t>TSV-11-0212</t>
  </si>
  <si>
    <t>UPI/CR/693994017206/KASHISH/PSIB/8368522/UN3668</t>
  </si>
  <si>
    <t>T1082</t>
  </si>
  <si>
    <t>TSV-11-0213</t>
  </si>
  <si>
    <t>UPI/CR/295129677968/SHYAM SU/ICIC/9971622/SC3567</t>
  </si>
  <si>
    <t>UC567-0945</t>
  </si>
  <si>
    <t>TSV-11-0214</t>
  </si>
  <si>
    <t>UPI/CR/532093635185/ASHISH K/JIOP/ashishk/UN3668</t>
  </si>
  <si>
    <t>T1500</t>
  </si>
  <si>
    <t>TSV-11-0215</t>
  </si>
  <si>
    <t>UPI/CR/532007917105/JAGDISH /HDFC/9868588/UN3668</t>
  </si>
  <si>
    <t>T1458</t>
  </si>
  <si>
    <t>TSV-11-0216</t>
  </si>
  <si>
    <t>UPI/CR/445023729221/PIYUSH T/UTIB/8979156/UN3668</t>
  </si>
  <si>
    <t>T1467</t>
  </si>
  <si>
    <t>TSV-11-0217</t>
  </si>
  <si>
    <t>UPI/CR/568653297881/RAJSHREE/SBIN/docshri/KN3817</t>
  </si>
  <si>
    <t>T879,T878</t>
  </si>
  <si>
    <t>TSV-11-0218</t>
  </si>
  <si>
    <t>UPI/CR/532048949690/RAJSHREE/SBIN/docshri/KN3817</t>
  </si>
  <si>
    <t>T879</t>
  </si>
  <si>
    <t>TSV-11-0219</t>
  </si>
  <si>
    <t>UPI/CR/890541855276/DEEPAK/UBIN/ghudaiy/SC3567</t>
  </si>
  <si>
    <t>UC567-0878</t>
  </si>
  <si>
    <t>TSV-11-0220</t>
  </si>
  <si>
    <t>UPI/CR/532009572695/ROHIT GA/HDFC/9650474/SC3567</t>
  </si>
  <si>
    <t>UC567-0948</t>
  </si>
  <si>
    <t>TSV-11-0221</t>
  </si>
  <si>
    <t>UPI/DR/532059655011/VISHAL/CNRB/9354368/Reimbur</t>
  </si>
  <si>
    <t>TSV-11-0222</t>
  </si>
  <si>
    <t>UPI/CR/532020233611/ANAMIKA /KKBK/7604089/SC3567</t>
  </si>
  <si>
    <t>UC567-0951</t>
  </si>
  <si>
    <t>TSV-11-0223</t>
  </si>
  <si>
    <t>UPI/DR/532012651493/TUMBLEDR/HDFC/tumbled/Royalty</t>
  </si>
  <si>
    <t>TSV-11-0224</t>
  </si>
  <si>
    <t>UPI/CR/503301638434/BRIJBHAN/UTIB/8878754/KN3817</t>
  </si>
  <si>
    <t>TSV-11-0225</t>
  </si>
  <si>
    <t>UPI/CR/532176388433/HINDUTWA/KKBK/hindutw/UN3668</t>
  </si>
  <si>
    <t>TSV-11-0226</t>
  </si>
  <si>
    <t>UPI/CR/254953018663/SANJEEV /HDFC/9971870/SC3567</t>
  </si>
  <si>
    <t>UC567-0940</t>
  </si>
  <si>
    <t>TSV-11-0227</t>
  </si>
  <si>
    <t>UPI/CR/694047132315/Varsha K/IDFB/9810348/UN3668</t>
  </si>
  <si>
    <t>T1415</t>
  </si>
  <si>
    <t>TSV-11-0228</t>
  </si>
  <si>
    <t>UPI/CR/532182250594/KHUSHI G/IBKL/kuhugup/UN3668</t>
  </si>
  <si>
    <t>T1475</t>
  </si>
  <si>
    <t>TSV-11-0229</t>
  </si>
  <si>
    <t>UPI/DR/295185928945/Blinkit/YESB/paytm-b/OidZTBL</t>
  </si>
  <si>
    <t>TSV-11-0230</t>
  </si>
  <si>
    <t>UPI/CR/392422722778/DIPIKA /SBIN/9650225/SL1610</t>
  </si>
  <si>
    <t>UC610-0545</t>
  </si>
  <si>
    <t>TSV-11-0231</t>
  </si>
  <si>
    <t>UPI/CR/372384073708/BISHAK R/BARB/9436705/KN3817</t>
  </si>
  <si>
    <t>T899</t>
  </si>
  <si>
    <t>TSV-11-0232</t>
  </si>
  <si>
    <t>UPI/CR/577554200528/SURYA PR/BARB/8445734/UN3668</t>
  </si>
  <si>
    <t>T1469</t>
  </si>
  <si>
    <t>TSV-11-0233</t>
  </si>
  <si>
    <t>UPI/DR/568881262296/85068322/KKBK/8506832/Advance</t>
  </si>
  <si>
    <t>TSV-11-0234</t>
  </si>
  <si>
    <t>UPI/DR/568851657982/Guru Kru/YESB/paytmqr/LPG SC3</t>
  </si>
  <si>
    <t>TSV-11-0235</t>
  </si>
  <si>
    <t>UPI/CR/532228250683/SUMANYU /HDFC/9873550/UN3668</t>
  </si>
  <si>
    <t>T1464</t>
  </si>
  <si>
    <t>TSV-11-0236</t>
  </si>
  <si>
    <t>NEFT/IDFB532252838766/UCONCEPTS SOLUTIONS PRIVATE</t>
  </si>
  <si>
    <t>TSV-11-0237</t>
  </si>
  <si>
    <t>UPI/CR/392466435524/LAKSHAY /SBIN/9582762/UN3668</t>
  </si>
  <si>
    <t>T1455</t>
  </si>
  <si>
    <t>TSV-11-0238</t>
  </si>
  <si>
    <t>UPI/CR/568807960589/NYASHA P/UTIB/nyashap/KN3817</t>
  </si>
  <si>
    <t>TSV-11-0239</t>
  </si>
  <si>
    <t>UPI/CR/403228775098/HEMANT /SBIN/hem28an/UN3668</t>
  </si>
  <si>
    <t>T1435</t>
  </si>
  <si>
    <t>TSV-11-0240</t>
  </si>
  <si>
    <t>UPI/CR/532248040318/DHRUV KA/CNRB/9650125/SC3567</t>
  </si>
  <si>
    <t>UC567-0967</t>
  </si>
  <si>
    <t>TSV-11-0241</t>
  </si>
  <si>
    <t>UPI/CR/114337772551/PUJA KUM/HDFC/pujasmu/SL1610</t>
  </si>
  <si>
    <t>UC610-0564</t>
  </si>
  <si>
    <t>TSV-11-0242</t>
  </si>
  <si>
    <t>UPI/CR/733850404146/SHUBHAM /KKBK/shubham/KN3817</t>
  </si>
  <si>
    <t>T936</t>
  </si>
  <si>
    <t>TSV-11-0243</t>
  </si>
  <si>
    <t>UPI/CR/532236695018/NIKHIL G/HDFC/9871288/UN3668</t>
  </si>
  <si>
    <t>T1485</t>
  </si>
  <si>
    <t>TSV-11-0244</t>
  </si>
  <si>
    <t>UPI/CR/532309651963/DEEPAK/ICIC/deepak./UN3668</t>
  </si>
  <si>
    <t>T1453</t>
  </si>
  <si>
    <t>TSV-11-0245</t>
  </si>
  <si>
    <t>UPI/CR/532396082834/ABHINAV /CNRB/abhinav/SL1610</t>
  </si>
  <si>
    <t>UC610-0552</t>
  </si>
  <si>
    <t>TSV-11-0246</t>
  </si>
  <si>
    <t>UPI/CR/492159086557/NILESH /YESB/7610195/UN3668</t>
  </si>
  <si>
    <t>T1420</t>
  </si>
  <si>
    <t>TSV-11-0247</t>
  </si>
  <si>
    <t>UPI/CR/194600448358/BEDATRIA/KKBK/7992415/SL1610</t>
  </si>
  <si>
    <t>UC610-0547</t>
  </si>
  <si>
    <t>TSV-11-0248</t>
  </si>
  <si>
    <t>UPI/CR/194633793753/BEDATRIA/KKBK/7992415/SL1610</t>
  </si>
  <si>
    <t>TSV-11-0249</t>
  </si>
  <si>
    <t>UPI/CR/194654435618/BEDATRIA/KKBK/7992415/SL1610</t>
  </si>
  <si>
    <t>1,00,303.62</t>
  </si>
  <si>
    <t>TSV-11-0250</t>
  </si>
  <si>
    <t>UPI/DR/532395986737/MAFIJUDD/KKBK/9821358/Transpo</t>
  </si>
  <si>
    <t>1,00,143.62</t>
  </si>
  <si>
    <t>TSV-11-0251</t>
  </si>
  <si>
    <t>UPI/CR/114395050047/DEEPAK /KKBK/dpk.maj/UN3668</t>
  </si>
  <si>
    <t>1,00,423.62</t>
  </si>
  <si>
    <t>T1495</t>
  </si>
  <si>
    <t>TSV-11-0252</t>
  </si>
  <si>
    <t>UPI/CR/532390195250/SANGEET /SBIN/sangeet/UN3668</t>
  </si>
  <si>
    <t>1,00,819.62</t>
  </si>
  <si>
    <t>T1489</t>
  </si>
  <si>
    <t>TSV-11-0253</t>
  </si>
  <si>
    <t>UPI/CR/532452715197/ASHOK KU/HDFC/9654612/SL1610</t>
  </si>
  <si>
    <t>1,03,165.62</t>
  </si>
  <si>
    <t>UC610-0539</t>
  </si>
  <si>
    <t>TSV-11-0254</t>
  </si>
  <si>
    <t>UPI/CR/532497567374/PRIYANKA/PUNB/priyank/Pay Req</t>
  </si>
  <si>
    <t>1,03,417.62</t>
  </si>
  <si>
    <t>TSV-11-0255</t>
  </si>
  <si>
    <t>UPI/CR/532460510564/RAM SWAR/UTIB/7838307/UN3668</t>
  </si>
  <si>
    <t>1,03,912.62</t>
  </si>
  <si>
    <t>T1447</t>
  </si>
  <si>
    <t>TSV-11-0256</t>
  </si>
  <si>
    <t>UPI/CR/532417025995/Mrs Soni/IDIB/soniada/SC3567</t>
  </si>
  <si>
    <t>1,06,063.62</t>
  </si>
  <si>
    <t>UC567-0926</t>
  </si>
  <si>
    <t>TSV-11-0257</t>
  </si>
  <si>
    <t>UPI/DR/569003628999/BHOLE SH/YESB/paytm-8/UPI</t>
  </si>
  <si>
    <t>1,03,063.62</t>
  </si>
  <si>
    <t>TSV-11-0258</t>
  </si>
  <si>
    <t>UPI/CR/392576025749/DAKSH H/CNRB/9711971/SC3567</t>
  </si>
  <si>
    <t>1,03,499.62</t>
  </si>
  <si>
    <t>UC567-0920</t>
  </si>
  <si>
    <t>TSV-11-0259</t>
  </si>
  <si>
    <t>UPI/CR/532458785994/AMANDEEP/HDFC/9599478/UN3668</t>
  </si>
  <si>
    <t>1,04,099.62</t>
  </si>
  <si>
    <t>T1548</t>
  </si>
  <si>
    <t>TSV-11-0260</t>
  </si>
  <si>
    <t>UPI/CR/532448810548/Nitesh G/HDFC/guptani/UPI</t>
  </si>
  <si>
    <t>1,05,482.62</t>
  </si>
  <si>
    <t>UC610-0553</t>
  </si>
  <si>
    <t>TSV-11-0261</t>
  </si>
  <si>
    <t>UPI/CR/114434432168/VAIBHAV /HDFC/arorav0/UN3668</t>
  </si>
  <si>
    <t>1,06,082.62</t>
  </si>
  <si>
    <t>T1507</t>
  </si>
  <si>
    <t>TSV-11-0262</t>
  </si>
  <si>
    <t>UPI/CR/532450808399/SIDDHART/UTIB/9650780/SL1610</t>
  </si>
  <si>
    <t>1,06,609.62</t>
  </si>
  <si>
    <t>UC610-0569</t>
  </si>
  <si>
    <t>TSV-11-0263</t>
  </si>
  <si>
    <t>UPI/CR/532429321892/DHARAM S/ICIC/dharmsk/SC3567</t>
  </si>
  <si>
    <t>1,06,809.62</t>
  </si>
  <si>
    <t>UC567-0990</t>
  </si>
  <si>
    <t>TSV-11-0264</t>
  </si>
  <si>
    <t>UPI/CR/337018896806/SHUBHRAK/HDFC/9315252/SL1610</t>
  </si>
  <si>
    <t>1,08,013.62</t>
  </si>
  <si>
    <t>UC610-0550</t>
  </si>
  <si>
    <t>TSV-11-0265</t>
  </si>
  <si>
    <t>UPI/CR/532433149081/JIVESH /SBIN/0007jiv/KN3817</t>
  </si>
  <si>
    <t>1,08,405.62</t>
  </si>
  <si>
    <t>T995</t>
  </si>
  <si>
    <t>TSV-11-0266</t>
  </si>
  <si>
    <t>UPI/CR/114445128844/HIMANSHU/HDFC/himansh/PAY BY</t>
  </si>
  <si>
    <t>1,08,989.62</t>
  </si>
  <si>
    <t>UC610-0562</t>
  </si>
  <si>
    <t>TSV-11-0267</t>
  </si>
  <si>
    <t>UPI/CR/392594849950/SURAJ KU/BARB/9569520/UN3668</t>
  </si>
  <si>
    <t>1,10,237.62</t>
  </si>
  <si>
    <t>T1487</t>
  </si>
  <si>
    <t>TSV-11-0268</t>
  </si>
  <si>
    <t>UPI/CR/569175993403/ABHAY MO/ICIC/batraab/SC3567</t>
  </si>
  <si>
    <t>1,12,549.62</t>
  </si>
  <si>
    <t>UC567-0977,UC567-0946</t>
  </si>
  <si>
    <t>TSV-11-0269</t>
  </si>
  <si>
    <t>UPI/DR/569119385161/Mr SURES/IDIB/7052721/LPG KN3</t>
  </si>
  <si>
    <t>1,10,936.62</t>
  </si>
  <si>
    <t>TSV-11-0270</t>
  </si>
  <si>
    <t>UPI/CR/569196486637/RITESH M/ICIC/rittesh/UN3668</t>
  </si>
  <si>
    <t>1,11,664.62</t>
  </si>
  <si>
    <t>T1515</t>
  </si>
  <si>
    <t>TSV-11-0271</t>
  </si>
  <si>
    <t>UPI/CR/392615866535/RAO SAA/SBIN/7830522/SC3567</t>
  </si>
  <si>
    <t>1,12,424.62</t>
  </si>
  <si>
    <t>UC567-0970</t>
  </si>
  <si>
    <t>TSV-11-0272</t>
  </si>
  <si>
    <t>UPI/CR/108610427007/A R ENTE/UTIB/9810790/KN3817</t>
  </si>
  <si>
    <t>1,14,539.62</t>
  </si>
  <si>
    <t>T850,T1004</t>
  </si>
  <si>
    <t>TSV-11-0273</t>
  </si>
  <si>
    <t>UPI/CR/114472273704/MAMTA SA/HDFC/mamtasa/UN3668</t>
  </si>
  <si>
    <t>1,14,909.62</t>
  </si>
  <si>
    <t>T1529</t>
  </si>
  <si>
    <t>TSV-11-0274</t>
  </si>
  <si>
    <t>UPI/CR/114472481095/SANJANA /CNRB/sanjana/KN3817</t>
  </si>
  <si>
    <t>1,16,259.62</t>
  </si>
  <si>
    <t>T988</t>
  </si>
  <si>
    <t>TSV-11-0275</t>
  </si>
  <si>
    <t>UPI/DR/102021143674/Blinkit/HDFC/blinkit/Pay via</t>
  </si>
  <si>
    <t>1,15,872.62</t>
  </si>
  <si>
    <t>TSV-11-0276</t>
  </si>
  <si>
    <t>UPI/CR/532559092455/SHUBHAM /SBIN/shubham/UN3668</t>
  </si>
  <si>
    <t>1,16,372.62</t>
  </si>
  <si>
    <t>T1518</t>
  </si>
  <si>
    <t>TSV-11-0277</t>
  </si>
  <si>
    <t>UPI/CR/720772473814/RITIK SI/IPOS/8827922/UN3668</t>
  </si>
  <si>
    <t>1,16,768.62</t>
  </si>
  <si>
    <t>T1438</t>
  </si>
  <si>
    <t>TSV-11-0278</t>
  </si>
  <si>
    <t>UPI/CR/532570530603/NIKHIL K/HDFC/9811843/SL1610</t>
  </si>
  <si>
    <t>1,16,867.62</t>
  </si>
  <si>
    <t>TSV-11-0279</t>
  </si>
  <si>
    <t>UPI/CR/114478105401/TARUN SH/HDFC/tarunsh/SC3567</t>
  </si>
  <si>
    <t>1,17,917.62</t>
  </si>
  <si>
    <t>UC567-0965</t>
  </si>
  <si>
    <t>TSV-11-0280</t>
  </si>
  <si>
    <t>UPI/CR/532509312826/APPU DEV/UBIN/appudev/KN3817</t>
  </si>
  <si>
    <t>1,18,477.62</t>
  </si>
  <si>
    <t>TSV-11-0281</t>
  </si>
  <si>
    <t>UPI/CR/032681407879/DEEPAK M/UTIB/9891210/UN3668</t>
  </si>
  <si>
    <t>1,19,913.62</t>
  </si>
  <si>
    <t>T1553</t>
  </si>
  <si>
    <t>TSV-11-0282</t>
  </si>
  <si>
    <t>UPI/CR/576067482829/ARUN KUM/HDFC/9811011/UN3668</t>
  </si>
  <si>
    <t>1,20,513.62</t>
  </si>
  <si>
    <t>T1547</t>
  </si>
  <si>
    <t>TSV-11-0283</t>
  </si>
  <si>
    <t>UPI/CR/532592921732/Ravi Ku/SBIN/8929467/SC3567</t>
  </si>
  <si>
    <t>1,20,763.62</t>
  </si>
  <si>
    <t>UC567-0987</t>
  </si>
  <si>
    <t>TSV-11-0284</t>
  </si>
  <si>
    <t>UPI/CR/532532245897/PARITOSH/UTIB/8876073/SC3567</t>
  </si>
  <si>
    <t>1,21,523.62</t>
  </si>
  <si>
    <t>UC567-0985</t>
  </si>
  <si>
    <t>TSV-11-0285</t>
  </si>
  <si>
    <t>UPI/CR/501415910171/Ms Preet/IDIB/6207531/UN3668</t>
  </si>
  <si>
    <t>1,21,913.62</t>
  </si>
  <si>
    <t>T1513</t>
  </si>
  <si>
    <t>TSV-11-0286</t>
  </si>
  <si>
    <t>UPI/CR/532606576578/SUBHRAJI/UTIB/subhraj/UN3668</t>
  </si>
  <si>
    <t>1,22,043.62</t>
  </si>
  <si>
    <t>T1380</t>
  </si>
  <si>
    <t>TSV-11-0287</t>
  </si>
  <si>
    <t>UPI/CR/532682684114/Parv Go/SBIN/9729944/UN3668</t>
  </si>
  <si>
    <t>1,24,043.62</t>
  </si>
  <si>
    <t>TSV-11-0288</t>
  </si>
  <si>
    <t>UPI/CR/536291431815/Mr NEERA/CBIN/rinku20/UN3668</t>
  </si>
  <si>
    <t>1,24,439.62</t>
  </si>
  <si>
    <t>T1525</t>
  </si>
  <si>
    <t>TSV-11-0289</t>
  </si>
  <si>
    <t>UPI/CR/210166891059/MOHD JAM/ICIC/9971787/UN3668</t>
  </si>
  <si>
    <t>1,24,719.62</t>
  </si>
  <si>
    <t>T1533</t>
  </si>
  <si>
    <t>TSV-11-0290</t>
  </si>
  <si>
    <t>UPI/CR/108617879324/RAHUL/ICIC/9810972/na</t>
  </si>
  <si>
    <t>1,25,647.62</t>
  </si>
  <si>
    <t>TSV-11-0291</t>
  </si>
  <si>
    <t>UPI/CR/532600924166/ISHMEET /SBIN/ishmeet/KN3817</t>
  </si>
  <si>
    <t>1,27,317.62</t>
  </si>
  <si>
    <t>T989</t>
  </si>
  <si>
    <t>TSV-11-0292</t>
  </si>
  <si>
    <t>UPI/CR/532613652081/PRAKHAR /UTIB/prakhar/UN3668</t>
  </si>
  <si>
    <t>1,28,565.62</t>
  </si>
  <si>
    <t>T1522</t>
  </si>
  <si>
    <t>TSV-11-0293</t>
  </si>
  <si>
    <t>UPI/CR/532737817356/AMBER YA/UCBA/amberya/UN3668</t>
  </si>
  <si>
    <t>1,28,929.62</t>
  </si>
  <si>
    <t>T1501</t>
  </si>
  <si>
    <t>TSV-11-0294</t>
  </si>
  <si>
    <t>UPI/CR/532782209344/BISHNU K/HDFC/bishnuk/SC3567</t>
  </si>
  <si>
    <t>1,29,185.62</t>
  </si>
  <si>
    <t>UC567-0934</t>
  </si>
  <si>
    <t>TSV-11-0295</t>
  </si>
  <si>
    <t>UPI/CR/532747631638/AMISH KU/PUNB/amish4a/SC3567</t>
  </si>
  <si>
    <t>1,29,932.62</t>
  </si>
  <si>
    <t>UC567-0972</t>
  </si>
  <si>
    <t>TSV-11-0296</t>
  </si>
  <si>
    <t>UPI/CR/569308646455/ANKIT KU/NESF/ak07267/UN3668</t>
  </si>
  <si>
    <t>1,30,532.62</t>
  </si>
  <si>
    <t>T1581</t>
  </si>
  <si>
    <t>TSV-11-0297</t>
  </si>
  <si>
    <t>UPI/CR/532768840804/NANDAN S/HDFC/nandans/SL1610</t>
  </si>
  <si>
    <t>1,31,032.62</t>
  </si>
  <si>
    <t>UC610-0578</t>
  </si>
  <si>
    <t>TSV-11-0298</t>
  </si>
  <si>
    <t>UPI/CR/569331052408/P BRIHAD/ICIC/shashaa/SL1610</t>
  </si>
  <si>
    <t>1,31,821.62</t>
  </si>
  <si>
    <t>UC610-0577</t>
  </si>
  <si>
    <t>TSV-11-0299</t>
  </si>
  <si>
    <t>UPI/CR/392724280551/SHUBHAM /ICIC/8861503/SL1610</t>
  </si>
  <si>
    <t>1,32,657.62</t>
  </si>
  <si>
    <t>UC610-0588</t>
  </si>
  <si>
    <t>TSV-11-0300</t>
  </si>
  <si>
    <t>UPI/CR/694386821358/CHIRAG /SBIN/9818721/KN3817</t>
  </si>
  <si>
    <t>1,32,797.62</t>
  </si>
  <si>
    <t>TSV-11-0301</t>
  </si>
  <si>
    <t>UPI/DR/569355255696/Julfikar/FINO/julfikk/Transpo</t>
  </si>
  <si>
    <t>1,32,597.62</t>
  </si>
  <si>
    <t>TSV-11-0302</t>
  </si>
  <si>
    <t>UPI/DR/569355264080/88266348/SBIN/8826634/Transpo</t>
  </si>
  <si>
    <t>1,32,488.62</t>
  </si>
  <si>
    <t>TSV-11-0303</t>
  </si>
  <si>
    <t>UPI/DR/569319276237/MAJARUL /SBIN/8617628/Transpo</t>
  </si>
  <si>
    <t>1,32,388.62</t>
  </si>
  <si>
    <t>TSV-11-0304</t>
  </si>
  <si>
    <t>UPI/CR/569417290821/NIKHIL M/ICIC/nikhils/UN3668</t>
  </si>
  <si>
    <t>1,33,088.62</t>
  </si>
  <si>
    <t>T1567</t>
  </si>
  <si>
    <t>TSV-11-0305</t>
  </si>
  <si>
    <t>UPI/CR/532803887737/Rishabh /SBIN/7000584/KN3817</t>
  </si>
  <si>
    <t>1,33,438.62</t>
  </si>
  <si>
    <t>T991</t>
  </si>
  <si>
    <t>TSV-11-0306</t>
  </si>
  <si>
    <t>UPI/DR/532824902658/Mr SURES/IDIB/7052721/LPG KN3</t>
  </si>
  <si>
    <t>1,31,825.62</t>
  </si>
  <si>
    <t>TSV-11-0307</t>
  </si>
  <si>
    <t>UPI/DR/532840315237/TUMBLEDR/HDFC/tumbled/Royalty</t>
  </si>
  <si>
    <t>1,30,491.40</t>
  </si>
  <si>
    <t>TSV-11-0308</t>
  </si>
  <si>
    <t>UPI/DR/569456395469/Mithlesh/AIRP/7428079/Reimbur</t>
  </si>
  <si>
    <t>1,29,075.40</t>
  </si>
  <si>
    <t>Rider UN</t>
  </si>
  <si>
    <t>TSV-11-0309</t>
  </si>
  <si>
    <t>UPI/CR/532811806863/HARI OM /AUBL/hariomt/UN3668</t>
  </si>
  <si>
    <t>1,30,499.40</t>
  </si>
  <si>
    <t>T1564</t>
  </si>
  <si>
    <t>TSV-11-0310</t>
  </si>
  <si>
    <t>UPI/CR/959951191514/CHITRA K/UCBA/7678461/SL1610</t>
  </si>
  <si>
    <t>1,30,609.40</t>
  </si>
  <si>
    <t>TSV-11-0311</t>
  </si>
  <si>
    <t>UPI/CR/392761356356/GAGAN NA/IBKL/g.naini/UN3668</t>
  </si>
  <si>
    <t>1,31,913.40</t>
  </si>
  <si>
    <t>T1418</t>
  </si>
  <si>
    <t>TSV-11-0312</t>
  </si>
  <si>
    <t>UPI/CR/532805661375/MOHIT CH/PUNB/9891465/SC3567</t>
  </si>
  <si>
    <t>1,32,285.40</t>
  </si>
  <si>
    <t>UC567-0944</t>
  </si>
  <si>
    <t>TSV-11-0313</t>
  </si>
  <si>
    <t>UPI/IFT/532827799808/IDFB/SC3567</t>
  </si>
  <si>
    <t>1,33,030.40</t>
  </si>
  <si>
    <t>TSV-11-0314</t>
  </si>
  <si>
    <t>UPI/CR/114627136653/SUYASH M/HDFC/s.malho/SL1610</t>
  </si>
  <si>
    <t>1,33,854.40</t>
  </si>
  <si>
    <t>TSV-11-0315</t>
  </si>
  <si>
    <t>UPI/CR/646829001878/AMANDEEP/PPIW/9910399/KN3817</t>
  </si>
  <si>
    <t>1,34,219.40</t>
  </si>
  <si>
    <t>TSV-11-0316</t>
  </si>
  <si>
    <t>NEFT/CNRBH00091399038/ONORA HOSPITALITY PVT LTD/CN</t>
  </si>
  <si>
    <t>1,56,158.40</t>
  </si>
  <si>
    <t>ONORA</t>
  </si>
  <si>
    <t>TSV-11-0317</t>
  </si>
  <si>
    <t>UPI/CR/114629032688/PARNIKA /HDFC/rastogi/KN3817</t>
  </si>
  <si>
    <t>1,56,998.40</t>
  </si>
  <si>
    <t>TSV-11-0318</t>
  </si>
  <si>
    <t>UPI/CR/532873546404/MALAY DW/ICIC/malaydw/SC3567</t>
  </si>
  <si>
    <t>1,57,451.40</t>
  </si>
  <si>
    <t>UC567-0976</t>
  </si>
  <si>
    <t>TSV-11-0319</t>
  </si>
  <si>
    <t>UPI/CR/532856173839/SHOBHIT /UTIB/7626940/SC3567</t>
  </si>
  <si>
    <t>1,59,644.40</t>
  </si>
  <si>
    <t>UC567-0980</t>
  </si>
  <si>
    <t>TSV-11-0320</t>
  </si>
  <si>
    <t>UPI/CR/569483766515/GYAN GAN/SBIN/gyangan/SL1610</t>
  </si>
  <si>
    <t>1,60,061.40</t>
  </si>
  <si>
    <t>UC610-0581</t>
  </si>
  <si>
    <t>TSV-11-0321</t>
  </si>
  <si>
    <t>UPI/DR/532901871346/NAIN SIN/YESB/paytmqr/Transpo</t>
  </si>
  <si>
    <t>1,57,061.40</t>
  </si>
  <si>
    <t>TSV-11-0322</t>
  </si>
  <si>
    <t>UPI/CR/532916179038/PRIYANKA/SBIN/9127008/KN3817</t>
  </si>
  <si>
    <t>1,57,661.40</t>
  </si>
  <si>
    <t>T958</t>
  </si>
  <si>
    <t>TSV-11-0323</t>
  </si>
  <si>
    <t>UPI/CR/114654360216/Ms Khush/IDIB/khushis/UN3668</t>
  </si>
  <si>
    <t>1,58,141.40</t>
  </si>
  <si>
    <t>T1542</t>
  </si>
  <si>
    <t>TSV-11-0324</t>
  </si>
  <si>
    <t>UPI/CR/532956809104/RAHUL MA/UTIB/9810356/SC3567</t>
  </si>
  <si>
    <t>1,58,468.40</t>
  </si>
  <si>
    <t>UC567-0982</t>
  </si>
  <si>
    <t>TSV-11-0325</t>
  </si>
  <si>
    <t>UPI/CR/392807421448/BHIM Sen/IDFB/9871348/KN3817</t>
  </si>
  <si>
    <t>1,58,788.40</t>
  </si>
  <si>
    <t>T992</t>
  </si>
  <si>
    <t>TSV-11-0326</t>
  </si>
  <si>
    <t>UPI/CR/117405603295/PRAKRITI/CNRB/prakrit/UPI</t>
  </si>
  <si>
    <t>1,59,772.40</t>
  </si>
  <si>
    <t>TSV-11-0327</t>
  </si>
  <si>
    <t>UPI/DR/532918387393/RAMESH C/PUNB/9718350/LPG UN3</t>
  </si>
  <si>
    <t>1,58,172.40</t>
  </si>
  <si>
    <t>TSV-11-0328</t>
  </si>
  <si>
    <t>UPI/DR/532982183591/RAMESH C/PUNB/9718350/LPG UN3</t>
  </si>
  <si>
    <t>1,56,572.40</t>
  </si>
  <si>
    <t>TSV-11-0329</t>
  </si>
  <si>
    <t>UPI/CR/441809902928/RAVI SO /PUNB/9818242/SC3567</t>
  </si>
  <si>
    <t>1,56,871.40</t>
  </si>
  <si>
    <t>UC567-0991</t>
  </si>
  <si>
    <t>TSV-11-0330</t>
  </si>
  <si>
    <t>UPI/DR/569556205836/AIRTEL P/UTIB/airteld/Airtel</t>
  </si>
  <si>
    <t>1,55,221.76</t>
  </si>
  <si>
    <t>TSV-11-0331</t>
  </si>
  <si>
    <t>UPI/CR/694488633764/ANIKA CH/KARB/9968246/KN3817</t>
  </si>
  <si>
    <t>1,55,881.76</t>
  </si>
  <si>
    <t>T999</t>
  </si>
  <si>
    <t>TSV-11-0332</t>
  </si>
  <si>
    <t>UPI/DR/532904096112/AMIT/BKID/9540764/Chemica</t>
  </si>
  <si>
    <t>1,50,851.76</t>
  </si>
  <si>
    <t>TSV-11-0333</t>
  </si>
  <si>
    <t>UPI/CR/569568413984/JASMEHAR/UCBA/jasmeha/KN3817</t>
  </si>
  <si>
    <t>1,51,451.76</t>
  </si>
  <si>
    <t>TSV-11-0334</t>
  </si>
  <si>
    <t>UPI/CR/532923752819/VIKAS RA/HDFC/9582229/SC3567</t>
  </si>
  <si>
    <t>1,53,611.76</t>
  </si>
  <si>
    <t>UC567-0997</t>
  </si>
  <si>
    <t>TSV-11-0335</t>
  </si>
  <si>
    <t>UPI/CR/569572421238/NIKHIL B/ICIC/nikhilb/UN3668</t>
  </si>
  <si>
    <t>1,55,479.76</t>
  </si>
  <si>
    <t>T1573,T1574</t>
  </si>
  <si>
    <t>TSV-11-0336</t>
  </si>
  <si>
    <t>UPI/CR/114688064474/MANDEEP /HDFC/mandeep/UN3668</t>
  </si>
  <si>
    <t>1,58,239.76</t>
  </si>
  <si>
    <t>T1586</t>
  </si>
  <si>
    <t>TSV-11-0337</t>
  </si>
  <si>
    <t>UPI/CR/555218410426/SHANKAR /ICIC/8447596/UN3668</t>
  </si>
  <si>
    <t>1,58,595.76</t>
  </si>
  <si>
    <t>T1503</t>
  </si>
  <si>
    <t>TSV-11-0338</t>
  </si>
  <si>
    <t>UPI/DR/569677147920/NATINAL /HDFC/vyapar./Station</t>
  </si>
  <si>
    <t>1,58,515.76</t>
  </si>
  <si>
    <t>Stationery</t>
  </si>
  <si>
    <t>TSV-11-0339</t>
  </si>
  <si>
    <t>UPI/CR/569600546616/SNEH SH/UTIB/snehd19/SL1610</t>
  </si>
  <si>
    <t>1,59,362.76</t>
  </si>
  <si>
    <t>UC610-0572</t>
  </si>
  <si>
    <t>TSV-11-0340</t>
  </si>
  <si>
    <t>UPI/DR/569605073886/MOHD SHA/YESB/paytmqr/Laundry</t>
  </si>
  <si>
    <t>1,55,222.76</t>
  </si>
  <si>
    <t>Laundry Basket</t>
  </si>
  <si>
    <t>TSV-11-0341</t>
  </si>
  <si>
    <t>UPI/CR/114716183597/HARI OM /AUBL/hariomt/UN3668</t>
  </si>
  <si>
    <t>1,55,814.76</t>
  </si>
  <si>
    <t>T1598</t>
  </si>
  <si>
    <t>TSV-11-0342</t>
  </si>
  <si>
    <t>UPI/CR/392868455181/Mrs Prar/IDIB/8178836/UN3668</t>
  </si>
  <si>
    <t>1,56,170.76</t>
  </si>
  <si>
    <t>T1488</t>
  </si>
  <si>
    <t>TSV-11-0343</t>
  </si>
  <si>
    <t>UPI/CR/114720989553/MANJEET /SBIN/duhanma/KN3817</t>
  </si>
  <si>
    <t>1,57,010.76</t>
  </si>
  <si>
    <t>T1054</t>
  </si>
  <si>
    <t>TSV-11-0344</t>
  </si>
  <si>
    <t>UPI/DR/569680884746/Amazon P/UTIB/amazonp/You are</t>
  </si>
  <si>
    <t>1,55,820.76</t>
  </si>
  <si>
    <t>TSV-11-0345</t>
  </si>
  <si>
    <t>UPI/CR/533038777672/DIVYANSH/ICIC/9582128/KN3817</t>
  </si>
  <si>
    <t>1,57,020.76</t>
  </si>
  <si>
    <t>TSV-11-0346</t>
  </si>
  <si>
    <t>UPI/CR/879785280746/VIJAY Y/KKBK/9818867/SL1610</t>
  </si>
  <si>
    <t>1,58,060.76</t>
  </si>
  <si>
    <t>UC610-0598</t>
  </si>
  <si>
    <t>TSV-11-0347</t>
  </si>
  <si>
    <t>UPI/CR/569674697819/JYOTSNA/UTIB/jyotsna/UN3668</t>
  </si>
  <si>
    <t>1,59,090.76</t>
  </si>
  <si>
    <t>T1404</t>
  </si>
  <si>
    <t>TSV-11-0348</t>
  </si>
  <si>
    <t>UPI/DR/533152233086/ASHOK KU/YESB/paytmqr/RO Wate</t>
  </si>
  <si>
    <t>1,58,590.76</t>
  </si>
  <si>
    <t>TSV-11-0349</t>
  </si>
  <si>
    <t>UPI/DR/533152124060/Guru Kru/YESB/paytmqr/LPG SC3</t>
  </si>
  <si>
    <t>1,55,330.76</t>
  </si>
  <si>
    <t>TSV-11-0350</t>
  </si>
  <si>
    <t>UPI/CR/239988074994/SWATI KU/KKBK/7678286/UN3668</t>
  </si>
  <si>
    <t>1,57,330.76</t>
  </si>
  <si>
    <t>TSV-11-0351</t>
  </si>
  <si>
    <t>UPI/DR/533106933314/SWATANTR/YESB/paytmqr/Print U</t>
  </si>
  <si>
    <t>1,57,305.76</t>
  </si>
  <si>
    <t>Printout</t>
  </si>
  <si>
    <t>TSV-11-0352</t>
  </si>
  <si>
    <t>UPI/DR/533199329049/DEEPAK K/IPOS/8541934/Reimbur</t>
  </si>
  <si>
    <t>1,56,087.76</t>
  </si>
  <si>
    <t>Reimbursement Deepak</t>
  </si>
  <si>
    <t>TSV-11-0353</t>
  </si>
  <si>
    <t>UPI/DR/533119642552/UMASHANK/YESB/q479708/Staff W</t>
  </si>
  <si>
    <t>1,54,087.76</t>
  </si>
  <si>
    <t>TSV-11-0354</t>
  </si>
  <si>
    <t>UPI/DR/533119920741/UMASHANK/YESB/q479708/Staff W</t>
  </si>
  <si>
    <t>1,52,497.76</t>
  </si>
  <si>
    <t>TSV-11-0355</t>
  </si>
  <si>
    <t>UPI/CR/935398963686/SUNNY R/SBIN/sunny87/UN3668</t>
  </si>
  <si>
    <t>1,53,489.76</t>
  </si>
  <si>
    <t>T1569</t>
  </si>
  <si>
    <t>TSV-11-0356</t>
  </si>
  <si>
    <t>IMPS-OPM/533116653368/UCONCEPTS SOLUTIONS PRIVATE LIMITED/ICIC0001842/7613/PackagingSL1610</t>
  </si>
  <si>
    <t>1,36,269.76</t>
  </si>
  <si>
    <t>TSV-11-0357</t>
  </si>
  <si>
    <t>IMPS-OPM/533116655355/UCONCEPTS SOLUTIONS PRIVATE LIMITED/ICIC0001842/7613/ChemicalsSL1610</t>
  </si>
  <si>
    <t>1,25,814.76</t>
  </si>
  <si>
    <t>TSV-11-0358</t>
  </si>
  <si>
    <t>UPI/CR/533179816673/SMILE PH/UTIB/7827962/UN3668</t>
  </si>
  <si>
    <t>1,27,002.76</t>
  </si>
  <si>
    <t>T1534</t>
  </si>
  <si>
    <t>TSV-11-0359</t>
  </si>
  <si>
    <t>UPI/CR/533119335034/TUSHAR /YESB/tusharr/KN3817</t>
  </si>
  <si>
    <t>1,28,532.76</t>
  </si>
  <si>
    <t>T1043</t>
  </si>
  <si>
    <t>TSV-11-0360</t>
  </si>
  <si>
    <t>UPI/CR/533128210928/P BRIHAD/ICIC/9818934/SL1610</t>
  </si>
  <si>
    <t>1,33,532.76</t>
  </si>
  <si>
    <t>UC610-0606</t>
  </si>
  <si>
    <t>TSV-11-0361</t>
  </si>
  <si>
    <t>UPI/CR/533125852431/RISHIKA /SBIN/7903820/UN3668</t>
  </si>
  <si>
    <t>1,33,945.76</t>
  </si>
  <si>
    <t>T1579</t>
  </si>
  <si>
    <t>TSV-11-0362</t>
  </si>
  <si>
    <t>UPI/CR/694600087997/PRADEEP /SBIN/8287720/SC3567</t>
  </si>
  <si>
    <t>1,34,163.76</t>
  </si>
  <si>
    <t>UC567-0998</t>
  </si>
  <si>
    <t>TSV-11-0363</t>
  </si>
  <si>
    <t>UPI/CR/694603422931/SHARMA R/HSBC/7980868/KN3817</t>
  </si>
  <si>
    <t>1,34,663.76</t>
  </si>
  <si>
    <t>T1083</t>
  </si>
  <si>
    <t>TSV-11-0364</t>
  </si>
  <si>
    <t>UPI/CR/392927936074/SIMRAN G/ICIC/9312215/SC3567</t>
  </si>
  <si>
    <t>1,34,933.76</t>
  </si>
  <si>
    <t>UC567-1002</t>
  </si>
  <si>
    <t>TSV-11-0365</t>
  </si>
  <si>
    <t>IMPS-OPM/533120050846/PIYUSH TAG/UTIB0000540/1341/AdvanceSalaryTSV001</t>
  </si>
  <si>
    <t>1,24,933.76</t>
  </si>
  <si>
    <t>TSV-11-0366</t>
  </si>
  <si>
    <t>UPI/CR/884229447525/INDRAJEE/HDFC/8237634/SL1610</t>
  </si>
  <si>
    <t>1,25,597.76</t>
  </si>
  <si>
    <t>UC610-0596</t>
  </si>
  <si>
    <t>TSV-11-0367</t>
  </si>
  <si>
    <t>UPI/CR/533150280164/HEMANT /UTIB/9560801/UN3668</t>
  </si>
  <si>
    <t>1,27,069.76</t>
  </si>
  <si>
    <t>T1546</t>
  </si>
  <si>
    <t>TSV-11-0368</t>
  </si>
  <si>
    <t>UPI/CR/200482818432/KANAV S/SBIN/kanav.s/SL1610</t>
  </si>
  <si>
    <t>1,30,284.76</t>
  </si>
  <si>
    <t>UC610-0599</t>
  </si>
  <si>
    <t>TSV-11-0369</t>
  </si>
  <si>
    <t>UPI/CR/025558319039/Dinesh /SBIN/dinesh./SC3567</t>
  </si>
  <si>
    <t>1,30,740.76</t>
  </si>
  <si>
    <t>UC567-0962</t>
  </si>
  <si>
    <t>TSV-11-0370</t>
  </si>
  <si>
    <t>UPI/DR/533287890755/Amazon P/UTIB/amazonp/You are</t>
  </si>
  <si>
    <t>1,29,890.76</t>
  </si>
  <si>
    <t>TSV-11-0371</t>
  </si>
  <si>
    <t>UPI/CR/392956747751/NIPESH K/ICIC/9717296/KN3817</t>
  </si>
  <si>
    <t>1,30,240.76</t>
  </si>
  <si>
    <t>TSV-11-0372</t>
  </si>
  <si>
    <t>UPI/CR/533230253036/MANJU A/SBIN/9654909/UN3668</t>
  </si>
  <si>
    <t>1,30,904.76</t>
  </si>
  <si>
    <t>T1523</t>
  </si>
  <si>
    <t>TSV-11-0373</t>
  </si>
  <si>
    <t>UPI/CR/569841915077/NALINI S/ICIC/nalinis/SC3567</t>
  </si>
  <si>
    <t>1,31,492.76</t>
  </si>
  <si>
    <t>UC567-0994</t>
  </si>
  <si>
    <t>TSV-11-0374</t>
  </si>
  <si>
    <t>UPI/CR/569888529275/REETU DA/BARB/dawar.r/KN3817</t>
  </si>
  <si>
    <t>1,32,652.76</t>
  </si>
  <si>
    <t>T1036,T1037</t>
  </si>
  <si>
    <t>TSV-11-0375</t>
  </si>
  <si>
    <t>UPI/CR/569895224680/JOSHUA M/UTIB/contrac/SL1610</t>
  </si>
  <si>
    <t>1,32,915.76</t>
  </si>
  <si>
    <t>UC610-0604</t>
  </si>
  <si>
    <t>TSV-11-0376</t>
  </si>
  <si>
    <t>UPI/DR/569879819555/ANAND MA/UBIN/9650174/Transpo</t>
  </si>
  <si>
    <t>1,29,915.76</t>
  </si>
  <si>
    <t>TSV-11-0377</t>
  </si>
  <si>
    <t>UPI/CR/172436992481/RAJAT GA/HDFC/9717669/KN3817</t>
  </si>
  <si>
    <t>1,30,293.76</t>
  </si>
  <si>
    <t>TSV-11-0378</t>
  </si>
  <si>
    <t>UPI/CR/533261303101/PARBHAT /HDFC/9868588/UN3668</t>
  </si>
  <si>
    <t>1,30,573.76</t>
  </si>
  <si>
    <t>T1502</t>
  </si>
  <si>
    <t>TSV-11-0379</t>
  </si>
  <si>
    <t>UPI/DR/569836040679/MANISH /KKBK/9560476/Transpo</t>
  </si>
  <si>
    <t>1,30,373.76</t>
  </si>
  <si>
    <t>TSV-11-0380</t>
  </si>
  <si>
    <t>UPI/CR/812168019984/Mr PIYUS/CBIN/9404914/UN3668</t>
  </si>
  <si>
    <t>1,31,305.76</t>
  </si>
  <si>
    <t>T1570</t>
  </si>
  <si>
    <t>TSV-11-0381</t>
  </si>
  <si>
    <t>UPI/CR/569832055790/SUJATA D/UTIB/sujata./UN3668</t>
  </si>
  <si>
    <t>1,31,649.76</t>
  </si>
  <si>
    <t>T1592</t>
  </si>
  <si>
    <t>TSV-11-0382</t>
  </si>
  <si>
    <t>UPI/CR/569869566625/AKHILESH/UCBA/akhiles/UN3668</t>
  </si>
  <si>
    <t>1,32,197.76</t>
  </si>
  <si>
    <t>T1606</t>
  </si>
  <si>
    <t>TSV-11-0383</t>
  </si>
  <si>
    <t>UPI/CR/533262939629/RENU SHA/HDFC/9818558/UN3668</t>
  </si>
  <si>
    <t>1,32,497.76</t>
  </si>
  <si>
    <t>TSV-11-0384</t>
  </si>
  <si>
    <t>UPI/CR/569883457867/KHYATI K/ICIC/khyatis/UN3668</t>
  </si>
  <si>
    <t>1,33,057.76</t>
  </si>
  <si>
    <t>T1643</t>
  </si>
  <si>
    <t>TSV-11-0385</t>
  </si>
  <si>
    <t>UPI/CR/694686179081/Pooja S/SBIN/7048960/SL1610</t>
  </si>
  <si>
    <t>1,33,356.76</t>
  </si>
  <si>
    <t>UC610-0616</t>
  </si>
  <si>
    <t>TSV-11-0386</t>
  </si>
  <si>
    <t>UPI/CR/533367645245/NEENA AG/HDFC/9911517/Sent us</t>
  </si>
  <si>
    <t>1,40,356.76</t>
  </si>
  <si>
    <t>TSV-11-0387</t>
  </si>
  <si>
    <t>UPI/CR/330629754788/ANKUSH K/PUNB/9262256/UN3668</t>
  </si>
  <si>
    <t>1,41,108.76</t>
  </si>
  <si>
    <t>T1620</t>
  </si>
  <si>
    <t>TSV-11-0388</t>
  </si>
  <si>
    <t>UPI/CR/393006184869/SUDHANSH/PUNB/7300940/UN3668</t>
  </si>
  <si>
    <t>1,41,464.76</t>
  </si>
  <si>
    <t>T1599</t>
  </si>
  <si>
    <t>TSV-11-0389</t>
  </si>
  <si>
    <t>UPI/CR/114852040114/SURAJ VA/PUNB/surajva/KN3817</t>
  </si>
  <si>
    <t>1,42,464.76</t>
  </si>
  <si>
    <t>T1058</t>
  </si>
  <si>
    <t>TSV-11-0390</t>
  </si>
  <si>
    <t>UPI/CR/569935277725/MRINANK /ICIC/mrinank/SC3567</t>
  </si>
  <si>
    <t>1,42,999.76</t>
  </si>
  <si>
    <t>UC567-0766</t>
  </si>
  <si>
    <t>TSV-11-0391</t>
  </si>
  <si>
    <t>UPI/DR/569976482831/AMIT/BKID/9540764/Packagi</t>
  </si>
  <si>
    <t>1,35,978.76</t>
  </si>
  <si>
    <t>TSV-11-0392</t>
  </si>
  <si>
    <t>UPI/CR/569978489323/KHUSHAL /HDFC/gargkhu/KN3817</t>
  </si>
  <si>
    <t>1,36,678.76</t>
  </si>
  <si>
    <t>T1007</t>
  </si>
  <si>
    <t>TSV-11-0393</t>
  </si>
  <si>
    <t>UPI/DR/569985586221/Govind /IOBA/9318401/Salary</t>
  </si>
  <si>
    <t>1,32,388.76</t>
  </si>
  <si>
    <t>Salary Oct25 Govind</t>
  </si>
  <si>
    <t>TSV-11-0394</t>
  </si>
  <si>
    <t>UPI/CR/533333304780/AAKARSH /ICIC/aakarsh/SC3567</t>
  </si>
  <si>
    <t>1,32,638.76</t>
  </si>
  <si>
    <t>UC567-0995</t>
  </si>
  <si>
    <t>TSV-11-0395</t>
  </si>
  <si>
    <t>UPI/CR/533382626998/BHANUWAT/UTIB/raumide/UN3668</t>
  </si>
  <si>
    <t>1,33,034.76</t>
  </si>
  <si>
    <t>T1461</t>
  </si>
  <si>
    <t>TSV-11-0396</t>
  </si>
  <si>
    <t>UPI/CR/694711697970/SHUBHAM /ICIC/8861503/SL1610</t>
  </si>
  <si>
    <t>1,33,467.76</t>
  </si>
  <si>
    <t>UC610-0608</t>
  </si>
  <si>
    <t>TSV-11-0397</t>
  </si>
  <si>
    <t>UPI/CR/533333307651/Ms AVNEE/CIUB/avneetk/UN3668</t>
  </si>
  <si>
    <t>1,34,667.76</t>
  </si>
  <si>
    <t>T1185</t>
  </si>
  <si>
    <t>TSV-11-0398</t>
  </si>
  <si>
    <t>UPI/CR/533326306000/Abhay K/IDFB/kasaudh/UN3668</t>
  </si>
  <si>
    <t>1,35,386.76</t>
  </si>
  <si>
    <t>T1626,T1627</t>
  </si>
  <si>
    <t>TSV-11-0399</t>
  </si>
  <si>
    <t>UPI/CR/694717512812/DEVANSHU/PUNB/8476977/UN3668</t>
  </si>
  <si>
    <t>1,35,718.76</t>
  </si>
  <si>
    <t>T1595</t>
  </si>
  <si>
    <t>TSV-11-0400</t>
  </si>
  <si>
    <t>UPI/CR/114874643233/MS KRITI/SCBL/kriti.0/UN3668</t>
  </si>
  <si>
    <t>1,36,826.76</t>
  </si>
  <si>
    <t>T1611</t>
  </si>
  <si>
    <t>TSV-11-0401</t>
  </si>
  <si>
    <t>UPI/CR/296858741644/MANVIR /SBIN/9812213/UN3668</t>
  </si>
  <si>
    <t>1,37,518.76</t>
  </si>
  <si>
    <t>T1621</t>
  </si>
  <si>
    <t>TSV-11-0402</t>
  </si>
  <si>
    <t>UPI/CR/416034197383/NIMAI CH/SBIN/9804060/SL1610</t>
  </si>
  <si>
    <t>1,38,660.76</t>
  </si>
  <si>
    <t>UC610-0563</t>
  </si>
  <si>
    <t>TSV-11-0403</t>
  </si>
  <si>
    <t>UPI/CR/114903747725/KARAMJEE/HDFC/9199997/PAY BY</t>
  </si>
  <si>
    <t>1,39,105.76</t>
  </si>
  <si>
    <t>TSV-11-0404</t>
  </si>
  <si>
    <t>UPI/DR/533474461060/National/UTIB/nationa/AnnualP</t>
  </si>
  <si>
    <t>1,36,105.76</t>
  </si>
  <si>
    <t>FasTag Recharge</t>
  </si>
  <si>
    <t>TSV-11-0405</t>
  </si>
  <si>
    <t>UPI/DR/533472274545/HABIB AL/ICIC/9142777/Transpo</t>
  </si>
  <si>
    <t>1,33,305.76</t>
  </si>
  <si>
    <t>TSV-11-0406</t>
  </si>
  <si>
    <t>UPI/CR/392062600707/Mrs POON/CBIN/9650998/UN3668</t>
  </si>
  <si>
    <t>1,33,997.76</t>
  </si>
  <si>
    <t>T1613</t>
  </si>
  <si>
    <t>TSV-11-0407</t>
  </si>
  <si>
    <t>UPI/CR/114907346689/MRIDUL M/HDFC/mriduli/SL1610</t>
  </si>
  <si>
    <t>1,34,421.76</t>
  </si>
  <si>
    <t>UC610-0619</t>
  </si>
  <si>
    <t>TSV-11-0408</t>
  </si>
  <si>
    <t>UPI/CR/533469469534/Mr NEERA/CBIN/engfdsj/UN3668</t>
  </si>
  <si>
    <t>1,35,658.76</t>
  </si>
  <si>
    <t>T1589,T1590</t>
  </si>
  <si>
    <t>TSV-11-0409</t>
  </si>
  <si>
    <t>UPI/CR/570005147530/ABHISHEK/CNRB/7005955/KN3817</t>
  </si>
  <si>
    <t>1,36,348.76</t>
  </si>
  <si>
    <t>TSV-11-0410</t>
  </si>
  <si>
    <t>UPI/CR/533463826410/LEENA MA/UTIB/9871844/KN3817</t>
  </si>
  <si>
    <t>1,36,788.76</t>
  </si>
  <si>
    <t>TSV-11-0411</t>
  </si>
  <si>
    <t>UPI/DR/533452083376/Ajay Kum/YESB/paytmqr/Transpo</t>
  </si>
  <si>
    <t>1,36,694.76</t>
  </si>
  <si>
    <t>TSV-11-0412</t>
  </si>
  <si>
    <t>UPI/CR/145749005901/SANJEEV /ICIC/san.goe/SC3567</t>
  </si>
  <si>
    <t>1,36,993.76</t>
  </si>
  <si>
    <t>UC567-0942</t>
  </si>
  <si>
    <t>TSV-11-0413</t>
  </si>
  <si>
    <t>UPI/CR/174911672204/RAGHAVAN/UTIB/9354839/KN3817</t>
  </si>
  <si>
    <t>1,40,313.76</t>
  </si>
  <si>
    <t>T1033</t>
  </si>
  <si>
    <t>TSV-11-0414</t>
  </si>
  <si>
    <t>UPI/CR/533486614655/AJAY YAD/HDFC/9999189/UN3668</t>
  </si>
  <si>
    <t>1,41,163.76</t>
  </si>
  <si>
    <t>T1610</t>
  </si>
  <si>
    <t>TSV-11-0415</t>
  </si>
  <si>
    <t>UPI/CR/570070470167/Mrs PRIY/IDIB/7011805/KN3817</t>
  </si>
  <si>
    <t>1,41,573.76</t>
  </si>
  <si>
    <t>TSV-11-0416</t>
  </si>
  <si>
    <t>UPI/DR/533466471656/Manoj S/FINO/9199955/Transpo</t>
  </si>
  <si>
    <t>1,41,508.76</t>
  </si>
  <si>
    <t>TSV-11-0417</t>
  </si>
  <si>
    <t>UPI/CR/114918416512/ASHRUT K/HDFC/ashrutk/UN3668</t>
  </si>
  <si>
    <t>1,42,168.76</t>
  </si>
  <si>
    <t>T1629</t>
  </si>
  <si>
    <t>TSV-11-0418</t>
  </si>
  <si>
    <t>UPI/IFT/533431584754/IDFB/SC3567</t>
  </si>
  <si>
    <t>1,42,825.76</t>
  </si>
  <si>
    <t>TSV-11-0419</t>
  </si>
  <si>
    <t>UPI/CR/392704996212/Mrs SAVI/IDIB/8709189/UN3668</t>
  </si>
  <si>
    <t>1,43,221.76</t>
  </si>
  <si>
    <t>T1617</t>
  </si>
  <si>
    <t>TSV-11-0420</t>
  </si>
  <si>
    <t>UPI/CR/570011731855/NISHKARS/KKBK/jain.ni/KN3817</t>
  </si>
  <si>
    <t>1,43,421.76</t>
  </si>
  <si>
    <t>T1092</t>
  </si>
  <si>
    <t>TSV-11-0421</t>
  </si>
  <si>
    <t>UPI/DR/533423298269/ZOYA KH/KKBK/8920759/Advance</t>
  </si>
  <si>
    <t>1,41,421.76</t>
  </si>
  <si>
    <t>Advance Salary Nov25 Mohsin</t>
  </si>
  <si>
    <t>TSV-11-0422</t>
  </si>
  <si>
    <t>UPI/DR/533474499987/87001416/KKBK/8700141/Jaspal</t>
  </si>
  <si>
    <t>1,37,681.76</t>
  </si>
  <si>
    <t>TSV-11-0423</t>
  </si>
  <si>
    <t>UPI/DR/570101215663/MANISH ./KKBK/9560476/Transpo</t>
  </si>
  <si>
    <t>1,37,633.76</t>
  </si>
  <si>
    <t>12</t>
  </si>
  <si>
    <t>TSV-11-0424</t>
  </si>
  <si>
    <t>UPI/DR/570132724384/MANISH ./KKBK/9560476/Transpo</t>
  </si>
  <si>
    <t>1,37,529.76</t>
  </si>
  <si>
    <t>TSV-11-0425</t>
  </si>
  <si>
    <t>UPI/DR/570108046379/MANISH ./KKBK/9560476/UPI</t>
  </si>
  <si>
    <t>1,37,449.76</t>
  </si>
  <si>
    <t>TSV-11-0426</t>
  </si>
  <si>
    <t>UPI/DR/570137434844/AKASH KU/BKID/7004186/Compens</t>
  </si>
  <si>
    <t>1,36,949.76</t>
  </si>
  <si>
    <t>TSV-11-0427</t>
  </si>
  <si>
    <t>UPI/DR/570169342333/MANISH ./KKBK/9560476/Transpo</t>
  </si>
  <si>
    <t>1,36,784.76</t>
  </si>
  <si>
    <t>TSV-11-0428</t>
  </si>
  <si>
    <t>UPI/CR/501599714270/RANAJAY /BARB/saha.ra/SC3567</t>
  </si>
  <si>
    <t>1,37,342.76</t>
  </si>
  <si>
    <t>TSV-11-0429</t>
  </si>
  <si>
    <t>UPI/CR/533545336879/BHUVI N/UTIB/nagpalb/KN3817</t>
  </si>
  <si>
    <t>1,38,232.76</t>
  </si>
  <si>
    <t>T1094</t>
  </si>
  <si>
    <t>TSV-11-0430</t>
  </si>
  <si>
    <t>UPI/CR/533522293489/BHAWANI /BKID/bhavnin/UN3668</t>
  </si>
  <si>
    <t>1,38,532.76</t>
  </si>
  <si>
    <t>T1631</t>
  </si>
  <si>
    <t>TSV-11-0431</t>
  </si>
  <si>
    <t>UPI/CR/533522568256/Samant /SBIN/samantk/KN3817</t>
  </si>
  <si>
    <t>1,39,302.76</t>
  </si>
  <si>
    <t>TSV-11-0432</t>
  </si>
  <si>
    <t>UPI/CR/694828535287/SAJAL MI/PUNB/8826844/SC3567</t>
  </si>
  <si>
    <t>1,39,851.76</t>
  </si>
  <si>
    <t>TSV-11-0433</t>
  </si>
  <si>
    <t>UPI/CR/533531593724/Tina Meh/IDFB/tinameh/KN3817</t>
  </si>
  <si>
    <t>1,40,151.76</t>
  </si>
  <si>
    <t>TSV-11-0434</t>
  </si>
  <si>
    <t>UPI/DR/533614205151/Mithlesh/AIRP/7428079/Reimbur</t>
  </si>
  <si>
    <t>1,38,507.76</t>
  </si>
  <si>
    <t>TSV-11-0435</t>
  </si>
  <si>
    <t>UPI/CR/393153826273/GURPAL /KKBK/8800265/UN3668</t>
  </si>
  <si>
    <t>1,39,127.76</t>
  </si>
  <si>
    <t>T1645</t>
  </si>
  <si>
    <t>TSV-11-0436</t>
  </si>
  <si>
    <t>UPI/DR/533643105922/Arun Kum/YESB/paytmqr/Verifie</t>
  </si>
  <si>
    <t>1,38,627.76</t>
  </si>
  <si>
    <t>TSV-11-0437</t>
  </si>
  <si>
    <t>UPI/CR/570219722400/Mr MUKES/IDIB/mukeshp/SC3567</t>
  </si>
  <si>
    <t>1,41,071.76</t>
  </si>
  <si>
    <t>TSV-11-0438</t>
  </si>
  <si>
    <t>UPI/CR/115016174464/TUSHAR N/BARB/tusharr/KN3817</t>
  </si>
  <si>
    <t>1,41,491.76</t>
  </si>
  <si>
    <t>TSV-11-0439</t>
  </si>
  <si>
    <t>UPI/CR/115019437888/SARAS HA/ICIC/saras.2/PAY BY</t>
  </si>
  <si>
    <t>1,42,041.76</t>
  </si>
  <si>
    <t>TSV-11-0440</t>
  </si>
  <si>
    <t>UPI/CR/533636162571/JAGJEET /IBKL/jagjeet/UN3668</t>
  </si>
  <si>
    <t>1,42,321.76</t>
  </si>
  <si>
    <t>T1646</t>
  </si>
  <si>
    <t>TSV-11-0441</t>
  </si>
  <si>
    <t>UPI/CR/167393120767/SAURABHS/PUNB/9041549/KN3817</t>
  </si>
  <si>
    <t>1,44,946.76</t>
  </si>
  <si>
    <t>TSV-11-0442</t>
  </si>
  <si>
    <t>UPI/CR/115049317211/ASHWANI /HDFC/ashwani/UN3668</t>
  </si>
  <si>
    <t>1,47,298.76</t>
  </si>
  <si>
    <t>T1543,T1544</t>
  </si>
  <si>
    <t>TSV-11-0443</t>
  </si>
  <si>
    <t>UPI/DR/533749478716/SHANEE K/YESB/q047143/UPI</t>
  </si>
  <si>
    <t>1,47,208.76</t>
  </si>
  <si>
    <t>Tra</t>
  </si>
  <si>
    <t>TSV-11-0444</t>
  </si>
  <si>
    <t>UPI/CR/533759942915/AMIT GHO/INDB/9826470/KN3817</t>
  </si>
  <si>
    <t>1,47,708.76</t>
  </si>
  <si>
    <t>TSV-11-0445</t>
  </si>
  <si>
    <t>UPI/CR/246240463164/SAGAR/SBIN/8929381/KN3817</t>
  </si>
  <si>
    <t>1,48,008.76</t>
  </si>
  <si>
    <t>T1085</t>
  </si>
  <si>
    <t>TSV-11-0446</t>
  </si>
  <si>
    <t>UPI/CR/694917186447/ANIKA CH/KARB/9968246/KN3817</t>
  </si>
  <si>
    <t>1,48,308.76</t>
  </si>
  <si>
    <t>T1053</t>
  </si>
  <si>
    <t>TSV-11-0447</t>
  </si>
  <si>
    <t>UPI/CR/533757410286/SUMIT KU/INDB/sumit.k/SC3567</t>
  </si>
  <si>
    <t>1,48,477.76</t>
  </si>
  <si>
    <t>TSV-11-0448</t>
  </si>
  <si>
    <t>UPI/CR/933158943375/NAMRATA /PUNB/namrata/UPI</t>
  </si>
  <si>
    <t>1,48,877.76</t>
  </si>
  <si>
    <t>TSV-11-0449</t>
  </si>
  <si>
    <t>UPI/CR/570313907752/KUNAL K/KKBK/kunalro/UN3668</t>
  </si>
  <si>
    <t>1,49,404.76</t>
  </si>
  <si>
    <t>T1652</t>
  </si>
  <si>
    <t>TSV-11-0450</t>
  </si>
  <si>
    <t>UPI/CR/570397300572/KIRAN ME/INDB/ashokir/SC3567</t>
  </si>
  <si>
    <t>1,49,854.76</t>
  </si>
  <si>
    <t>TSV-11-0451</t>
  </si>
  <si>
    <t>UPI/CR/243979915732/AMIT KUM/UTIB/9213670/SC3567</t>
  </si>
  <si>
    <t>1,50,153.76</t>
  </si>
  <si>
    <t>TSV-11-0452</t>
  </si>
  <si>
    <t>UPI/CR/556924583264/SUNIL VI/HDFC/9004993/SC3567</t>
  </si>
  <si>
    <t>1,50,501.76</t>
  </si>
  <si>
    <t>TSV-11-0453</t>
  </si>
  <si>
    <t>UPI/CR/533775644960/KAUSHIK /SBIN/kaushik/KN3817</t>
  </si>
  <si>
    <t>1,51,401.76</t>
  </si>
  <si>
    <t>T1101</t>
  </si>
  <si>
    <t>TSV-11-0454</t>
  </si>
  <si>
    <t>UPI/CR/533708168664/VANDANA /UTIB/9212120/KN3817</t>
  </si>
  <si>
    <t>1,51,521.76</t>
  </si>
  <si>
    <t>TSV-11-0455</t>
  </si>
  <si>
    <t>UPI/CR/533718143493/VANDANA /UTIB/9212120/KN3817</t>
  </si>
  <si>
    <t>1,51,551.76</t>
  </si>
  <si>
    <t>TSV-11-0456</t>
  </si>
  <si>
    <t>UPI/CR/115077817057/BRIJ KIS/UBIN/brijksi/UN3668</t>
  </si>
  <si>
    <t>1,51,829.76</t>
  </si>
  <si>
    <t>T1612</t>
  </si>
  <si>
    <t>TSV-11-0457</t>
  </si>
  <si>
    <t>UPI/CR/533748355263/SANCHIT /SBIN/sanchit/SL1610</t>
  </si>
  <si>
    <t>1,52,078.76</t>
  </si>
  <si>
    <t>UC610-0618</t>
  </si>
  <si>
    <t>TSV-11-0458</t>
  </si>
  <si>
    <t>UPI/CR/533767557455/Vidhi S/SBIN/vidhisi/UN3668</t>
  </si>
  <si>
    <t>1,52,693.76</t>
  </si>
  <si>
    <t>T1656</t>
  </si>
  <si>
    <t>TSV-11-0459</t>
  </si>
  <si>
    <t>UPI/CR/648811468052/PUSHKAR /PUNB/6207095/UN3668</t>
  </si>
  <si>
    <t>1,52,806.76</t>
  </si>
  <si>
    <t>T1635</t>
  </si>
  <si>
    <t>TSV-11-0460</t>
  </si>
  <si>
    <t>UPI/CR/260149161794/Sanchit/SBIN/sanchit/UN3668</t>
  </si>
  <si>
    <t>1,53,238.76</t>
  </si>
  <si>
    <t>T1654</t>
  </si>
  <si>
    <t>TSV-11-0461</t>
  </si>
  <si>
    <t>UPI/DR/570307229473/SANDEEP /SBIN/sand909/Transpo</t>
  </si>
  <si>
    <t>1,53,086.76</t>
  </si>
  <si>
    <t>TSV-11-0462</t>
  </si>
  <si>
    <t>UPI/CR/996090053375/ABHISHEK/UTIB/8949775/SC3567</t>
  </si>
  <si>
    <t>1,53,721.76</t>
  </si>
  <si>
    <t>TSV-11-0463</t>
  </si>
  <si>
    <t>UPI/CR/232381333949/ROHIT J/KKBK/6376712/KN3817</t>
  </si>
  <si>
    <t>1,53,937.76</t>
  </si>
  <si>
    <t>TSV-11-0464</t>
  </si>
  <si>
    <t>UPI/CR/393254936582/KOEN OUD/HDFC/koen@pt/SL1610</t>
  </si>
  <si>
    <t>1,54,633.76</t>
  </si>
  <si>
    <t>UC610-0628</t>
  </si>
  <si>
    <t>TSV-11-0465</t>
  </si>
  <si>
    <t>UPI/CR/661476988450/NISHA/ICIC/9266783/UN3668</t>
  </si>
  <si>
    <t>1,56,043.76</t>
  </si>
  <si>
    <t>T1594</t>
  </si>
  <si>
    <t>TSV-11-0466</t>
  </si>
  <si>
    <t>UPI/CR/533867499881/SHIVAM /SBIN/7970549/UN3668</t>
  </si>
  <si>
    <t>1,56,719.76</t>
  </si>
  <si>
    <t>T1575</t>
  </si>
  <si>
    <t>TSV-11-0467</t>
  </si>
  <si>
    <t>UPI/CR/533867535381/SHIVAM /SBIN/7970549/UN3668</t>
  </si>
  <si>
    <t>1,57,164.76</t>
  </si>
  <si>
    <t>T1576</t>
  </si>
  <si>
    <t>TSV-11-0468</t>
  </si>
  <si>
    <t>UPI/CR/393264186080/SHIVEN A/KKBK/9999819/SC3567</t>
  </si>
  <si>
    <t>1,57,446.76</t>
  </si>
  <si>
    <t>TSV-11-0469</t>
  </si>
  <si>
    <t>UPI/CR/718759868028/ABHIVAN /HDFC/7906581/KN3817</t>
  </si>
  <si>
    <t>1,57,941.76</t>
  </si>
  <si>
    <t>T1125</t>
  </si>
  <si>
    <t>TSV-11-0470</t>
  </si>
  <si>
    <t>UPI/CR/533848608135/SAPNA M/SBIN/maithan/SC3567</t>
  </si>
  <si>
    <t>1,59,183.76</t>
  </si>
  <si>
    <t>TSV-11-0471</t>
  </si>
  <si>
    <t>UPI/DR/533854719877/DHAULA__/YESB/paytm.d/Transpo</t>
  </si>
  <si>
    <t>1,56,183.76</t>
  </si>
  <si>
    <t>TSV-11-0472</t>
  </si>
  <si>
    <t>UPI/DR/570410797674/MANISH K/UBIN/9871556/Transpo</t>
  </si>
  <si>
    <t>TSV-11-0473</t>
  </si>
  <si>
    <t>UPI/CR/694997599594/DAMANDEE/INDB/8373917/UN3668</t>
  </si>
  <si>
    <t>1,56,419.76</t>
  </si>
  <si>
    <t>T1577</t>
  </si>
  <si>
    <t>TSV-11-0474</t>
  </si>
  <si>
    <t>UPI/DR/533848816614/MANISH ./KKBK/9560476/UPI</t>
  </si>
  <si>
    <t>1,56,169.76</t>
  </si>
  <si>
    <t>TSV-11-0475</t>
  </si>
  <si>
    <t>UPI/CR/325061981016/AHAANA M/IBKL/9810240/KN3817</t>
  </si>
  <si>
    <t>1,56,519.76</t>
  </si>
  <si>
    <t>TSV-11-0476</t>
  </si>
  <si>
    <t>UPI/CR/393312716725/RAJ RANI/CNRB/7042837/SL1610</t>
  </si>
  <si>
    <t>1,56,769.76</t>
  </si>
  <si>
    <t>TSV-11-0477</t>
  </si>
  <si>
    <t>UPI/CR/570538327203/Aayush R/PPIW/aayushe/UN3668</t>
  </si>
  <si>
    <t>1,57,059.76</t>
  </si>
  <si>
    <t>T1578</t>
  </si>
  <si>
    <t>TSV-11-0478</t>
  </si>
  <si>
    <t>UPI/DR/533967668620/98910231/CNRB/9891023/Sanitat</t>
  </si>
  <si>
    <t>1,56,859.76</t>
  </si>
  <si>
    <t>Safai/Sanitation</t>
  </si>
  <si>
    <t>TSV-11-0479</t>
  </si>
  <si>
    <t>UPI/CR/295504795794/ADITYA/PUNB/adityap/UN3668</t>
  </si>
  <si>
    <t>1,57,517.76</t>
  </si>
  <si>
    <t>T1650,T1651</t>
  </si>
  <si>
    <t>TSV-11-0480</t>
  </si>
  <si>
    <t>UPI/CR/533970939152/DEEPANSH/UTIB/9268228/UN3668</t>
  </si>
  <si>
    <t>1,57,867.76</t>
  </si>
  <si>
    <t>T1655</t>
  </si>
  <si>
    <t>TSV-11-0481</t>
  </si>
  <si>
    <t>UPI/CR/393331861241/YASH KA/CNRB/9911521/UN3668</t>
  </si>
  <si>
    <t>1,58,163.76</t>
  </si>
  <si>
    <t>T1683</t>
  </si>
  <si>
    <t>TSV-11-0482</t>
  </si>
  <si>
    <t>UPI/CR/353501544478/SWATI SH/BARB/9760449/KN3817</t>
  </si>
  <si>
    <t>1,59,647.76</t>
  </si>
  <si>
    <t>T1114</t>
  </si>
  <si>
    <t>TSV-11-0483</t>
  </si>
  <si>
    <t>UPI/CR/859576703711/INDRAJEE/HDFC/8237634/SL1610</t>
  </si>
  <si>
    <t>1,60,093.76</t>
  </si>
  <si>
    <t>UC610-0626</t>
  </si>
  <si>
    <t>TSV-11-0484</t>
  </si>
  <si>
    <t>UPI/CR/108704372941/ABHAY ME/ICIC/9910234/SC3567</t>
  </si>
  <si>
    <t>1,60,263.76</t>
  </si>
  <si>
    <t>TSV-11-0485</t>
  </si>
  <si>
    <t>UPI/CR/115203206610/TARUN SH/HDFC/tarunsh/SC3567</t>
  </si>
  <si>
    <t>1,62,206.76</t>
  </si>
  <si>
    <t>TSV-11-0486</t>
  </si>
  <si>
    <t>UPI/CR/411746589304/SANJU KU/CNRB/7991166/UN3668</t>
  </si>
  <si>
    <t>1,63,165.76</t>
  </si>
  <si>
    <t>T1659,T1661</t>
  </si>
  <si>
    <t>TSV-11-0487</t>
  </si>
  <si>
    <t>UPI/CR/388962749518/Swati Th/IDFB/7876758/UN3668</t>
  </si>
  <si>
    <t>1,63,806.76</t>
  </si>
  <si>
    <t>T1669</t>
  </si>
  <si>
    <t>TSV-11-0488</t>
  </si>
  <si>
    <t>UPI/CR/534013927414/Mansi Sh/PPIW/7827001/KN3817</t>
  </si>
  <si>
    <t>1,64,106.76</t>
  </si>
  <si>
    <t>T1110</t>
  </si>
  <si>
    <t>TSV-11-0489</t>
  </si>
  <si>
    <t>UPI/DR/570644644452/ANUJ KUM/YESB/q045547/Miscell</t>
  </si>
  <si>
    <t>1,63,874.76</t>
  </si>
  <si>
    <t>TSV-11-0490</t>
  </si>
  <si>
    <t>UPI/CR/393366583769/BABU RAM/ICIC/9811372/SC3567</t>
  </si>
  <si>
    <t>1,64,143.76</t>
  </si>
  <si>
    <t>TSV-11-0491</t>
  </si>
  <si>
    <t>UPI/CR/483102156566/LAKSHYA /KKBK/lagar79/SL1610</t>
  </si>
  <si>
    <t>1,64,579.76</t>
  </si>
  <si>
    <t>UC610-0639</t>
  </si>
  <si>
    <t>TSV-11-0492</t>
  </si>
  <si>
    <t>UPI/CR/534017716953/Mansi Sh/PPIW/7827001/KN3817</t>
  </si>
  <si>
    <t>1,64,979.76</t>
  </si>
  <si>
    <t>TSV-11-0493</t>
  </si>
  <si>
    <t>UPI/CR/048145404997/Mr Kamal/IDIB/7428558/SC3567</t>
  </si>
  <si>
    <t>1,65,359.76</t>
  </si>
  <si>
    <t>TSV-11-0494</t>
  </si>
  <si>
    <t>UPI/CR/214399729269/SHAGUN A/UTIB/shagun5/SC3567</t>
  </si>
  <si>
    <t>1,66,155.76</t>
  </si>
  <si>
    <t>TSV-11-0495</t>
  </si>
  <si>
    <t>UPI/CR/393379483554/NISHA C/YESB/9761620/UN3668</t>
  </si>
  <si>
    <t>1,66,156.76</t>
  </si>
  <si>
    <t>Unknown</t>
  </si>
  <si>
    <t>TSV-11-0496</t>
  </si>
  <si>
    <t>UPI/CR/393379499448/NISHA C/YESB/9761620/Sent us</t>
  </si>
  <si>
    <t>1,67,343.76</t>
  </si>
  <si>
    <t>TSV-11-0497</t>
  </si>
  <si>
    <t>UPI/DR/570692950504/HARDEEP /KKBK/hardeep/Compens</t>
  </si>
  <si>
    <t>1,66,082.76</t>
  </si>
  <si>
    <t>TSV-11-0498</t>
  </si>
  <si>
    <t>UPI/CR/570643766206/ANAND RA/ICIC/anand.r/SC3567</t>
  </si>
  <si>
    <t>1,66,703.76</t>
  </si>
  <si>
    <t>TSV-11-0499</t>
  </si>
  <si>
    <t>UPI/CR/393383485511/MANOJ KU/BARB/9999928/SL1610</t>
  </si>
  <si>
    <t>1,66,952.76</t>
  </si>
  <si>
    <t>TSV-11-0500</t>
  </si>
  <si>
    <t>UPI/CR/695120238334/DAMANDEE/INDB/8373917/UN3668</t>
  </si>
  <si>
    <t>1,67,232.76</t>
  </si>
  <si>
    <t>T1682</t>
  </si>
  <si>
    <t>TSV-11-0501</t>
  </si>
  <si>
    <t>UPI/DR/570690467263/MANISH ./KKBK/9560476/Transpo</t>
  </si>
  <si>
    <t>1,66,932.76</t>
  </si>
  <si>
    <t>TSV-11-0502</t>
  </si>
  <si>
    <t>UPI/DR/570680684395/ZOYA KHA/KKBK/8920759/Transpo</t>
  </si>
  <si>
    <t>1,66,682.76</t>
  </si>
  <si>
    <t>TSV-11-0503</t>
  </si>
  <si>
    <t>UPI/CR/534102965031/MONIKA K/UTIB/9999833/KN3817</t>
  </si>
  <si>
    <t>1,67,032.76</t>
  </si>
  <si>
    <t>TSV-11-0504</t>
  </si>
  <si>
    <t>UPI/CR/534118013653/PRIYAM K/ICIC/priyamk/SL1610</t>
  </si>
  <si>
    <t>1,67,896.76</t>
  </si>
  <si>
    <t>UC610-0630</t>
  </si>
  <si>
    <t>TSV-11-0505</t>
  </si>
  <si>
    <t>UPI/CR/570717398817/VAIBHAV /SBIN/7082295/SL1610</t>
  </si>
  <si>
    <t>1,68,421.76</t>
  </si>
  <si>
    <t>UC610-0643</t>
  </si>
  <si>
    <t>TSV-11-0506</t>
  </si>
  <si>
    <t>UPI/DR/534192907016/Mohan K/FINO/9835550/Reimbur</t>
  </si>
  <si>
    <t>1,66,672.76</t>
  </si>
  <si>
    <t>TSV-11-0507</t>
  </si>
  <si>
    <t>UPI/CR/534129207122/Mr JOGIN/MAHB/joginde/SC3567</t>
  </si>
  <si>
    <t>1,66,971.76</t>
  </si>
  <si>
    <t>TSV-11-0508</t>
  </si>
  <si>
    <t>UPI/CR/534144522174/OJASWIN /PUNB/ojaswin/SL1610</t>
  </si>
  <si>
    <t>1,68,161.76</t>
  </si>
  <si>
    <t>UC610-0663</t>
  </si>
  <si>
    <t>TSV-11-0509</t>
  </si>
  <si>
    <t>UPI/CR/534158015203/Amit Kum/SBIN/9871250/KN3817</t>
  </si>
  <si>
    <t>1,68,821.76</t>
  </si>
  <si>
    <t>TSV-11-0510</t>
  </si>
  <si>
    <t>NEFT/IDFBH25341448453/Pooja Sood/INDB0000724/Shop Rent Dec2025 SC3567</t>
  </si>
  <si>
    <t>1,28,701.76</t>
  </si>
  <si>
    <t>TSV-11-0511</t>
  </si>
  <si>
    <t>NEFT/IDFBH25341448455/Kaushalya Devi/CNRB0002379/Shop Rent Dec2025 UN3668</t>
  </si>
  <si>
    <t>1,01,701.76</t>
  </si>
  <si>
    <t>TSV-11-0512</t>
  </si>
  <si>
    <t>NEFT/IDFBH25341448456/Subhash Chander/HDFC0001562/Shop Rent Dec2025 KN3817</t>
  </si>
  <si>
    <t>TSV-11-0513</t>
  </si>
  <si>
    <t>NEFT/IDFBH25341448458/Om Prakash Duhan/SBIN0011444/Shop Rent Dec2025 SL1610</t>
  </si>
  <si>
    <t>TSV-11-0514</t>
  </si>
  <si>
    <t>UPI/CR/534185306604/UTKARSH /SBIN/utkarsh/SC3567</t>
  </si>
  <si>
    <t>TSV-11-0515</t>
  </si>
  <si>
    <t>NEFT/IDFBH25341450627/Habib Ali Sheikh/ICIC0000004/Salary Nov25 Habib TSV001</t>
  </si>
  <si>
    <t>TSV-11-0516</t>
  </si>
  <si>
    <t>NEFT/IDFBH25341450628/Mohd Dilkash/PUNB0488200/Salary Nov25 Dilkash TSV001</t>
  </si>
  <si>
    <t>TSV-11-0517</t>
  </si>
  <si>
    <t>NEFT/IDFBH25341450629/Naveen Sharma/IOBA0002367/Salary Nov25 Naveen TSV001</t>
  </si>
  <si>
    <t>Naveen</t>
  </si>
  <si>
    <t>TSV-11-0518</t>
  </si>
  <si>
    <t>NEFT/IDFBH25341450630/Adnan Ali Sheikh/ICIC0000004/Salary Nov25 Adnan TSV001</t>
  </si>
  <si>
    <t>TSV-11-0519</t>
  </si>
  <si>
    <t>UPI/CR/115275563821/JATINPAL/HDFC/jatinpa/SC3567</t>
  </si>
  <si>
    <t>TSV-11-0520</t>
  </si>
  <si>
    <t>UPI/CR/115278457619/DIVYANSH/KKBK/divyans/SC3567</t>
  </si>
  <si>
    <t>TSV-11-0521</t>
  </si>
  <si>
    <t>UPI/CR/115283880935/PIYUSH M/HDFC/erpiyus/SC3567</t>
  </si>
  <si>
    <t>TSV-11-0522</t>
  </si>
  <si>
    <t>UPI/CR/317780505075/ANTARA B/HDFC/banerje/SC3567</t>
  </si>
  <si>
    <t>TSV-11-0523</t>
  </si>
  <si>
    <t>UPI/CR/534115357807/MEGHA K/UTIB/megha.k/SC3567</t>
  </si>
  <si>
    <t>TSV-11-0524</t>
  </si>
  <si>
    <t>UPI/DR/534120436888/ZOYA KHA/KKBK/8920759/Advance</t>
  </si>
  <si>
    <t>Advance Salary Mohsin</t>
  </si>
  <si>
    <t>TSV-11-0525</t>
  </si>
  <si>
    <t>UPI/DR/534108955198/Mithlesh/AIRP/7428079/Advance</t>
  </si>
  <si>
    <t>Advance Salary Ankit</t>
  </si>
  <si>
    <t>TSV-11-0526</t>
  </si>
  <si>
    <t>UPI/CR/298368861293/Mayank /SBIN/6398814/KN3817</t>
  </si>
  <si>
    <t>T1096</t>
  </si>
  <si>
    <t>TSV-11-0527</t>
  </si>
  <si>
    <t>UPI/CR/534293527865/PRASHANT/HDFC/7045670/UN3668</t>
  </si>
  <si>
    <t>T1708</t>
  </si>
  <si>
    <t>TSV-11-0528</t>
  </si>
  <si>
    <t>UPI/CR/534299280099/INDER JE/CNRB/inderje/SC3567</t>
  </si>
  <si>
    <t>UC567-1080</t>
  </si>
  <si>
    <t>TSV-11-0529</t>
  </si>
  <si>
    <t>UPI/CR/984319340364/NIMAI CH/SBIN/9804060/SL1610</t>
  </si>
  <si>
    <t>UC610-0620</t>
  </si>
  <si>
    <t>TSV-11-0530</t>
  </si>
  <si>
    <t>UPI/CR/758555326967/AMAN K/KKBK/6398027/SC3567</t>
  </si>
  <si>
    <t>SC567-1063</t>
  </si>
  <si>
    <t>TSV-11-0531</t>
  </si>
  <si>
    <t>UPI/CR/393472051902/SIMRAN/KKBK/7827569/UN3668</t>
  </si>
  <si>
    <t>T1444</t>
  </si>
  <si>
    <t>TSV-11-0532</t>
  </si>
  <si>
    <t>UPI/CR/559724122924/VINAY KU/PUNB/8700704/UN3668</t>
  </si>
  <si>
    <t>TSV-11-0533</t>
  </si>
  <si>
    <t>UPI/CR/695223622797/NISHANT /HDFC/bnishu2/UN3668</t>
  </si>
  <si>
    <t>T1677</t>
  </si>
  <si>
    <t>TSV-11-0534</t>
  </si>
  <si>
    <t>UPI/CR/570855785252/Rishabh /PPIW/rishabh/UPI Pay</t>
  </si>
  <si>
    <t>T1050</t>
  </si>
  <si>
    <t>TSV-11-0535</t>
  </si>
  <si>
    <t>UPI/CR/525076648721/KUSHAL A/ICIC/karorai/SC3567</t>
  </si>
  <si>
    <t>UC566-1066</t>
  </si>
  <si>
    <t>TSV-11-0536</t>
  </si>
  <si>
    <t>UPI/CR/393491431373/Somil Sr/INDB/7838080/SC3567</t>
  </si>
  <si>
    <t>UC567-1008</t>
  </si>
  <si>
    <t>TSV-11-0537</t>
  </si>
  <si>
    <t>UPI/DR/570815930786/Amazon P/YESB/amazonp/You are</t>
  </si>
  <si>
    <t>TSV-11-0538</t>
  </si>
  <si>
    <t>UPI/DR/570958054385/NAIN SIN/YESB/paytmqr/Transpo</t>
  </si>
  <si>
    <t>TSV-11-0539</t>
  </si>
  <si>
    <t>UPI/DR/570952167031/Google I/ICIC/gpayrec/UPI</t>
  </si>
  <si>
    <t>TSV-11-0540</t>
  </si>
  <si>
    <t>UPI/CR/115365723567/ANKUSH P/PUNB/ankushp/UN3668</t>
  </si>
  <si>
    <t>T1697</t>
  </si>
  <si>
    <t>TSV-11-0541</t>
  </si>
  <si>
    <t>UPI/CR/534373053389/ANKIT P/SBIN/arjunpa/UN3668</t>
  </si>
  <si>
    <t>T1672</t>
  </si>
  <si>
    <t>TSV-11-0542</t>
  </si>
  <si>
    <t>UPI/CR/964533607543/Swati Th/IDFB/7876758/UN3668</t>
  </si>
  <si>
    <t>T1695</t>
  </si>
  <si>
    <t>TSV-11-0543</t>
  </si>
  <si>
    <t>UPI/CR/534399099586/Sanjeev /SBIN/9968703/KN3817</t>
  </si>
  <si>
    <t>T1147</t>
  </si>
  <si>
    <t>TSV-11-0544</t>
  </si>
  <si>
    <t>UPI/CR/570902738030/AMIT SHR/HDFC/9643456/SC3567</t>
  </si>
  <si>
    <t>UC567-1041</t>
  </si>
  <si>
    <t>TSV-11-0545</t>
  </si>
  <si>
    <t>UPI/CR/570963384190/Naveen /IOBA/navinma/SC3567</t>
  </si>
  <si>
    <t>UC567-1083</t>
  </si>
  <si>
    <t>TSV-11-0546</t>
  </si>
  <si>
    <t>UPI/CR/393530242980/Ms Kusum/IDIB/9971327/SC3567</t>
  </si>
  <si>
    <t>UC567-1026</t>
  </si>
  <si>
    <t>TSV-11-0547</t>
  </si>
  <si>
    <t>UPI/CR/534382765419/Guntaas /SBIN/gujral./SC3567</t>
  </si>
  <si>
    <t>UC567-1063</t>
  </si>
  <si>
    <t>TSV-11-0548</t>
  </si>
  <si>
    <t>UPI/CR/534300421824/Narendra/SBIN/7970691/SC3567</t>
  </si>
  <si>
    <t>UC567-1039</t>
  </si>
  <si>
    <t>TSV-11-0549</t>
  </si>
  <si>
    <t>UPI/CR/534336359836/DEEPAK /UTIB/9990175/UN3668</t>
  </si>
  <si>
    <t>T1648</t>
  </si>
  <si>
    <t>TSV-11-0550</t>
  </si>
  <si>
    <t>UPI/CR/695289431723/PUSHKAR /PUNB/6207095/UN3668</t>
  </si>
  <si>
    <t>T1679</t>
  </si>
  <si>
    <t>TSV-11-0551</t>
  </si>
  <si>
    <t>UPI/CR/740749671453/SMITA T/SBIN/sbi8860/SC3567</t>
  </si>
  <si>
    <t>UC567-1067</t>
  </si>
  <si>
    <t>TSV-11-0552</t>
  </si>
  <si>
    <t>IMPS/534320627052/THESHAWVENTURES/SBIN00A6446/4595/ReqPay</t>
  </si>
  <si>
    <t>N/A</t>
  </si>
  <si>
    <t>TSV-11-0553</t>
  </si>
  <si>
    <t>NEFT/IDFBH25343846493/Mohsin/SBIN0001679/Salary Nov25 Mohsin UN3668</t>
  </si>
  <si>
    <t>TSV-11-0554</t>
  </si>
  <si>
    <t>NEFT/IDFBH25343846494/Suraj Mandal/PUNB0405300/Salary Nov25 Suraj KN3817</t>
  </si>
  <si>
    <t>TSV-11-0555</t>
  </si>
  <si>
    <t>NEFT/IDFBH25343846495/Deepak Kumar/IPOS0000001/Salary Nov25 Deepak UN3668</t>
  </si>
  <si>
    <t>Salary Deepak</t>
  </si>
  <si>
    <t>TSV-11-0556</t>
  </si>
  <si>
    <t>NEFT/IDFBH25343846496/Jitendra Singh/IOBA0003714/Salary Nov25 Jitender SC3567</t>
  </si>
  <si>
    <t>Salary Jitender</t>
  </si>
  <si>
    <t>TSV-11-0557</t>
  </si>
  <si>
    <t>NEFT/IDFBH25343846497/Ankit Kumar/PUNB0307200/Salary Nov25 Ankit KN3817</t>
  </si>
  <si>
    <t>Salary Ankit</t>
  </si>
  <si>
    <t>TSV-11-0558</t>
  </si>
  <si>
    <t>UPI/CR/108727735479/AARTI SH/ICIC/9717336/UN3668</t>
  </si>
  <si>
    <t>T1600</t>
  </si>
  <si>
    <t>TSV-11-0559</t>
  </si>
  <si>
    <t>UPI/CR/534391885899/Arpit S/SBIN/arpitsi/SC3567</t>
  </si>
  <si>
    <t>UC567-1091</t>
  </si>
  <si>
    <t>TSV-11-0560</t>
  </si>
  <si>
    <t>UPI/CR/824838070216/MANOJ K/KKBK/8440033/SC3567</t>
  </si>
  <si>
    <t>UC567-1084</t>
  </si>
  <si>
    <t>TSV-11-0561</t>
  </si>
  <si>
    <t>UPI/CR/115406491521/AMIT NAR/INDB/snarang/UN3668</t>
  </si>
  <si>
    <t>T1593</t>
  </si>
  <si>
    <t>TSV-11-0562</t>
  </si>
  <si>
    <t>UPI/CR/393561137216/MOHIT CH/PUNB/9891465/SC3567</t>
  </si>
  <si>
    <t>UC567-1029</t>
  </si>
  <si>
    <t>TSV-11-0563</t>
  </si>
  <si>
    <t>UPI/CR/534422481607/SARANSH /UTIB/saransh/SL1610</t>
  </si>
  <si>
    <t>UC610-0634</t>
  </si>
  <si>
    <t>TSV-11-0564</t>
  </si>
  <si>
    <t>UPI/CR/534412011131/SATHWIK /CNRB/sathwik/SL1610</t>
  </si>
  <si>
    <t>UC610-0656</t>
  </si>
  <si>
    <t>TSV-11-0565</t>
  </si>
  <si>
    <t>UPI/CR/393567684188/KAPIL B/SBIN/abkbssr/KN3817</t>
  </si>
  <si>
    <t>T1146</t>
  </si>
  <si>
    <t>TSV-11-0566</t>
  </si>
  <si>
    <t>UPI/DR/534459648130/Kaveri F/YESB/paytmqr/Transpo</t>
  </si>
  <si>
    <t>TSV-11-0567</t>
  </si>
  <si>
    <t>UPI/CR/534418029062/VAIBHAV /SBIN/vaibhav/SL1610</t>
  </si>
  <si>
    <t>UC610-0650</t>
  </si>
  <si>
    <t>TSV-11-0568</t>
  </si>
  <si>
    <t>UPI/CR/790805891347/SHREYASH/CNRB/9546127/UN3668</t>
  </si>
  <si>
    <t>T1694</t>
  </si>
  <si>
    <t>TSV-11-0569</t>
  </si>
  <si>
    <t>UPI/DR/534429242745/Guru Kru/YESB/paytmqr/LPG SC3</t>
  </si>
  <si>
    <t>TSV-11-0570</t>
  </si>
  <si>
    <t>UPI/CR/376564610779/NARENDER/PUNB/9873267/SC3567</t>
  </si>
  <si>
    <t>UC567-1078</t>
  </si>
  <si>
    <t>TSV-11-0571</t>
  </si>
  <si>
    <t>UPI/CR/218196550580/SANDEEP /SBIN/tyagisa/SL1610</t>
  </si>
  <si>
    <t>UC610-0653</t>
  </si>
  <si>
    <t>TSV-11-0572</t>
  </si>
  <si>
    <t>UPI/CR/630293396649/Ashutosh/SBIN/7985521/SL1610</t>
  </si>
  <si>
    <t>UC610-0623</t>
  </si>
  <si>
    <t>TSV-11-0573</t>
  </si>
  <si>
    <t>UPI/CR/115431302338/GAURAV A/KVBL/gaurava/SC3567</t>
  </si>
  <si>
    <t>UC567-1062</t>
  </si>
  <si>
    <t>TSV-11-0574</t>
  </si>
  <si>
    <t>IMPS/534421767097/THESHAWVENTURES/SBIN00A6446/4595/ReqPay</t>
  </si>
  <si>
    <t>TSV-11-0575</t>
  </si>
  <si>
    <t>NEFT/IDFBH25344065989/Sanjay/FINO0001129/Salary Nov25 Sanjay UN3668</t>
  </si>
  <si>
    <t>Salary Sanjay</t>
  </si>
  <si>
    <t>TSV-11-0576</t>
  </si>
  <si>
    <t>NEFT/IDFBH25344065992/Kamal Singh/AIRP0000001/Salary Nov25 Kamal SC3567</t>
  </si>
  <si>
    <t>TSV-11-0577</t>
  </si>
  <si>
    <t>UPI/CR/393615520610/SHANKAR /CNRB/8800886/UN3668</t>
  </si>
  <si>
    <t>T1665</t>
  </si>
  <si>
    <t>TSV-11-0578</t>
  </si>
  <si>
    <t>UPI/CR/571114125562/APPU DEV/UBIN/appudev/KN3817</t>
  </si>
  <si>
    <t>TSV-11-0579</t>
  </si>
  <si>
    <t>UPI/CR/535918596029/RUCHIKA /INDB/9113119/UN3668</t>
  </si>
  <si>
    <t>T1706</t>
  </si>
  <si>
    <t>TSV-11-0580</t>
  </si>
  <si>
    <t>UPI/CR/571106944316/NAMITA R/CNRB/namitar/KN3817</t>
  </si>
  <si>
    <t>T1079</t>
  </si>
  <si>
    <t>TSV-11-0581</t>
  </si>
  <si>
    <t>UPI/CR/571170104852/Ken Kane/PPIW/jeet896/UN3668</t>
  </si>
  <si>
    <t>T1670</t>
  </si>
  <si>
    <t>TSV-11-0582</t>
  </si>
  <si>
    <t>UPI/CR/296560974174/DURGA DE/UBIN/8879972/SC3567</t>
  </si>
  <si>
    <t>UC567-1097</t>
  </si>
  <si>
    <t>TSV-11-0583</t>
  </si>
  <si>
    <t>UPI/CR/393634456139/SHUBHAM /ICIC/8861503/SL1610</t>
  </si>
  <si>
    <t>UC610-0635</t>
  </si>
  <si>
    <t>TSV-11-0584</t>
  </si>
  <si>
    <t>UPI/CR/695402044137/CHANCHAL/UTKS/9911956/SL1610</t>
  </si>
  <si>
    <t>UC610-0637</t>
  </si>
  <si>
    <t>TSV-11-0585</t>
  </si>
  <si>
    <t>UPI/CR/534519807864/ROHIT KU/KKBK/7042115/UN3668</t>
  </si>
  <si>
    <t>T1235</t>
  </si>
  <si>
    <t>TSV-11-0586</t>
  </si>
  <si>
    <t>UPI/DR/571100156668/UMASHANK/YESB/q479708/Staff W</t>
  </si>
  <si>
    <t>TSV-11-0587</t>
  </si>
  <si>
    <t>UPI/CR/115489554519/DIVYANSH/KKBK/divyans/SC3567</t>
  </si>
  <si>
    <t>UC567-1061</t>
  </si>
  <si>
    <t>TSV-11-0588</t>
  </si>
  <si>
    <t>IMPS-OPM/534521699249/PRABHA RANI WO SH SUSHIL KUMAR/PUNB0151900/7951/SalaryNov25ShubhamUN36</t>
  </si>
  <si>
    <t>TSV-11-0589</t>
  </si>
  <si>
    <t>NEFT RETURN/IDFBH25344065992/Any Other Reason</t>
  </si>
  <si>
    <t>TSV-11-0590</t>
  </si>
  <si>
    <t>UPI/CR/534695270792/AMRITA J/YESB/amritax/KN3817</t>
  </si>
  <si>
    <t>TSV-11-0591</t>
  </si>
  <si>
    <t>UPI/CR/534652392192/SNEH SH/UTIB/snehd19/SL1610</t>
  </si>
  <si>
    <t>UC610-0647</t>
  </si>
  <si>
    <t>TSV-11-0592</t>
  </si>
  <si>
    <t>UPI/DR/534657704419/Google I/UTIB/gpay-ut/UPI</t>
  </si>
  <si>
    <t>TSV-11-0593</t>
  </si>
  <si>
    <t>UPI/CR/393680138738/Ayush Se/IDFB/9717268/KN3817</t>
  </si>
  <si>
    <t>T1157</t>
  </si>
  <si>
    <t>TSV-11-0594</t>
  </si>
  <si>
    <t>UPI/CR/534616162207/SWARNIMA/BARB/sswarni/KN3817</t>
  </si>
  <si>
    <t>T1163,T1164</t>
  </si>
  <si>
    <t>TSV-11-0595</t>
  </si>
  <si>
    <t>UPI/CR/571207625779/OJASWIN /PUNB/ojaswin/SC3567</t>
  </si>
  <si>
    <t>UC567-1075</t>
  </si>
  <si>
    <t>TSV-11-0596</t>
  </si>
  <si>
    <t>UPI/CR/534679106330/DIVYANSH/HDFC/9999080/KN3817</t>
  </si>
  <si>
    <t>TSV-11-0597</t>
  </si>
  <si>
    <t>UPI/CR/883275604182/SAHIL VE/UCBA/8690050/UN3668</t>
  </si>
  <si>
    <t>T1689</t>
  </si>
  <si>
    <t>TSV-11-0598</t>
  </si>
  <si>
    <t>NEFT/IDFBH25346409215/Mohsin Khan/SBIN0001679/Salary Nov25 Mohsin UN3668</t>
  </si>
  <si>
    <t>TSV-11-0599</t>
  </si>
  <si>
    <t>NEFT/IDFBH25346409216/Piyush Tag/UTIB0000540/Salary Nov25 Sanjay SC3567</t>
  </si>
  <si>
    <t>TSV-11-0600</t>
  </si>
  <si>
    <t>NEFT/IDFBH25346409218/Kamal Singh/KKBK0000287/Salary Nov25 Kamal SL1610</t>
  </si>
  <si>
    <t>TSV-11-0601</t>
  </si>
  <si>
    <t>UPI/DR/534630635846/MANOJ KU/CNRB/mkumar5/Salary</t>
  </si>
  <si>
    <t>Water Pump Operator</t>
  </si>
  <si>
    <t>TSV-11-0602</t>
  </si>
  <si>
    <t>UPI/CR/534678879782/AKHIL SO/PUNB/9728929/SC3567</t>
  </si>
  <si>
    <t>UC567-1076</t>
  </si>
  <si>
    <t>TSV-11-0603</t>
  </si>
  <si>
    <t>UPI/CR/571277233523/MANAV S/UTIB/manavsa/KN3817</t>
  </si>
  <si>
    <t>TSV-11-0604</t>
  </si>
  <si>
    <t>UPI/CR/534628121299/Neeraj /SBIN/neeraj2/KN3817</t>
  </si>
  <si>
    <t>T1171,T1172</t>
  </si>
  <si>
    <t>TSV-11-0605</t>
  </si>
  <si>
    <t>UPI/DR/534663933507/SANJAY K/UTIB/jmvdsan/Station</t>
  </si>
  <si>
    <t>TSV-11-0606</t>
  </si>
  <si>
    <t>UPI/CR/534630632142/VISHAL/CNRB/9354368/KN3817</t>
  </si>
  <si>
    <t>TSV-11-0607</t>
  </si>
  <si>
    <t>UPI/CR/534679340898/Izaz Ahm/IDFB/izaz.1@/UN3668</t>
  </si>
  <si>
    <t>T1716</t>
  </si>
  <si>
    <t>TSV-11-0608</t>
  </si>
  <si>
    <t>UPI/CR/534748001223/Mrs USHA/CBIN/urvishi/SL1610</t>
  </si>
  <si>
    <t>UC610-0646</t>
  </si>
  <si>
    <t>TSV-11-0609</t>
  </si>
  <si>
    <t>UPI/CR/534709370101/SAUMYA C/ICIC/sach.cg/UN3668</t>
  </si>
  <si>
    <t>T1603</t>
  </si>
  <si>
    <t>TSV-11-0610</t>
  </si>
  <si>
    <t>UPI/CR/534768475849/SANDHYA /SBIN/sharma2/SL1610</t>
  </si>
  <si>
    <t>UC610-0644</t>
  </si>
  <si>
    <t>TSV-11-0611</t>
  </si>
  <si>
    <t>UPI/CR/571341380501/SUNIL B/KKBK/sbsunil/KN3817</t>
  </si>
  <si>
    <t>T1057,T1039</t>
  </si>
  <si>
    <t>TSV-11-0612</t>
  </si>
  <si>
    <t>UPI/CR/571370094387/SUNIL B/KKBK/sbsunil/KN3817</t>
  </si>
  <si>
    <t>TSV-11-0613</t>
  </si>
  <si>
    <t>UPI/CR/534764339999/VIKAS RA/HDFC/9582229/SC3567</t>
  </si>
  <si>
    <t>UC567-1100</t>
  </si>
  <si>
    <t>TSV-11-0614</t>
  </si>
  <si>
    <t>UPI/CR/393721891263/MR HARDI/SCBL/9602650/SL1610</t>
  </si>
  <si>
    <t>TSV-11-0615</t>
  </si>
  <si>
    <t>UPI/CR/115564243454/Miss KAS/CBIN/dhiverk/UN3668</t>
  </si>
  <si>
    <t>T1702</t>
  </si>
  <si>
    <t>TSV-11-0616</t>
  </si>
  <si>
    <t>UPI/DR/102209078647/Blinkit/HDFC/blinkit/Pay via</t>
  </si>
  <si>
    <t>TSV-11-0617</t>
  </si>
  <si>
    <t>UPI/DR/534750089186/Mr SURES/IDIB/7052721/LPG KN3</t>
  </si>
  <si>
    <t>TSV-11-0618</t>
  </si>
  <si>
    <t>UPI/CR/115567269284/SAPTARSH/HDFC/2001sap/SL1610</t>
  </si>
  <si>
    <t>UC610-0654</t>
  </si>
  <si>
    <t>TSV-11-0619</t>
  </si>
  <si>
    <t>UPI/DR/534710682655/MANJU LA/UBIN/8470941/Salary</t>
  </si>
  <si>
    <t>Maid Salary</t>
  </si>
  <si>
    <t>TSV-11-0620</t>
  </si>
  <si>
    <t>UPI/CR/393733031690/MOHIT RA/PUNB/9717758/SC3567</t>
  </si>
  <si>
    <t>UC567-1054</t>
  </si>
  <si>
    <t>TSV-11-0621</t>
  </si>
  <si>
    <t>UPI/CR/571349104958/APPU DEV/UBIN/appudev/KN3817</t>
  </si>
  <si>
    <t>T1173</t>
  </si>
  <si>
    <t>TSV-11-0622</t>
  </si>
  <si>
    <t>UPI/CR/534768837613/YUGAL SA/HDFC/9999599/KN3817</t>
  </si>
  <si>
    <t>T1206</t>
  </si>
  <si>
    <t>TSV-11-0623</t>
  </si>
  <si>
    <t>UPI/CR/914473906237/RITTIM D/ICIC/7558203/SC3567</t>
  </si>
  <si>
    <t>UC567-1104</t>
  </si>
  <si>
    <t>TSV-11-0624</t>
  </si>
  <si>
    <t>UPI/CR/393744519967/SHUBHAM /ICIC/8861503/SL1610</t>
  </si>
  <si>
    <t>UC610-0665</t>
  </si>
  <si>
    <t>TSV-11-0625</t>
  </si>
  <si>
    <t>UPI/CR/534771150255/SHANTANU/HDFC/9902494/SL1610</t>
  </si>
  <si>
    <t>UC610-0669</t>
  </si>
  <si>
    <t>TSV-11-0626</t>
  </si>
  <si>
    <t>UPI/CR/457508023475/Honey Na/AIRP/honey.0/UPI</t>
  </si>
  <si>
    <t>T1715</t>
  </si>
  <si>
    <t>TSV-11-0627</t>
  </si>
  <si>
    <t>UPI/CR/534876698060/ASHISH B/HDFC/8447120/UN3668</t>
  </si>
  <si>
    <t>T1686</t>
  </si>
  <si>
    <t>TSV-11-0628</t>
  </si>
  <si>
    <t>UPI/CR/695544857136/SANDEEP /ICIC/9996066/SC3567</t>
  </si>
  <si>
    <t>UC567-1014</t>
  </si>
  <si>
    <t>TSV-11-0629</t>
  </si>
  <si>
    <t>UPI/CR/534812631531/NEELAM N/UTIB/9560830/KN3817</t>
  </si>
  <si>
    <t>TSV-11-0630</t>
  </si>
  <si>
    <t>UPI/CR/534881143686/RVS TECH/UTIB/9990175/UN3668</t>
  </si>
  <si>
    <t>TSV-11-0631</t>
  </si>
  <si>
    <t>UPI/CR/534862811280/SUNIL/UTIB/9999085/UN3668</t>
  </si>
  <si>
    <t>T1699</t>
  </si>
  <si>
    <t>TSV-11-0632</t>
  </si>
  <si>
    <t>UPI/CR/115617641143/PARNIKA /HDFC/rastogi/KN3817</t>
  </si>
  <si>
    <t>TSV-11-0633</t>
  </si>
  <si>
    <t>UPI/CR/256914417642/RAHUL NA/HDFC/rnarang/SL1610</t>
  </si>
  <si>
    <t>UC610-0515</t>
  </si>
  <si>
    <t>TSV-11-0634</t>
  </si>
  <si>
    <t>UPI/CR/621632964444/RAHUL NA/HDFC/rnarang/SL1610</t>
  </si>
  <si>
    <t>UC610-0629,UC610-0666</t>
  </si>
  <si>
    <t>TSV-11-0635</t>
  </si>
  <si>
    <t>UPI/CR/534885886118/ASMITA J/BKID/jhatith/SL1610</t>
  </si>
  <si>
    <t>UC610-0645</t>
  </si>
  <si>
    <t>TSV-11-0636</t>
  </si>
  <si>
    <t>ATM/CASH DEPOSIT/0220/Janakpuri Block D BranDelhi</t>
  </si>
  <si>
    <t>Sales Cash</t>
  </si>
  <si>
    <t>TSV-11-0637</t>
  </si>
  <si>
    <t>UPI/DR/571425076076/VINAY KU/PUNB/8700704/Salary</t>
  </si>
  <si>
    <t>Salary Vinay</t>
  </si>
  <si>
    <t>TSV-11-0638</t>
  </si>
  <si>
    <t>UPI/CR/666374553485/Kumar Aa/AUBL/kumaraa/SC3567</t>
  </si>
  <si>
    <t>UC567-1045</t>
  </si>
  <si>
    <t>TSV-11-0639</t>
  </si>
  <si>
    <t>UPI/CR/110256335509/RAVI KU/SBIN/8510013/UN3668</t>
  </si>
  <si>
    <t>T1704</t>
  </si>
  <si>
    <t>TSV-11-0640</t>
  </si>
  <si>
    <t>UPI/CR/571446988851/SANCHIT /ICIC/sanchit/SC3567</t>
  </si>
  <si>
    <t>UC567-1053</t>
  </si>
  <si>
    <t>TSV-11-0641</t>
  </si>
  <si>
    <t>UPI/CR/571431549066/RATLAN T/UBIN/9492240/KN3817</t>
  </si>
  <si>
    <t>T1149</t>
  </si>
  <si>
    <t>TSV-11-0642</t>
  </si>
  <si>
    <t>UPI/CR/908021582014/Shubham /SBIN/shubham/UN3668</t>
  </si>
  <si>
    <t>T1712</t>
  </si>
  <si>
    <t>TSV-11-0643</t>
  </si>
  <si>
    <t>UPI/CR/988555606153/JITENDRA/HDFC/jitendr/UN3668</t>
  </si>
  <si>
    <t>T1615</t>
  </si>
  <si>
    <t>TSV-11-0644</t>
  </si>
  <si>
    <t>UPI/CR/836404922955/ATUL KUM/UTIB/atulkum/UN3668</t>
  </si>
  <si>
    <t>T1692</t>
  </si>
  <si>
    <t>TSV-11-0645</t>
  </si>
  <si>
    <t>UPI/CR/695582502050/GURPAL /KKBK/8800265/UN3668</t>
  </si>
  <si>
    <t>T1728</t>
  </si>
  <si>
    <t>TSV-11-0646</t>
  </si>
  <si>
    <t>Charge:AMB_charges/Inv0611251943525421/30-NOV-2025/</t>
  </si>
  <si>
    <t>TSV-11-0647</t>
  </si>
  <si>
    <t>CGST on Charge:AMB_charges/Inv0611251943525421/30-NOV-2025/</t>
  </si>
  <si>
    <t>TSV-11-0648</t>
  </si>
  <si>
    <t>SGST on Charge:AMB_charges/Inv0611251943525421/30-NOV-2025/</t>
  </si>
  <si>
    <t>TSV-11-0649</t>
  </si>
  <si>
    <t>UPI/DR/534985729452/M/S.UCON/ICIC/uconcep/TShirt</t>
  </si>
  <si>
    <t>T-Shirt</t>
  </si>
  <si>
    <t>TSV-11-0650</t>
  </si>
  <si>
    <t>UPI/CR/571511631365/Anand Ku/IDFB/7791816/SL1610</t>
  </si>
  <si>
    <t>UC610-0657</t>
  </si>
  <si>
    <t>TSV-11-0651</t>
  </si>
  <si>
    <t>UPI/CR/534991067433/Parv Go/SBIN/9729944/UN3668</t>
  </si>
  <si>
    <t>T1709</t>
  </si>
  <si>
    <t>TSV-11-0652</t>
  </si>
  <si>
    <t>UPI/CR/534991201077/NIKHIL K/HDFC/9811843/SL1610</t>
  </si>
  <si>
    <t>UC610-0658</t>
  </si>
  <si>
    <t>TSV-11-0653</t>
  </si>
  <si>
    <t>UPI/CR/115660700868/KRITIK A/HDFC/kritika/SL1610</t>
  </si>
  <si>
    <t>UC610-0651</t>
  </si>
  <si>
    <t>TSV-11-0654</t>
  </si>
  <si>
    <t>UPI/CR/108764335643/ANIRUDH /ICIC/anirudh/na</t>
  </si>
  <si>
    <t>UC610-0662</t>
  </si>
  <si>
    <t>TSV-11-0655</t>
  </si>
  <si>
    <t>UPI/CR/534933341598/MURALI M/ICIC/muralin/SL1610</t>
  </si>
  <si>
    <t>UC610-0664</t>
  </si>
  <si>
    <t>TSV-11-0656</t>
  </si>
  <si>
    <t>UPI/CR/115667408548/RIDIN DA/HDFC/rhydber/SL1610</t>
  </si>
  <si>
    <t>UC610-0652</t>
  </si>
  <si>
    <t>TSV-11-0657</t>
  </si>
  <si>
    <t>UPI/CR/571541379135/PRIYA GI/UTIB/gillpri/SC3567</t>
  </si>
  <si>
    <t>TSV-11-0658</t>
  </si>
  <si>
    <t>UPI/CR/115674861887/PREETI K/HDFC/preetis/SC3567</t>
  </si>
  <si>
    <t>TSV-11-0659</t>
  </si>
  <si>
    <t>UPI/CR/988879819595/ABHAY KU/BARB/8115483/UN3668</t>
  </si>
  <si>
    <t>T1720</t>
  </si>
  <si>
    <t>TSV-11-0660</t>
  </si>
  <si>
    <t>UPI/CR/108767036500/VIVEK PA/ICIC/vivek.p/KN3817</t>
  </si>
  <si>
    <t>T1203</t>
  </si>
  <si>
    <t>TSV-11-0661</t>
  </si>
  <si>
    <t>UPI/CR/534982951075/DIVYANSH/HDFC/9999080/KN3817</t>
  </si>
  <si>
    <t>TSV-11-0662</t>
  </si>
  <si>
    <t>UPI/DR/534911369399/DEEPAK K/IPOS/8541934/Reimbur</t>
  </si>
  <si>
    <t>TSV-11-0663</t>
  </si>
  <si>
    <t>NEFT/AIRPH34902924453/Airtel Payments Bank Ltd/AIRP0000001/.</t>
  </si>
  <si>
    <t>TSV-11-0664</t>
  </si>
  <si>
    <t>UPI/CR/988779045288/Abhishek/PPIW/8109039/UN3668</t>
  </si>
  <si>
    <t>T1710</t>
  </si>
  <si>
    <t>TSV-11-0665</t>
  </si>
  <si>
    <t>UPI/DR/102228656640/BLINKIT/HDFC/blinkit/Upi Tra</t>
  </si>
  <si>
    <t>TSV-11-0666</t>
  </si>
  <si>
    <t>UPI/DR/571666203337/amazon p/YESB/amazonp/You are</t>
  </si>
  <si>
    <t>TSV-11-0667</t>
  </si>
  <si>
    <t>UPI/CR/296830566214/Devraj /SBIN/7808324/UN3668</t>
  </si>
  <si>
    <t>T1705</t>
  </si>
  <si>
    <t>TSV-11-0668</t>
  </si>
  <si>
    <t>UPI/DR/571685912915/AUTO SER/YESB/paytmqr/Transpo</t>
  </si>
  <si>
    <t>TSV-11-0669</t>
  </si>
  <si>
    <t>UPI/CR/115712090894/POONAM Y/HDFC/avninik/SC3567</t>
  </si>
  <si>
    <t>TSV-11-0670</t>
  </si>
  <si>
    <t>UPI/CR/393875829433/AVNEESH /AIRP/7380947/UN3668</t>
  </si>
  <si>
    <t>T1771</t>
  </si>
  <si>
    <t>TSV-11-0671</t>
  </si>
  <si>
    <t>UPI/CR/432302047246/Swati Th/IDFB/7876758/UN3668</t>
  </si>
  <si>
    <t>T1722</t>
  </si>
  <si>
    <t>TSV-11-0672</t>
  </si>
  <si>
    <t>UPI/DR/571687117694/Mamata M/BARB/9319220/Salary</t>
  </si>
  <si>
    <t>TSV-11-0673</t>
  </si>
  <si>
    <t>UPI/CR/535041759208/SHIVAM /SBIN/7970549/UN3668</t>
  </si>
  <si>
    <t>T1687</t>
  </si>
  <si>
    <t>TSV-11-0674</t>
  </si>
  <si>
    <t>UPI/CR/704321792949/AMAN KU/UBIN/8968888/UN3668</t>
  </si>
  <si>
    <t>T1729</t>
  </si>
  <si>
    <t>TSV-11-0675</t>
  </si>
  <si>
    <t>UPI/DR/571600122305/Guru Kru/YESB/paytmqr/LPG SL1</t>
  </si>
  <si>
    <t>TSV-11-0676</t>
  </si>
  <si>
    <t>UPI/CR/115725587230/TARUN SH/HDFC/tarunsh/SC3567</t>
  </si>
  <si>
    <t>TSV-11-0677</t>
  </si>
  <si>
    <t>UPI/DR/571695433424/MUKESH /SBIN/8595497/Transpo</t>
  </si>
  <si>
    <t>TSV-11-0678</t>
  </si>
  <si>
    <t>UPI/CR/695687666323/TANISH /KKBK/9977024/UN3668</t>
  </si>
  <si>
    <t>T1693</t>
  </si>
  <si>
    <t>TSV-11-0679</t>
  </si>
  <si>
    <t>UPI/CR/535010699483/SANDEEP /HDFC/9582823/UN3668</t>
  </si>
  <si>
    <t>T1766</t>
  </si>
  <si>
    <t>TSV-11-0680</t>
  </si>
  <si>
    <t>UPI/CR/053700585443/RAJ KUMA/UTIB/8960669/UN3668</t>
  </si>
  <si>
    <t>T1618</t>
  </si>
  <si>
    <t>TSV-11-0681</t>
  </si>
  <si>
    <t>UPI/CR/571628829344/Mr VISHA/CBIN/9212541/SC3567</t>
  </si>
  <si>
    <t>TSV-11-0682</t>
  </si>
  <si>
    <t>UPI/CR/571656327670/SONU KUM/KKBK/sonu191/UN3668</t>
  </si>
  <si>
    <t>T1711</t>
  </si>
  <si>
    <t>TSV-11-0683</t>
  </si>
  <si>
    <t>UPI/CR/173748656485/SHRI NAR/SBIN/9650945/UN3668</t>
  </si>
  <si>
    <t>T1698</t>
  </si>
  <si>
    <t>TSV-11-0684</t>
  </si>
  <si>
    <t>UPI/CR/535025934154/Mr Kavin/IDIB/9654880/SC3567</t>
  </si>
  <si>
    <t>TSV-11-0685</t>
  </si>
  <si>
    <t>UPI/CR/695693768266/ANIKET V/BARB/7817995/KN3817</t>
  </si>
  <si>
    <t>T1190</t>
  </si>
  <si>
    <t>TSV-11-0686</t>
  </si>
  <si>
    <t>UPI/CR/535043740365/SAKSHI/SBIN/9557961/UN3668</t>
  </si>
  <si>
    <t>T1733</t>
  </si>
  <si>
    <t>TSV-11-0687</t>
  </si>
  <si>
    <t>UPI/CR/535012243794/VIJAY KA/HDFC/9582677/UN3668</t>
  </si>
  <si>
    <t>T1666</t>
  </si>
  <si>
    <t>TSV-11-0688</t>
  </si>
  <si>
    <t>UPI/DR/571672054779/Mithlesh/AIRP/7428079/Reimbur</t>
  </si>
  <si>
    <t>Rei</t>
  </si>
  <si>
    <t>TSV-11-0689</t>
  </si>
  <si>
    <t>BILLPAY/REGBIL/Airtel Post/20253519200703/17122025</t>
  </si>
  <si>
    <t>Telecom</t>
  </si>
  <si>
    <t>TSV-11-0690</t>
  </si>
  <si>
    <t>UPI/CR/571720917605/VIJAI KA/SBIN/7093251/SL1610</t>
  </si>
  <si>
    <t>UC610-0670</t>
  </si>
  <si>
    <t>TSV-11-0691</t>
  </si>
  <si>
    <t>UPI/CR/393919214185/ISHIKA G/HDFC/8077975/SL1610</t>
  </si>
  <si>
    <t>UC610-0671</t>
  </si>
  <si>
    <t>TSV-11-0692</t>
  </si>
  <si>
    <t>UPI/DR/571773586567/85068322/FINO/8506832/Salary</t>
  </si>
  <si>
    <t>Salary Jatin</t>
  </si>
  <si>
    <t>TSV-11-0693</t>
  </si>
  <si>
    <t>UPI/DR/535198107698/VISHAL /CNRB/9999578/Packing</t>
  </si>
  <si>
    <t>Packing</t>
  </si>
  <si>
    <t>TSV-11-0694</t>
  </si>
  <si>
    <t>UPI/DR/571775287742/Guru Kru/YESB/paytmqr/LPG SL1</t>
  </si>
  <si>
    <t>TSV-11-0695</t>
  </si>
  <si>
    <t>UPI/CR/535144953123/MANISH /SBIN/yoursmk/SL1610</t>
  </si>
  <si>
    <t>UC610-0660</t>
  </si>
  <si>
    <t>TSV-11-0696</t>
  </si>
  <si>
    <t>UPI/CR/000705942955/NAVEEN /KKBK/9811132/KN3817</t>
  </si>
  <si>
    <t>T1228</t>
  </si>
  <si>
    <t>TSV-11-0697</t>
  </si>
  <si>
    <t>UPI/CR/393937383528/DURGA DE/UBIN/8879972/SC3567</t>
  </si>
  <si>
    <t>TSV-11-0698</t>
  </si>
  <si>
    <t>UPI/CR/535139315790/ANSHUM G/ICIC/anshumg/SC3567</t>
  </si>
  <si>
    <t>TSV-11-0699</t>
  </si>
  <si>
    <t>UPI/DR/535198811531/H M KARI/BARB/8132888/CX Refu</t>
  </si>
  <si>
    <t>TSV-11-0700</t>
  </si>
  <si>
    <t>UPI/DR/535183015504/HARSIMRA/SBIN/simrank/Compens</t>
  </si>
  <si>
    <t>TSV-11-0701</t>
  </si>
  <si>
    <t>UPI/CR/535147342849/Kunwar P/IDFB/9350724/SL1610</t>
  </si>
  <si>
    <t>UC610-0649</t>
  </si>
  <si>
    <t>TSV-11-0702</t>
  </si>
  <si>
    <t>UPI/DR/535166713227/DIPAK K/KKBK/7739706/RO wate</t>
  </si>
  <si>
    <t>TSV-11-0703</t>
  </si>
  <si>
    <t>UPI/CR/535116106976/SUNITA R/CNRB/katyals/KN3817</t>
  </si>
  <si>
    <t>T1131</t>
  </si>
  <si>
    <t>TSV-11-0704</t>
  </si>
  <si>
    <t>UPI/DR/535197736697/SONIYA/KKBK/8527917/Salary</t>
  </si>
  <si>
    <t>Salary Vishal</t>
  </si>
  <si>
    <t>TSV-11-0705</t>
  </si>
  <si>
    <t>UPI/DR/535260751229/Airtel/YESB/airtel-/Airtel</t>
  </si>
  <si>
    <t>TSV-11-0706</t>
  </si>
  <si>
    <t>UPI/CR/535268974504/MARIAM /SBIN/ismailm/SC3567</t>
  </si>
  <si>
    <t>TSV-11-0707</t>
  </si>
  <si>
    <t>UPI/CR/796578290328/IKRAR H/SBIN/9717772/UN3668</t>
  </si>
  <si>
    <t>T1745</t>
  </si>
  <si>
    <t>TSV-11-0708</t>
  </si>
  <si>
    <t>UPI/CR/061267661536/IKRAR H/SBIN/9717772/UN3668</t>
  </si>
  <si>
    <t>T1744</t>
  </si>
  <si>
    <t>TSV-11-0709</t>
  </si>
  <si>
    <t>UPI/CR/322465535993/MOHIT/PUNB/9990269/UN3668</t>
  </si>
  <si>
    <t>T1760</t>
  </si>
  <si>
    <t>TSV-11-0710</t>
  </si>
  <si>
    <t>UPI/CR/571811090255/SHOBHANA/INDB/6387675/SL1610</t>
  </si>
  <si>
    <t>UC610-0687</t>
  </si>
  <si>
    <t>TSV-11-0711</t>
  </si>
  <si>
    <t>UPI/CR/535277580686/Mr. RUDR/MAHB/statusm/UN3668</t>
  </si>
  <si>
    <t>T1703</t>
  </si>
  <si>
    <t>TSV-11-0712</t>
  </si>
  <si>
    <t>UPI/CR/535277611543/Mr. RUDR/MAHB/statusm/UPI</t>
  </si>
  <si>
    <t>TSV-11-0713</t>
  </si>
  <si>
    <t>UPI/CR/535214582354/RAMAN CH/KKBK/7830271/UN3668</t>
  </si>
  <si>
    <t>T1662</t>
  </si>
  <si>
    <t>TSV-11-0714</t>
  </si>
  <si>
    <t>UPI/CR/393980570830/MATTHEW /SBIN/9650066/UN3668</t>
  </si>
  <si>
    <t>T1796</t>
  </si>
  <si>
    <t>TSV-11-0715</t>
  </si>
  <si>
    <t>UPI/CR/115819758444/NEERU BH/HDFC/neeru2k/UN3668</t>
  </si>
  <si>
    <t>T1740</t>
  </si>
  <si>
    <t>TSV-11-0716</t>
  </si>
  <si>
    <t>UPI/CR/535283375377/ABHISHEK/IDFB/abhishe/KN3817</t>
  </si>
  <si>
    <t>T1127</t>
  </si>
  <si>
    <t>TSV-11-0717</t>
  </si>
  <si>
    <t>UPI/CR/115824982358/ROMAN UL/HDFC/yogahac/SL1610</t>
  </si>
  <si>
    <t>UC610-0667</t>
  </si>
  <si>
    <t>TSV-11-0718</t>
  </si>
  <si>
    <t>UPI/DR/535224393845/95288872/SBIN/9528887/Transpo</t>
  </si>
  <si>
    <t>TSV-11-0719</t>
  </si>
  <si>
    <t>UPI/CR/535270578668/AAYUSHMA/UCBA/aayushm/UN3668</t>
  </si>
  <si>
    <t>T1770</t>
  </si>
  <si>
    <t>TSV-11-0720</t>
  </si>
  <si>
    <t>UPI/CR/619384345647/NIRAJ AG/ICIC/agarwal/KN3817</t>
  </si>
  <si>
    <t>T1215,T1216</t>
  </si>
  <si>
    <t>TSV-11-0721</t>
  </si>
  <si>
    <t>UPI/CR/535270294330/NIKHIL B/ICIC/nikhilb/UN3668</t>
  </si>
  <si>
    <t>T1713</t>
  </si>
  <si>
    <t>TSV-11-0722</t>
  </si>
  <si>
    <t>UPI/CR/571858902373/ASMITA J/BKID/jhatith/SL1610</t>
  </si>
  <si>
    <t>UC610-0676</t>
  </si>
  <si>
    <t>TSV-11-0723</t>
  </si>
  <si>
    <t>UPI/DR/535288194633/SVK TRAD/PUNB/9811063/2387 CA</t>
  </si>
  <si>
    <t>CAM</t>
  </si>
  <si>
    <t>TSV-11-0724</t>
  </si>
  <si>
    <t>UPI/CR/079288419472/RONIT KU/IPOS/9142532/UN3668</t>
  </si>
  <si>
    <t>T1761</t>
  </si>
  <si>
    <t>TSV-11-0725</t>
  </si>
  <si>
    <t>UPI/CR/535248866333/LALIT AN/UTIB/9654904/UN3668</t>
  </si>
  <si>
    <t>T1757</t>
  </si>
  <si>
    <t>TSV-11-0726</t>
  </si>
  <si>
    <t>UPI/CR/115839263240/SARANSH /HDFC/saransh/KN3817</t>
  </si>
  <si>
    <t>TSV-11-0727</t>
  </si>
  <si>
    <t>UPI/DR/571861503953/AMAZON P/UTIB/amazonp/You are</t>
  </si>
  <si>
    <t>DMRC</t>
  </si>
  <si>
    <t>TSV-11-0728</t>
  </si>
  <si>
    <t>UPI/CR/585810856377/INDRAJEE/HDFC/8237634/Payment</t>
  </si>
  <si>
    <t>UC610-0681</t>
  </si>
  <si>
    <t>TSV-11-0729</t>
  </si>
  <si>
    <t>UPI/DR/571935224579/Guru Kru/YESB/paytmqr/LPG SC3</t>
  </si>
  <si>
    <t>TSV-11-0730</t>
  </si>
  <si>
    <t>UPI/DR/571957131023/Guru Kru/YESB/paytmqr/LPG SC3</t>
  </si>
  <si>
    <t>TSV-11-0731</t>
  </si>
  <si>
    <t>UPI/CR/994975725023/AYUSH AV/BARB/6398173/SC3567</t>
  </si>
  <si>
    <t>TSV-11-0732</t>
  </si>
  <si>
    <t>UPI/CR/115855698105/DIVIJA V/HDFC/divijav/SL1610</t>
  </si>
  <si>
    <t>UC610-0677</t>
  </si>
  <si>
    <t>TSV-11-0733</t>
  </si>
  <si>
    <t>NEFT/IDFBH25353212437/Preeti Kaur/INDB0002234/Salary Nov25 Preeti KN3817</t>
  </si>
  <si>
    <t>TSV-11-0734</t>
  </si>
  <si>
    <t>UPI/CR/115858099655/YOGESH S/ICIC/yogesh./PAY BY</t>
  </si>
  <si>
    <t>TSV-11-0735</t>
  </si>
  <si>
    <t>UPI/DR/571951422178/SBI FAST/HDFC/sbifast/Pay</t>
  </si>
  <si>
    <t>FastTag</t>
  </si>
  <si>
    <t>TSV-11-0736</t>
  </si>
  <si>
    <t>UPI/DR/571933939418/VARUN GU/FDRL/9811453/Compens</t>
  </si>
  <si>
    <t>TSV-11-0737</t>
  </si>
  <si>
    <t>UPI/CR/535313273190/PRATHYAK/UBIN/prathya/UN3668</t>
  </si>
  <si>
    <t>T1781</t>
  </si>
  <si>
    <t>TSV-11-0738</t>
  </si>
  <si>
    <t>UPI/CR/571905224375/Abhay Ka/SBIN/6295155/UN3668</t>
  </si>
  <si>
    <t>T1774</t>
  </si>
  <si>
    <t>TSV-11-0739</t>
  </si>
  <si>
    <t>UPI/CR/571912225367/Abhay Ka/SBIN/6295155/UN3668</t>
  </si>
  <si>
    <t>T1775</t>
  </si>
  <si>
    <t>TSV-11-0740</t>
  </si>
  <si>
    <t>UPI/CR/394030760046/RIDA AL/KKBK/9621258/SC3567</t>
  </si>
  <si>
    <t>TSV-11-0741</t>
  </si>
  <si>
    <t>UPI/CR/571930247923/NAMAN BH/HDFC/9911321/SC3567</t>
  </si>
  <si>
    <t>TSV-11-0742</t>
  </si>
  <si>
    <t>UPI/CR/535321449069/VAIBHAV /SBIN/vaibhav/SL1610</t>
  </si>
  <si>
    <t>UC610-0683</t>
  </si>
  <si>
    <t>TSV-11-0743</t>
  </si>
  <si>
    <t>UPI/CR/571990274845/KAKOLI M/UTIB/dutta.k/SC3567</t>
  </si>
  <si>
    <t>TSV-11-0744</t>
  </si>
  <si>
    <t>UPI/CR/695859413395/Ganesh R/AIRP/9527866/UN3668</t>
  </si>
  <si>
    <t>T1772</t>
  </si>
  <si>
    <t>TSV-11-0745</t>
  </si>
  <si>
    <t>UPI/CR/535332534509/Mr DHARA/CBIN/dharamv/UN3668</t>
  </si>
  <si>
    <t>T1719</t>
  </si>
  <si>
    <t>TSV-11-0746</t>
  </si>
  <si>
    <t>UPI/DR/571979689660/MAHADEV /BARB/9811459/Transpo</t>
  </si>
  <si>
    <t>TSV-11-0747</t>
  </si>
  <si>
    <t>UPI/CR/115886167747/Mr GAURA/MAHB/gym0611/KN3817</t>
  </si>
  <si>
    <t>TSV-11-0748</t>
  </si>
  <si>
    <t>UPI/DR/571950675341/Rigoss/ICIC/rigoss./Electri</t>
  </si>
  <si>
    <t>TSV-11-0749</t>
  </si>
  <si>
    <t>UPI/DR/571912577009/Rigoss/ICIC/rigoss./Electri</t>
  </si>
  <si>
    <t>TSV-11-0750</t>
  </si>
  <si>
    <t>UPI/CR/535473908011/BHAVYA A/ICIC/bhavya./SC3567</t>
  </si>
  <si>
    <t>TSV-11-0751</t>
  </si>
  <si>
    <t>UPI/CR/535449832307/ADITECH/SBIN/aditya./KN3817</t>
  </si>
  <si>
    <t>T1196</t>
  </si>
  <si>
    <t>TSV-11-0752</t>
  </si>
  <si>
    <t>UPI/DR/102260126176/Blinkit/HDFC/blinkit/Pay via</t>
  </si>
  <si>
    <t>TSV-11-0753</t>
  </si>
  <si>
    <t>UPI/CR/572038706397/BRIJBHAN/UTIB/8878754/KN3817</t>
  </si>
  <si>
    <t>T1225,T1226</t>
  </si>
  <si>
    <t>TSV-11-0754</t>
  </si>
  <si>
    <t>UPI/DR/572022899409/TUMBLEDR/HDFC/tumbled/Royalty</t>
  </si>
  <si>
    <t>TSV-11-0755</t>
  </si>
  <si>
    <t>IMPS-OPM/535412990465/UCONCEPTS SOLUTIONS PRIVATE LIMITED/ICIC0001842/7613/RoyaltySC3567</t>
  </si>
  <si>
    <t>TSV-11-0756</t>
  </si>
  <si>
    <t>IMPS-OPM/535412992309/UCONCEPTS SOLUTIONS PRIVATE LIMITED/ICIC0001842/7613/RoyaltySL1610</t>
  </si>
  <si>
    <t>TSV-11-0757</t>
  </si>
  <si>
    <t>UPI/CR/535447905676/RENU SHA/HDFC/9818558/UN3668</t>
  </si>
  <si>
    <t>T1696</t>
  </si>
  <si>
    <t>TSV-11-0758</t>
  </si>
  <si>
    <t>UPI/CR/535455674871/Mr MUKES/IDIB/mukeshp/SC3567</t>
  </si>
  <si>
    <t>TSV-11-0759</t>
  </si>
  <si>
    <t>UPI/CR/115913915427/CHANDRIM/HDFC/chandri/SC3567</t>
  </si>
  <si>
    <t>TSV-11-0760</t>
  </si>
  <si>
    <t>UPI/DR/535494418365/AVADH PA/IPOS/avadhsi/Transpo</t>
  </si>
  <si>
    <t>TSV-11-0761</t>
  </si>
  <si>
    <t>UPI/CR/535486252436/BHUVI N/UTIB/nagpalb/KN3817</t>
  </si>
  <si>
    <t>T1217</t>
  </si>
  <si>
    <t>TSV-11-0762</t>
  </si>
  <si>
    <t>UPI/CR/572011407516/LYNAL MA/HDFC/9731946/SC3567</t>
  </si>
  <si>
    <t>TSV-11-0763</t>
  </si>
  <si>
    <t>UPI/CR/535465613016/AMIT KAL/UBIN/amitkal/SL1610</t>
  </si>
  <si>
    <t>UC610-0690</t>
  </si>
  <si>
    <t>TSV-11-0764</t>
  </si>
  <si>
    <t>UPI/CR/394087458263/PRATHAM /CNRB/9310058/UN3668</t>
  </si>
  <si>
    <t>T1743</t>
  </si>
  <si>
    <t>TSV-11-0765</t>
  </si>
  <si>
    <t>UPI/CR/695908840703/ANMOL SI/BARB/8800804/KN3817</t>
  </si>
  <si>
    <t>TSV-11-0766</t>
  </si>
  <si>
    <t>UPI/CR/108800658439/DEEPIKA /UBIN/deepika/na</t>
  </si>
  <si>
    <t>TSV-11-0767</t>
  </si>
  <si>
    <t>UPI/CR/535403839075/AJAY KUM/KKBK/9999196/UPI</t>
  </si>
  <si>
    <t>TSV-11-0768</t>
  </si>
  <si>
    <t>UPI/CR/115925628506/NISHA AN/HDFC/nisha-m/SC3567</t>
  </si>
  <si>
    <t>TSV-11-0769</t>
  </si>
  <si>
    <t>UPI/CR/053361244479/Pavnit /SBIN/8017042/KN3817</t>
  </si>
  <si>
    <t>T1233</t>
  </si>
  <si>
    <t>TSV-11-0770</t>
  </si>
  <si>
    <t>UPI/CR/535477265243/Mr DHARA/CBIN/dharamv/UN3668</t>
  </si>
  <si>
    <t>T1700</t>
  </si>
  <si>
    <t>TSV-11-0771</t>
  </si>
  <si>
    <t>UPI/CR/535482663419/BISWAJIT/SBIN/shreebi/KN3817</t>
  </si>
  <si>
    <t>T1210</t>
  </si>
  <si>
    <t>TSV-11-0772</t>
  </si>
  <si>
    <t>UPI/CR/807969380581/Mr DIVYA/CBIN/9304933/UN3668</t>
  </si>
  <si>
    <t>T1759</t>
  </si>
  <si>
    <t>TSV-11-0773</t>
  </si>
  <si>
    <t>UPI/CR/535468533029/JASPREET/SBIN/9914894/KN3817</t>
  </si>
  <si>
    <t>TSV-11-0774</t>
  </si>
  <si>
    <t>UPI/DR/535524264996/NAIN SIN/YESB/paytmqr/Transpo</t>
  </si>
  <si>
    <t>TSV-11-0775</t>
  </si>
  <si>
    <t>UPI/CR/394121813374/USHMI SH/ICIC/8452041/SL1610</t>
  </si>
  <si>
    <t>UC610-0678</t>
  </si>
  <si>
    <t>TSV-11-0776</t>
  </si>
  <si>
    <t>UPI/CR/535556675381/KUMAR KA/HDFC/7065866/UN3668</t>
  </si>
  <si>
    <t>T1750</t>
  </si>
  <si>
    <t>TSV-11-0777</t>
  </si>
  <si>
    <t>UPI/DR/535574582393/AMIT/BKID/9540764/Chemica</t>
  </si>
  <si>
    <t>TSV-11-0778</t>
  </si>
  <si>
    <t>UPI/CR/535512730458/SONIA GU/KKBK/9654232/UN3668</t>
  </si>
  <si>
    <t>T1727</t>
  </si>
  <si>
    <t>TSV-11-0779</t>
  </si>
  <si>
    <t>UPI/CR/535512734699/SONIA GU/KKBK/9654232/UN3668</t>
  </si>
  <si>
    <t>T1746</t>
  </si>
  <si>
    <t>TSV-11-0780</t>
  </si>
  <si>
    <t>UPI/CR/033320762589/KAJAL /KKBK/kajalti/UN3668</t>
  </si>
  <si>
    <t>T1762</t>
  </si>
  <si>
    <t>TSV-11-0781</t>
  </si>
  <si>
    <t>UPI/CR/003633792607/RANODEEP/HDFC/7688055/SL1610</t>
  </si>
  <si>
    <t>UC610-0672</t>
  </si>
  <si>
    <t>TSV-11-0782</t>
  </si>
  <si>
    <t>UPI/CR/572136337301/OJASWIN /PUNB/ojaswin/SC3567</t>
  </si>
  <si>
    <t>TSV-11-0783</t>
  </si>
  <si>
    <t>UPI/CR/353476180883/AKSHAY S/UTIB/akshays/KN3817</t>
  </si>
  <si>
    <t>T1256</t>
  </si>
  <si>
    <t>TSV-11-0784</t>
  </si>
  <si>
    <t>UPI/DR/535557896387/Mrs. DEE/MAHB/dgrover/Chemica</t>
  </si>
  <si>
    <t>TSV-11-0785</t>
  </si>
  <si>
    <t>UPI/DR/535534591188/Mr SURES/IDIB/7052721/LPG KN3</t>
  </si>
  <si>
    <t>TSV-11-0786</t>
  </si>
  <si>
    <t>UPI/CR/535515361543/RITVIK S/SBIN/ritsin2/SC3567</t>
  </si>
  <si>
    <t>TSV-11-0787</t>
  </si>
  <si>
    <t>UPI/CR/572102568653/SHILPI /SBIN/8750977/SC3567</t>
  </si>
  <si>
    <t>TSV-11-0788</t>
  </si>
  <si>
    <t>UPI/CR/479637724291/SHREESH /UTIB/7798272/SL1610</t>
  </si>
  <si>
    <t>UC610-0679</t>
  </si>
  <si>
    <t>TSV-11-0789</t>
  </si>
  <si>
    <t>UPI/CR/394144686179/HARSH G/KKBK/9811800/SL1610</t>
  </si>
  <si>
    <t>UC610-0693</t>
  </si>
  <si>
    <t>TSV-11-0790</t>
  </si>
  <si>
    <t>UPI/CR/394146972096/DHAIRYA /ICIC/6397957/KN3817</t>
  </si>
  <si>
    <t>T1189</t>
  </si>
  <si>
    <t>TSV-11-0791</t>
  </si>
  <si>
    <t>UPI/CR/115978994919/KAPIL/HDFC/kapu931/UN3668</t>
  </si>
  <si>
    <t>T1755</t>
  </si>
  <si>
    <t>TSV-11-0792</t>
  </si>
  <si>
    <t>UPI/CR/394152323583/POOJA KH/UTIB/9769107/KN3817</t>
  </si>
  <si>
    <t>T1091</t>
  </si>
  <si>
    <t>TSV-11-0793</t>
  </si>
  <si>
    <t>UPI/CR/535529726454/Vidushi /IDFB/vidushi/SL1610</t>
  </si>
  <si>
    <t>UC610-0685</t>
  </si>
  <si>
    <t>TSV-11-0794</t>
  </si>
  <si>
    <t>UPI/CR/628940096071/UTKARSH /SBIN/utkarsh/SL1610</t>
  </si>
  <si>
    <t>TSV-11-0795</t>
  </si>
  <si>
    <t>UPI/CR/569186821038/UTKARSH /SBIN/utkarsh/Payment</t>
  </si>
  <si>
    <t>UC610-0700</t>
  </si>
  <si>
    <t>TSV-11-0796</t>
  </si>
  <si>
    <t>UPI/CR/535531755773/Chaitany/SBIN/chaitan/SL1610</t>
  </si>
  <si>
    <t>UC610-0689</t>
  </si>
  <si>
    <t>TSV-11-0797</t>
  </si>
  <si>
    <t>UPI/CR/535599775205/Rojeshra/NESF/7042660/KN3817</t>
  </si>
  <si>
    <t>T1257</t>
  </si>
  <si>
    <t>TSV-11-0798</t>
  </si>
  <si>
    <t>UPI/DR/572128022869/SHANEE K/NESF/9149264/Reimbur</t>
  </si>
  <si>
    <t>TSV-11-0799</t>
  </si>
  <si>
    <t>UPI/DR/572139628303/SHANEE K/NESF/9149264/Reimbur</t>
  </si>
  <si>
    <t>TSV-11-0800</t>
  </si>
  <si>
    <t>UPI/CR/437941847125/RAJA KUM/IBKL/6289399/KN3817</t>
  </si>
  <si>
    <t>TSV-11-0801</t>
  </si>
  <si>
    <t>UPI/CR/007657131785/Swati Th/IDFB/7876758/UN3668</t>
  </si>
  <si>
    <t>T1773</t>
  </si>
  <si>
    <t>TSV-11-0802</t>
  </si>
  <si>
    <t>UPI/CR/535650416713/Dheeraj /SBIN/dheeraj/UN3668</t>
  </si>
  <si>
    <t>T1742</t>
  </si>
  <si>
    <t>TSV-11-0803</t>
  </si>
  <si>
    <t>UPI/CR/516520586857/SIMRAN/CNRB/9971055/UN3668</t>
  </si>
  <si>
    <t>T1782</t>
  </si>
  <si>
    <t>TSV-11-0804</t>
  </si>
  <si>
    <t>UPI/CR/351669126055/TARUN/UBIN/7011475/KN3817</t>
  </si>
  <si>
    <t>T1224</t>
  </si>
  <si>
    <t>TSV-11-0805</t>
  </si>
  <si>
    <t>UPI/CR/535661339378/JYOTSNA/UTIB/jyotsna/UN3668</t>
  </si>
  <si>
    <t>T1628</t>
  </si>
  <si>
    <t>TSV-11-0806</t>
  </si>
  <si>
    <t>UPI/CR/236884956586/NISHA/ICIC/9266783/UN3668</t>
  </si>
  <si>
    <t>T1785</t>
  </si>
  <si>
    <t>TSV-11-0807</t>
  </si>
  <si>
    <t>UPI/CR/116017416282/SIDDARTH/HDFC/rao.200/UN3668</t>
  </si>
  <si>
    <t>T1789</t>
  </si>
  <si>
    <t>TSV-11-0808</t>
  </si>
  <si>
    <t>UPI/CR/535664929175/Mr LATES/CBIN/lateshs/UN3668</t>
  </si>
  <si>
    <t>TSV-11-0809</t>
  </si>
  <si>
    <t>UPI/CR/535665834528/Shubham /SBIN/shubham/UN3668</t>
  </si>
  <si>
    <t>T1795</t>
  </si>
  <si>
    <t>TSV-11-0810</t>
  </si>
  <si>
    <t>UPI/DR/572206076362/ombk.aaf/PPIW/ombk.aa/Phone R</t>
  </si>
  <si>
    <t>Phone Repai</t>
  </si>
  <si>
    <t>TSV-11-0811</t>
  </si>
  <si>
    <t>UPI/CR/535676759914/ALOK KUM/HDFC/9113302/UN3668</t>
  </si>
  <si>
    <t>T1724</t>
  </si>
  <si>
    <t>TSV-11-0812</t>
  </si>
  <si>
    <t>UPI/CR/116025918162/POONAM Y/HDFC/avninik/SC3567</t>
  </si>
  <si>
    <t>TSV-11-0813</t>
  </si>
  <si>
    <t>UPI/CR/256634509061/DEEP SHI/UTIB/7070665/UN3668</t>
  </si>
  <si>
    <t>T1801</t>
  </si>
  <si>
    <t>TSV-11-0814</t>
  </si>
  <si>
    <t>UPI/CR/696036941805/JAI SING/ICIC/9810262/SC3567</t>
  </si>
  <si>
    <t>TSV-11-0815</t>
  </si>
  <si>
    <t>UPI/CR/535664594978/HATINDER/IOBA/9717310/SC3567</t>
  </si>
  <si>
    <t>TSV-11-0816</t>
  </si>
  <si>
    <t>UPI/CR/535679451422/ROCKY MA/HDFC/9213752/UN3668</t>
  </si>
  <si>
    <t>T1640</t>
  </si>
  <si>
    <t>TSV-11-0817</t>
  </si>
  <si>
    <t>UPI/CR/535646574148/DHARMEND/UTIB/adarshg/UN3668</t>
  </si>
  <si>
    <t>T1663</t>
  </si>
  <si>
    <t>TSV-11-0818</t>
  </si>
  <si>
    <t>UPI/DR/535668817285/ZOYA KH/KKBK/8920759/Advance</t>
  </si>
  <si>
    <t>TSV-11-0819</t>
  </si>
  <si>
    <t>UPI/CR/535792983619/SANSKRIT/UTIB/sanskri/UPI</t>
  </si>
  <si>
    <t>TSV-11-0820</t>
  </si>
  <si>
    <t>UPI/CR/436454033859/ADITYA G/HDFC/7424904/KN3817</t>
  </si>
  <si>
    <t>TSV-11-0821</t>
  </si>
  <si>
    <t>UPI/CR/394237651995/MALVIKA /ICIC/8130574/UN3668</t>
  </si>
  <si>
    <t>T1787</t>
  </si>
  <si>
    <t>TSV-11-0822</t>
  </si>
  <si>
    <t>UPI/CR/535714190459/Anupriya/SBIN/anupriy/SC3567</t>
  </si>
  <si>
    <t>TSV-11-0823</t>
  </si>
  <si>
    <t>UPI/CR/535765857699/MONIKA K/UTIB/9999833/KN3817</t>
  </si>
  <si>
    <t>TSV-11-0824</t>
  </si>
  <si>
    <t>UPI/CR/535790839326/AJIT BHU/HDFC/7792864/KN3817</t>
  </si>
  <si>
    <t>TSV-11-0825</t>
  </si>
  <si>
    <t>UPI/CR/116075952004/RAHUL CH/HDFC/rahul.3/PAY BY</t>
  </si>
  <si>
    <t>TSV-11-0826</t>
  </si>
  <si>
    <t>UPI/CR/535788457824/DIGVIJAY/PUNB/rajputd/SC3567</t>
  </si>
  <si>
    <t>TSV-11-0827</t>
  </si>
  <si>
    <t>UPI/CR/533227911612/Pranit Y/SBIN/7038798/SL1610</t>
  </si>
  <si>
    <t>UC610-0695</t>
  </si>
  <si>
    <t>TSV-11-0828</t>
  </si>
  <si>
    <t>UPI/CR/394250134133/SAHIB KO/IOBA/9990199/KN3817</t>
  </si>
  <si>
    <t>TSV-11-0829</t>
  </si>
  <si>
    <t>UPI/CR/102284003098/SUMIT MA/UTIB/9990055/UN3668</t>
  </si>
  <si>
    <t>T1802</t>
  </si>
  <si>
    <t>TSV-11-0830</t>
  </si>
  <si>
    <t>UPI/CR/535721917323/GEORGE /SBIN/georgem/UN3668</t>
  </si>
  <si>
    <t>T1777</t>
  </si>
  <si>
    <t>TSV-11-0831</t>
  </si>
  <si>
    <t>UPI/CR/116081483250/DIVIJA V/HDFC/divijav/SL1610</t>
  </si>
  <si>
    <t>UC610-0709</t>
  </si>
  <si>
    <t>TSV-11-0832</t>
  </si>
  <si>
    <t>UPI/CR/535763872117/NIKHIL B/ICIC/nikhilb/UN3668</t>
  </si>
  <si>
    <t>T1657</t>
  </si>
  <si>
    <t>TSV-11-0833</t>
  </si>
  <si>
    <t>UPI/DR/297281670071/Blinkit/YESB/paytm-b/OidZTBL</t>
  </si>
  <si>
    <t>TSV-11-0834</t>
  </si>
  <si>
    <t>UPI/CR/535852380689/BHARTI S/CNRB/bhartis/UN3668</t>
  </si>
  <si>
    <t>T1735</t>
  </si>
  <si>
    <t>TSV-11-0835</t>
  </si>
  <si>
    <t>UPI/DR/572429507543/SANJAY C/YESB/paytmqr/RO Wate</t>
  </si>
  <si>
    <t>TSV-11-0836</t>
  </si>
  <si>
    <t>UPI/CR/772793560134/DEEPAK C/CNRB/9990584/SL1610</t>
  </si>
  <si>
    <t>UC610-0694</t>
  </si>
  <si>
    <t>TSV-11-0837</t>
  </si>
  <si>
    <t>UPI/CR/645713925817/MR SURAJ/BDBL/suraj02/KN3817</t>
  </si>
  <si>
    <t>TSV-11-0838</t>
  </si>
  <si>
    <t>UPI/CR/535814196155/RAMESH /SBIN/rameshk/KN3817</t>
  </si>
  <si>
    <t>T1222</t>
  </si>
  <si>
    <t>TSV-11-0839</t>
  </si>
  <si>
    <t>UPI/CR/717253072967/ANURAG /SBIN/8100110/KN3817</t>
  </si>
  <si>
    <t>T1290</t>
  </si>
  <si>
    <t>TSV-11-0840</t>
  </si>
  <si>
    <t>UPI/CR/394302411041/KAMIDI S/SBIN/8125492/KN3817</t>
  </si>
  <si>
    <t>T1277,T1276</t>
  </si>
  <si>
    <t>TSV-11-0841</t>
  </si>
  <si>
    <t>UPI/CR/760747354209/GAURAV S/SBIN/8483847/UN3668</t>
  </si>
  <si>
    <t>T1804</t>
  </si>
  <si>
    <t>TSV-11-0842</t>
  </si>
  <si>
    <t>UPI/CR/572415234549/APPU DEV/UBIN/appudev/KN3817</t>
  </si>
  <si>
    <t>TSV-11-0843</t>
  </si>
  <si>
    <t>UPI/DR/572459950091/SHARVAN /IPOS/yadavsa/Transpo</t>
  </si>
  <si>
    <t>TSV-11-0844</t>
  </si>
  <si>
    <t>UPI/CR/116129763763/PUJA KUM/HDFC/pujasmu/SL1610</t>
  </si>
  <si>
    <t>UC610-0706</t>
  </si>
  <si>
    <t>TSV-11-0845</t>
  </si>
  <si>
    <t>UPI/CR/394330283956/KIRAN PA/UBIN/7409441/KN3817</t>
  </si>
  <si>
    <t>TSV-11-0846</t>
  </si>
  <si>
    <t>UPI/CR/394330338592/KIRAN PA/UBIN/7409441/KN3817</t>
  </si>
  <si>
    <t>TSV-11-0847</t>
  </si>
  <si>
    <t>UPI/CR/535930075522/VIJAY SI/BARB/bablraw/KN3817</t>
  </si>
  <si>
    <t>T1273</t>
  </si>
  <si>
    <t>TSV-11-0848</t>
  </si>
  <si>
    <t>UPI/CR/535995066085/ANIL MAT/UTIB/matcool/UN3668</t>
  </si>
  <si>
    <t>T1806</t>
  </si>
  <si>
    <t>TSV-11-0849</t>
  </si>
  <si>
    <t>UPI/CR/266183880588/DINESH J/HDFC/dinesh0/KN3817</t>
  </si>
  <si>
    <t>TSV-11-0850</t>
  </si>
  <si>
    <t>UPI/CR/535949072546/ABHYUDAY/KKBK/abhyudh/UN3668</t>
  </si>
  <si>
    <t>T1819</t>
  </si>
  <si>
    <t>TSV-11-0851</t>
  </si>
  <si>
    <t>UPI/CR/535991583012/OJASWIN /PUNB/ojaswin/SC3567</t>
  </si>
  <si>
    <t>TSV-11-0852</t>
  </si>
  <si>
    <t>UPI/CR/116165077438/ARVIND K/CNRB/arvindk/UN3668</t>
  </si>
  <si>
    <t>T1788</t>
  </si>
  <si>
    <t>TSV-11-0853</t>
  </si>
  <si>
    <t>UPI/CR/535908479708/Yapchung/SBIN/yapnama/KN3817</t>
  </si>
  <si>
    <t>T1251</t>
  </si>
  <si>
    <t>TSV-11-0854</t>
  </si>
  <si>
    <t>UPI/CR/535917686203/RANJANA /HDFC/9811648/UN3668</t>
  </si>
  <si>
    <t>T1810</t>
  </si>
  <si>
    <t>TSV-11-0855</t>
  </si>
  <si>
    <t>UPI/CR/116169587907/PRIYENKA/HDFC/priyenk/KN3817</t>
  </si>
  <si>
    <t>T1260</t>
  </si>
  <si>
    <t>TSV-11-0856</t>
  </si>
  <si>
    <t>UPI/CR/535944367439/Pushpak /PPIW/8092179/UN3668</t>
  </si>
  <si>
    <t>T1809</t>
  </si>
  <si>
    <t>TSV-11-0857</t>
  </si>
  <si>
    <t>UPI/CR/394361315090/SHUBHAM /FDRL/8826678/KN3817</t>
  </si>
  <si>
    <t>TSV-11-0858</t>
  </si>
  <si>
    <t>UPI/CR/572507029948/PRACHI G/HDFC/prachig/SL1610</t>
  </si>
  <si>
    <t>UC610-0697</t>
  </si>
  <si>
    <t>TSV-11-0859</t>
  </si>
  <si>
    <t>UPI/CR/651749933136/Ashutosh/SBIN/7985521/SL1610</t>
  </si>
  <si>
    <t>UC610-0692,UC610-0705</t>
  </si>
  <si>
    <t>TSV-11-0860</t>
  </si>
  <si>
    <t>UPI/DR/535907421971/DEEPAK K/IPOS/8541934/Reimbur</t>
  </si>
  <si>
    <t>TSV-11-0861</t>
  </si>
  <si>
    <t>UPI/CR/536026805150/MANJU A/SBIN/9654909/UN3668</t>
  </si>
  <si>
    <t>T1817</t>
  </si>
  <si>
    <t>TSV-11-0862</t>
  </si>
  <si>
    <t>UPI/CR/116202008017/KAJAL BA/HDFC/bathre./UN3668</t>
  </si>
  <si>
    <t>T1824</t>
  </si>
  <si>
    <t>TSV-11-0863</t>
  </si>
  <si>
    <t>UPI/CR/536027506369/VIKAS RA/HDFC/9582229/SC3567</t>
  </si>
  <si>
    <t>TSV-11-0864</t>
  </si>
  <si>
    <t>UPI/CR/639437482435/BHAMARAJ/HDFC/7039176/KN3817</t>
  </si>
  <si>
    <t>T1280</t>
  </si>
  <si>
    <t>TSV-11-0865</t>
  </si>
  <si>
    <t>UPI/CR/536015206487/ANUP KHA/ICIC/7042491/SC3567</t>
  </si>
  <si>
    <t>TSV-11-0866</t>
  </si>
  <si>
    <t>UPI/CR/536050987183/SWATI TH/PUNB/st63579/UN3668</t>
  </si>
  <si>
    <t>T1814</t>
  </si>
  <si>
    <t>TSV-11-0867</t>
  </si>
  <si>
    <t>UPI/CR/116211521729/VAIBHAV /HDFC/vaibhav/SL1610</t>
  </si>
  <si>
    <t>UC610-0718</t>
  </si>
  <si>
    <t>TSV-11-0868</t>
  </si>
  <si>
    <t>UPI/CR/116218335947/PRASHANT/KKBK/kansal7/SC3567</t>
  </si>
  <si>
    <t>TSV-11-0869</t>
  </si>
  <si>
    <t>UPI/CR/536061072540/NIKHIL B/ICIC/nikhilb/UN3668</t>
  </si>
  <si>
    <t>T1827</t>
  </si>
  <si>
    <t>TSV-11-0870</t>
  </si>
  <si>
    <t>UPI/CR/572663495961/SUNIL MI/UTIB/akshu.7/UN3668</t>
  </si>
  <si>
    <t>T1776</t>
  </si>
  <si>
    <t>TSV-11-0871</t>
  </si>
  <si>
    <t>UPI/CR/536017482648/NIKHIL B/ICIC/nikhilb/UPI</t>
  </si>
  <si>
    <t>TSV-11-0872</t>
  </si>
  <si>
    <t>UPI/CR/536018793131/SONIA GU/KKBK/9654232/UN3668</t>
  </si>
  <si>
    <t>T1803</t>
  </si>
  <si>
    <t>TSV-11-0873</t>
  </si>
  <si>
    <t>UPI/CR/536001492407/VINITA U/SBIN/9968149/UN3668</t>
  </si>
  <si>
    <t>T1820</t>
  </si>
  <si>
    <t>TSV-11-0874</t>
  </si>
  <si>
    <t>BILLPAY/REGBIL/Dakshin Har/20253601293019/26122025</t>
  </si>
  <si>
    <t>TSV-11-0875</t>
  </si>
  <si>
    <t>BILLPAY/REGBIL/Tata Power /20253601293202/26122025</t>
  </si>
  <si>
    <t>TSV-11-0876</t>
  </si>
  <si>
    <t>UPI/CR/388272796096/ASUTOSH /SBIN/8455960/UN3668</t>
  </si>
  <si>
    <t>PACKAGE</t>
  </si>
  <si>
    <t>TSV-11-0877</t>
  </si>
  <si>
    <t>UPI/CR/536099595167/ABHI JIN/CNRB/jindala/SL1610</t>
  </si>
  <si>
    <t>UC610-0717</t>
  </si>
  <si>
    <t>TSV-11-0878</t>
  </si>
  <si>
    <t>UPI/CR/820362577237/ASUTOSH /SBIN/8455960/UN3668</t>
  </si>
  <si>
    <t>TSV-11-0879</t>
  </si>
  <si>
    <t>UPI/CR/014403291818/SANTHOSH/IOBA/santhos/KN3817</t>
  </si>
  <si>
    <t>TSV-11-0880</t>
  </si>
  <si>
    <t>UPI/CR/116224715791/ABHISHEK/CNRB/aabhish/UN3668</t>
  </si>
  <si>
    <t>T1723</t>
  </si>
  <si>
    <t>TSV-11-0881</t>
  </si>
  <si>
    <t>UPI/CR/572603375897/SHILPI /SBIN/8750977/SC3567</t>
  </si>
  <si>
    <t>TSV-11-0882</t>
  </si>
  <si>
    <t>UPI/CR/572615385777/SHILPI /SBIN/8750977/SC3567</t>
  </si>
  <si>
    <t>TSV-11-0883</t>
  </si>
  <si>
    <t>UPI/CR/394418463553/DHARM SI/ICIC/9891889/SC3567</t>
  </si>
  <si>
    <t>TSV-11-0884</t>
  </si>
  <si>
    <t>UPI/DR/572768723470/ASUTOSH /SBIN/8455960/Refund</t>
  </si>
  <si>
    <t>Refund, double payment</t>
  </si>
  <si>
    <t>TSV-11-0885</t>
  </si>
  <si>
    <t>UPI/DR/572770927600/ABDUL ZA/UBIN/8800956/Advance</t>
  </si>
  <si>
    <t>Advance Salary, Abdul</t>
  </si>
  <si>
    <t>TSV-11-0886</t>
  </si>
  <si>
    <t>UPI/DR/572795307781/DEEPAK K/IPOS/8541934/Advance</t>
  </si>
  <si>
    <t>Advance Salary, Deepak</t>
  </si>
  <si>
    <t>TSV-11-0887</t>
  </si>
  <si>
    <t>UPI/CR/039227876048/RAJA KUM/IBKL/6289399/KN3817</t>
  </si>
  <si>
    <t>TSV-11-0888</t>
  </si>
  <si>
    <t>UPI/CR/536174054011/BABU LAL/CNRB/chhibbe/SC3567</t>
  </si>
  <si>
    <t>TSV-11-0889</t>
  </si>
  <si>
    <t>UPI/CR/116245270333/AKSHAY K/PUNB/3063aks/SL1610</t>
  </si>
  <si>
    <t>UC610-0701</t>
  </si>
  <si>
    <t>TSV-11-0890</t>
  </si>
  <si>
    <t>UPI/CR/394440001104/THAKUR S/HSBC/9818687/UN3668</t>
  </si>
  <si>
    <t>T1800</t>
  </si>
  <si>
    <t>TSV-11-0891</t>
  </si>
  <si>
    <t>UPI/CR/139998073859/MANISHA /BKID/manisha/SL1610</t>
  </si>
  <si>
    <t>UC610-0702</t>
  </si>
  <si>
    <t>TSV-11-0892</t>
  </si>
  <si>
    <t>UPI/DR/572702634395/VARUN GU/FDRL/9811453/Compens</t>
  </si>
  <si>
    <t>TSV-11-0893</t>
  </si>
  <si>
    <t>UPI/CR/211460855424/SHAHNAWA/SBIN/7065001/UN3668</t>
  </si>
  <si>
    <t>T1841</t>
  </si>
  <si>
    <t>TSV-11-0894</t>
  </si>
  <si>
    <t>UPI/CR/116250634671/PARAG KE/HDFC/parag.k/SL1610</t>
  </si>
  <si>
    <t>UC610-0722</t>
  </si>
  <si>
    <t>TSV-11-0895</t>
  </si>
  <si>
    <t>UPI/CR/696304141970/MUBASHIR/ICIC/9419007/UN3668</t>
  </si>
  <si>
    <t>T1840</t>
  </si>
  <si>
    <t>TSV-11-0896</t>
  </si>
  <si>
    <t>UPI/CR/116255392677/DIVIJA V/HDFC/divijav/SL1610</t>
  </si>
  <si>
    <t>UC610-0716</t>
  </si>
  <si>
    <t>TSV-11-0897</t>
  </si>
  <si>
    <t>UPI/CR/572787943707/ANJANI C/BARB/anjani9/KN3817</t>
  </si>
  <si>
    <t>TSV-11-0898</t>
  </si>
  <si>
    <t>UPI/CR/242364042981/SWATI DO/HDFC/swatiya/KN3817</t>
  </si>
  <si>
    <t>TSV-11-0899</t>
  </si>
  <si>
    <t>UPI/CR/957220014813/PRACHI /SBIN/9716691/KN3817</t>
  </si>
  <si>
    <t>TSV-11-0900</t>
  </si>
  <si>
    <t>UPI/CR/116268902599/AJAY KU/YESB/ajaysar/SL1610</t>
  </si>
  <si>
    <t>UC610-0699</t>
  </si>
  <si>
    <t>TSV-11-0901</t>
  </si>
  <si>
    <t>UPI/CR/871290132329/MANEET /SBIN/7979921/SC3567</t>
  </si>
  <si>
    <t>TSV-11-0902</t>
  </si>
  <si>
    <t>UPI/CR/581515922681/MS HIROK/SCBL/8077886/SL1610</t>
  </si>
  <si>
    <t>UC610-0698</t>
  </si>
  <si>
    <t>TSV-11-0903</t>
  </si>
  <si>
    <t>UPI/CR/536161456702/SUBHANKA/ICIC/thesubh/UN3668</t>
  </si>
  <si>
    <t>T1492</t>
  </si>
  <si>
    <t>TSV-11-0904</t>
  </si>
  <si>
    <t>UPI/CR/780070403438/SUNNY DA/SBIN/7978127/UN3668</t>
  </si>
  <si>
    <t>T1849</t>
  </si>
  <si>
    <t>TSV-11-0905</t>
  </si>
  <si>
    <t>UPI/DR/572780579088/AMAZON P/UTIB/amazonp/You are</t>
  </si>
  <si>
    <t>TSV-11-0906</t>
  </si>
  <si>
    <t>UPI/CR/204442425253/RAGHAVAN/UTIB/9354839/KN3817</t>
  </si>
  <si>
    <t>TSV-11-0907</t>
  </si>
  <si>
    <t>UPI/CR/536222746655/AMAL SR/SBIN/srivast/UN3668</t>
  </si>
  <si>
    <t>T1866</t>
  </si>
  <si>
    <t>TSV-11-0908</t>
  </si>
  <si>
    <t>UPI/CR/536224814274/Tina Meh/IDFB/tinameh/KN3817</t>
  </si>
  <si>
    <t>TSV-11-0909</t>
  </si>
  <si>
    <t>UPI/DR/536253508094/ABHISHEK/KKBK/9773506/RO Wate</t>
  </si>
  <si>
    <t>TSV-11-0910</t>
  </si>
  <si>
    <t>UPI/DR/536208719362/Guru Kru/YESB/paytmqr/LPG SL1</t>
  </si>
  <si>
    <t>TSV-11-0911</t>
  </si>
  <si>
    <t>UPI/CR/399894151369/ANURAG /SBIN/8100110/KN3817</t>
  </si>
  <si>
    <t>TSV-11-0912</t>
  </si>
  <si>
    <t>UPI/CR/536280319230/MANOJ KU/ICIC/mks.tec/UN3668</t>
  </si>
  <si>
    <t>T1834</t>
  </si>
  <si>
    <t>TSV-11-0913</t>
  </si>
  <si>
    <t>UPI/CR/536249919755/DIVIJ KA/HDFC/9810552/SC3567</t>
  </si>
  <si>
    <t>TSV-11-0914</t>
  </si>
  <si>
    <t>UPI/CR/536250203686/SUNNY YA/HDFC/9810502/SC3567</t>
  </si>
  <si>
    <t>TSV-11-0915</t>
  </si>
  <si>
    <t>UPI/CR/536250217480/SUNNY YA/HDFC/9810502/SC3567</t>
  </si>
  <si>
    <t>TSV-11-0916</t>
  </si>
  <si>
    <t>UPI/CR/602284655750/VARSHA D/HDFC/varsha./SL1610</t>
  </si>
  <si>
    <t>UC610-0723</t>
  </si>
  <si>
    <t>TSV-11-0917</t>
  </si>
  <si>
    <t>UPI/CR/536230853542/VARUN DH/HDFC/9311047/SL1610</t>
  </si>
  <si>
    <t>UC610-0721</t>
  </si>
  <si>
    <t>TSV-11-0918</t>
  </si>
  <si>
    <t>UPI/CR/394522310556/TRIDIB /BKID/8927594/KN3817</t>
  </si>
  <si>
    <t>TSV-11-0919</t>
  </si>
  <si>
    <t>UPI/CR/029727198380/POONAM/KKBK/poonams/UN3668</t>
  </si>
  <si>
    <t>T1807</t>
  </si>
  <si>
    <t>TSV-11-0920</t>
  </si>
  <si>
    <t>UPI/CR/536298428308/DRISHTI /HDFC/7982522/SL1610</t>
  </si>
  <si>
    <t>UC610-0708</t>
  </si>
  <si>
    <t>TSV-11-0921</t>
  </si>
  <si>
    <t>UPI/CR/536262848120/KIDZEE V/IBKL/8588802/UN3668</t>
  </si>
  <si>
    <t>T1835</t>
  </si>
  <si>
    <t>TSV-11-0922</t>
  </si>
  <si>
    <t>UPI/CR/536261024146/SAMEER S/ICIC/sameers/SL1610</t>
  </si>
  <si>
    <t>UC610-0730</t>
  </si>
  <si>
    <t>TSV-11-0923</t>
  </si>
  <si>
    <t>UPI/CR/536242812538/Anurag /SBIN/anurag9/SC3567</t>
  </si>
  <si>
    <t>TSV-11-0924</t>
  </si>
  <si>
    <t>UPI/CR/536213554879/VINEET K/SBIN/8840667/SC3567</t>
  </si>
  <si>
    <t>TSV-11-0925</t>
  </si>
  <si>
    <t>UPI/CR/536222864536/PRIYANKA/SBIN/8800388/SL1610</t>
  </si>
  <si>
    <t>UC610-0713</t>
  </si>
  <si>
    <t>TSV-11-0926</t>
  </si>
  <si>
    <t>UPI/CR/572808709044/DHRUV KH/HDFC/9899050/UN3668</t>
  </si>
  <si>
    <t>T1852</t>
  </si>
  <si>
    <t>TSV-11-0927</t>
  </si>
  <si>
    <t>UPI/CR/394549997376/AKASH ./KKBK/8527601/UN3668</t>
  </si>
  <si>
    <t>T1822</t>
  </si>
  <si>
    <t>TSV-11-0928</t>
  </si>
  <si>
    <t>UPI/DR/536336570691/AMAR NA/SBIN/9654673/LPG KN3</t>
  </si>
  <si>
    <t>TSV-11-0929</t>
  </si>
  <si>
    <t>UPI/CR/247095655982/RAJ KUMA/YESB/9831141/UN3668</t>
  </si>
  <si>
    <t>T1857/T1858</t>
  </si>
  <si>
    <t>TSV-11-0930</t>
  </si>
  <si>
    <t>UPI/DR/536308198002/ombk.aaf/PPIW/ombk.aa/Transpo</t>
  </si>
  <si>
    <t>TSV-11-0931</t>
  </si>
  <si>
    <t>UPI/CR/394567701053/Sanjay/FINO/8295128/KN3817</t>
  </si>
  <si>
    <t>TSV-11-0932</t>
  </si>
  <si>
    <t>UPI/CR/536358790305/MUDAPAKA/CNRB/anusha./SC3567</t>
  </si>
  <si>
    <t>TSV-11-0933</t>
  </si>
  <si>
    <t>UPI/DR/536333493574/semmipan/SBIN/semmipa/Station</t>
  </si>
  <si>
    <t>Tag Roll</t>
  </si>
  <si>
    <t>TSV-11-0934</t>
  </si>
  <si>
    <t>UPI/CR/572920836382/DIVYANSH/HDFC/9999080/KN3817</t>
  </si>
  <si>
    <t>TSV-11-0935</t>
  </si>
  <si>
    <t>UPI/CR/394576271214/AJAY SHA/PUNB/9811611/SC3567</t>
  </si>
  <si>
    <t>TSV-11-0936</t>
  </si>
  <si>
    <t>UPI/CR/394578332958/HATINDER/IOBA/9717310/SC3567</t>
  </si>
  <si>
    <t>TSV-11-0937</t>
  </si>
  <si>
    <t>UPI/CR/394579503151/SARANG J/SBIN/9172316/SL1610</t>
  </si>
  <si>
    <t>UC610-0724</t>
  </si>
  <si>
    <t>TSV-11-0938</t>
  </si>
  <si>
    <t>UPI/CR/536319548142/VERMA S/HSBC/9682798/SL1610</t>
  </si>
  <si>
    <t>UC610-0725</t>
  </si>
  <si>
    <t>TSV-11-0939</t>
  </si>
  <si>
    <t>UPI/DR/572946617655/VISHAL/CNRB/9354368/Reimbur</t>
  </si>
  <si>
    <t>Reimbursement Vishal</t>
  </si>
  <si>
    <t>TSV-11-0940</t>
  </si>
  <si>
    <t>UPI/DR/572982617613/VISHAL/CNRB/9354368/Reimbur</t>
  </si>
  <si>
    <t>TSV-11-0941</t>
  </si>
  <si>
    <t>UPI/DR/572950122978/Mithlesh/AIRP/7428079/Reimbur</t>
  </si>
  <si>
    <t>Reimbursement Ankit</t>
  </si>
  <si>
    <t>TSV-11-0942</t>
  </si>
  <si>
    <t>UPI/CR/167977006255/SOHAM SA/UBIN/8551977/KN3817</t>
  </si>
  <si>
    <t>TSV-11-0943</t>
  </si>
  <si>
    <t>UPI/CR/108869773088/ABHISHEK/ICIC/abhishe/na</t>
  </si>
  <si>
    <t>T1298</t>
  </si>
  <si>
    <t>TSV-11-0944</t>
  </si>
  <si>
    <t>UPI/CR/536474937459/ELISA R/UTIB/7042001/SL1610</t>
  </si>
  <si>
    <t>UC610-0715</t>
  </si>
  <si>
    <t>TSV-11-0945</t>
  </si>
  <si>
    <t>UPI/CR/116400922695/Shreyans/SBIN/pachaur/SC3567</t>
  </si>
  <si>
    <t>TSV-11-0946</t>
  </si>
  <si>
    <t>UPI/DR/573031463602/Amazon P/UTIB/amazonp/You are</t>
  </si>
  <si>
    <t>TSV-11-0947</t>
  </si>
  <si>
    <t>UPI/CR/871746552525/MONA KU/SBIN/9334046/UN3668</t>
  </si>
  <si>
    <t>T1856</t>
  </si>
  <si>
    <t>TSV-11-0948</t>
  </si>
  <si>
    <t>UPI/CR/394639311690/Ayushi/AUBL/7838575/KN3817</t>
  </si>
  <si>
    <t>TSV-11-0949</t>
  </si>
  <si>
    <t>UPI/CR/814980811009/STANDARD/BARB/9654351/SL1610</t>
  </si>
  <si>
    <t>UC610-0719</t>
  </si>
  <si>
    <t>TSV-11-0950</t>
  </si>
  <si>
    <t>UPI/CR/536586472612/ANURADHA/HDFC/9717137/SC3567</t>
  </si>
  <si>
    <t>TSV-11-0951</t>
  </si>
  <si>
    <t>UPI/CR/470067664378/BHUPINDE/HDFC/bkinngs/KN3817</t>
  </si>
  <si>
    <t>TSV-11-0952</t>
  </si>
  <si>
    <t>UPI/DR/536533228666/AMIT/BKID/9540764/Packagi</t>
  </si>
  <si>
    <t>TSV-11-0953</t>
  </si>
  <si>
    <t>UPI/CR/536516223766/SONI SIN/UTIB/9910706/UN3668</t>
  </si>
  <si>
    <t>T1848</t>
  </si>
  <si>
    <t>TSV-11-0954</t>
  </si>
  <si>
    <t>UPI/CR/536549189534/KHUSHI G/IBKL/kuhugup/UN3668</t>
  </si>
  <si>
    <t>T1879</t>
  </si>
  <si>
    <t>TSV-11-0955</t>
  </si>
  <si>
    <t>UPI/CR/116442708114/PANKAJ K/HDFC/pankajk/UN3668</t>
  </si>
  <si>
    <t>T1882</t>
  </si>
  <si>
    <t>TSV-11-0956</t>
  </si>
  <si>
    <t>UPI/CR/116445034844/PANKAJ K/HDFC/pankajk/UN3668</t>
  </si>
  <si>
    <t>T1881</t>
  </si>
  <si>
    <t>TSV-11-0957</t>
  </si>
  <si>
    <t>UPI/DR/536589133134/PRADEEP /KKBK/pradeep/Staff W</t>
  </si>
  <si>
    <t>TSV-11-0958</t>
  </si>
  <si>
    <t>UPI/CR/896048524150/AWNEESH /PUNB/7080133/SL1610</t>
  </si>
  <si>
    <t>UC610-0612,UC610-0610</t>
  </si>
  <si>
    <t>TSV-11-0959</t>
  </si>
  <si>
    <t>UPI/CR/657617859888/MADHUR S/UTIB/8398024/KN3817</t>
  </si>
  <si>
    <t>TSV-11-0960</t>
  </si>
  <si>
    <t>UPI/CR/536544436641/MUKESH /KKBK/neelam1/UN3668</t>
  </si>
  <si>
    <t>T1870</t>
  </si>
  <si>
    <t>TSV-11-0961</t>
  </si>
  <si>
    <t>UPI/CR/536566305316/SHREYA /SBIN/bansals/KN3817</t>
  </si>
  <si>
    <t>TSV-11-0962</t>
  </si>
  <si>
    <t>UPI/CR/394680120653/SHIVAM /SBIN/7970549/UN3668</t>
  </si>
  <si>
    <t>T1862</t>
  </si>
  <si>
    <t>TSV-11-0963</t>
  </si>
  <si>
    <t>UPI/CR/394680173419/SHIVAM /SBIN/7970549/Sent us</t>
  </si>
  <si>
    <t>T1863</t>
  </si>
  <si>
    <t>TSV-11-0964</t>
  </si>
  <si>
    <t>UPI/CR/624386669938/RAJA IRF/UCBA/9079954/UN3668</t>
  </si>
  <si>
    <t>T1871</t>
  </si>
  <si>
    <t>TSV-11-0965</t>
  </si>
  <si>
    <t>UPI/CR/536516759856/BHAVYA S/BARB/9587272/KN3817</t>
  </si>
  <si>
    <t>TSV-11-0966</t>
  </si>
  <si>
    <t>UPI/CR/536530039975/RITIK SI/SBIN/8107600/SC3567</t>
  </si>
  <si>
    <t>TSV-11-0967</t>
  </si>
  <si>
    <t>UPI/CR/116464020196/BHARAT T/PUNB/bharatt/UN3668</t>
  </si>
  <si>
    <t>T1850</t>
  </si>
  <si>
    <t>TSV-11-0968</t>
  </si>
  <si>
    <t>UPI/CR/696557182804/SUMIT C/YESB/9999927/UN3668</t>
  </si>
  <si>
    <t>T1880</t>
  </si>
  <si>
    <t>TSV-11-0969</t>
  </si>
  <si>
    <t>UPI/CR/116467125339/BROTIN K/SBIN/brotink/SC3567</t>
  </si>
  <si>
    <t>TSV-11-0970</t>
  </si>
  <si>
    <t>UPI/CR/536554269645/SARANSH /UTIB/saransh/SL1610</t>
  </si>
  <si>
    <t>UC610-0728</t>
  </si>
  <si>
    <t>TSV-11-0971</t>
  </si>
  <si>
    <t>UPI/DR/536511570052/SANJAY K/UTIB/jmvdsan/RO Wate</t>
  </si>
  <si>
    <t>TSV-11-0972</t>
  </si>
  <si>
    <t>IMPS-OPM/536521613717/Jitendra Singh/IOBA0003714/5211/</t>
  </si>
  <si>
    <t>TSV-2601-0001</t>
  </si>
  <si>
    <t>UPI/CR/394718601287/SHUBHAM /ICIC/8861503/SL1610</t>
  </si>
  <si>
    <t>UC610-0691</t>
  </si>
  <si>
    <t>01</t>
  </si>
  <si>
    <t>TSV-2601-0002</t>
  </si>
  <si>
    <t>UPI/CR/354484203166/NITIN GU/BARB/9980934/KN3817</t>
  </si>
  <si>
    <t>T1314</t>
  </si>
  <si>
    <t>TSV-2601-0003</t>
  </si>
  <si>
    <t>UPI/CR/600103507627/Parv Go/SBIN/9729944/UN3668</t>
  </si>
  <si>
    <t>T1873</t>
  </si>
  <si>
    <t>TSV-2601-0004</t>
  </si>
  <si>
    <t>UPI/CR/394750156809/Ms Anami/IDIB/9711542/UN3668</t>
  </si>
  <si>
    <t>T1888</t>
  </si>
  <si>
    <t>TSV-2601-0005</t>
  </si>
  <si>
    <t>UPI/CR/696622869946/Mr JAGDI/MAHB/9999916/SC3567</t>
  </si>
  <si>
    <t>TSV-2601-0006</t>
  </si>
  <si>
    <t>UPI/CR/394758957906/PUSHKAR /PUNB/6207095/UN3668</t>
  </si>
  <si>
    <t>TSV-2601-0007</t>
  </si>
  <si>
    <t>UPI/CR/116528781341/ALDRED G/HDFC/ald777@/SC3567</t>
  </si>
  <si>
    <t>TSV-2601-0008</t>
  </si>
  <si>
    <t>UPI/CR/116545444209/SAMAR KU/HDFC/samarku/SL1610</t>
  </si>
  <si>
    <t>UC610-0738</t>
  </si>
  <si>
    <t>TSV-2601-0009</t>
  </si>
  <si>
    <t>IMPS-OPM/600212422509/PIYUSH TAG/UTIB0000540/1341/AdvanceSalaryJan26Piyu</t>
  </si>
  <si>
    <t>Advance Salary Piyush</t>
  </si>
  <si>
    <t>TSV-2601-0010</t>
  </si>
  <si>
    <t>UPI/CR/600218586325/MANSIRAT/HDFC/8801313/UN3668</t>
  </si>
  <si>
    <t>T1721</t>
  </si>
  <si>
    <t>TSV-2601-0011</t>
  </si>
  <si>
    <t>UPI/CR/206871179952/PRAGATI /ICIC/6394457/KN3817</t>
  </si>
  <si>
    <t>TSV-2601-0012</t>
  </si>
  <si>
    <t>UPI/CR/696654145470/MRIDUL K/HDFC/8697447/KN3817</t>
  </si>
  <si>
    <t>TSV-2601-0013</t>
  </si>
  <si>
    <t>UPI/CR/600214852172/NEHA/KKBK/nehasen/UN3668</t>
  </si>
  <si>
    <t>T1859</t>
  </si>
  <si>
    <t>TSV-2601-0014</t>
  </si>
  <si>
    <t>UPI/CR/108894960288/SHASHI K/ICIC/shashi./na</t>
  </si>
  <si>
    <t>T1869</t>
  </si>
  <si>
    <t>TSV-2601-0015</t>
  </si>
  <si>
    <t>UPI/CR/116559530544/FELIO RE/KKBK/harshit/SL1610</t>
  </si>
  <si>
    <t>UC610-0734</t>
  </si>
  <si>
    <t>TSV-2601-0016</t>
  </si>
  <si>
    <t>UPI/CR/394793952169/AYUSHI /KKBK/8810695/UN3668</t>
  </si>
  <si>
    <t>T1902</t>
  </si>
  <si>
    <t>TSV-2601-0017</t>
  </si>
  <si>
    <t>UPI/CR/116563320807/AMIT SHA/HDFC/talk2am/UN3668</t>
  </si>
  <si>
    <t>T1899</t>
  </si>
  <si>
    <t>TSV-2601-0018</t>
  </si>
  <si>
    <t>UPI/CR/116563352744/AMIT SHA/HDFC/talk2am/UN3668</t>
  </si>
  <si>
    <t>T1900</t>
  </si>
  <si>
    <t>TSV-2601-0019</t>
  </si>
  <si>
    <t>UPI/CR/116576306434/SHREYAS /HDFC/shreyas/SL1610</t>
  </si>
  <si>
    <t>UC610-0739</t>
  </si>
  <si>
    <t>TSV-2601-0020</t>
  </si>
  <si>
    <t>UPI/DR/600243523436/DEEPAK K/IPOS/deepak9/Reimbur</t>
  </si>
  <si>
    <t>TSV-2601-0021</t>
  </si>
  <si>
    <t>UPI/CR/636820605336/VAIBHAV /HDFC/9792733/SC3567</t>
  </si>
  <si>
    <t>TSV-2601-0022</t>
  </si>
  <si>
    <t>UPI/CR/116581278758/PANKAJ K/HDFC/pankaj./UN3668</t>
  </si>
  <si>
    <t>T1886</t>
  </si>
  <si>
    <t>TSV-2601-0023</t>
  </si>
  <si>
    <t>UPI/DR/297794032508/Blinkit/YESB/paytm-b/OidZTBL</t>
  </si>
  <si>
    <t>TSV-2601-0024</t>
  </si>
  <si>
    <t>UPI/CR/906825452857/Kaushik /SBIN/7903148/SL1610</t>
  </si>
  <si>
    <t>UC610-0710</t>
  </si>
  <si>
    <t>TSV-2601-0025</t>
  </si>
  <si>
    <t>UPI/CR/600384372465/PARUL S/SBIN/12parul/KN3817</t>
  </si>
  <si>
    <t>TSV-2601-0026</t>
  </si>
  <si>
    <t>UPI/CR/116607229508/KIRAN KR/SBIN/kiran90/KN3817</t>
  </si>
  <si>
    <t>TSV-2601-0027</t>
  </si>
  <si>
    <t>UPI/CR/108901197072/GITU MON/ICIC/geetu12/SL1610</t>
  </si>
  <si>
    <t>UC610-0742</t>
  </si>
  <si>
    <t>TSV-2601-0028</t>
  </si>
  <si>
    <t>UPI/CR/636928350187/NEHA KHA/UBIN/neha.kh/SC3567</t>
  </si>
  <si>
    <t>TSV-2601-0029</t>
  </si>
  <si>
    <t>UPI/CR/108901586407/RAJESH S/ICIC/9810806/na</t>
  </si>
  <si>
    <t>UC610-0737</t>
  </si>
  <si>
    <t>TSV-2601-0030</t>
  </si>
  <si>
    <t>UPI/CR/636909962944/SANDEEP /UTIB/sandiv9/SC3567</t>
  </si>
  <si>
    <t>TSV-2601-0031</t>
  </si>
  <si>
    <t>UPI/CR/394857824658/PANKAJ K/IBKL/9771433/SC3567</t>
  </si>
  <si>
    <t>TSV-2601-0032</t>
  </si>
  <si>
    <t>UPI/DR/600375393459/AMIT/BKID/9540764/Chemica</t>
  </si>
  <si>
    <t>TSV-2601-0033</t>
  </si>
  <si>
    <t>UPI/CR/636979585193/SURAJ D/SBIN/surajde/UN3668</t>
  </si>
  <si>
    <t>T1910</t>
  </si>
  <si>
    <t>TSV-2601-0034</t>
  </si>
  <si>
    <t>UPI/CR/600331124620/REUBEN N/UTIB/9810624/SC3567</t>
  </si>
  <si>
    <t>TSV-2601-0035</t>
  </si>
  <si>
    <t>UPI/CR/600301240230/EKLAVYA /KKBK/9818559/SL1610</t>
  </si>
  <si>
    <t>UC610-0711</t>
  </si>
  <si>
    <t>TSV-2601-0036</t>
  </si>
  <si>
    <t>UPI/DR/636902506072/85068322/FINO/8506832/Advance</t>
  </si>
  <si>
    <t>TSV-2601-0037</t>
  </si>
  <si>
    <t>UPI/CR/636920783741/JYOTHI N/SBIN/9492847/UN3668</t>
  </si>
  <si>
    <t>T1876</t>
  </si>
  <si>
    <t>TSV-2601-0038</t>
  </si>
  <si>
    <t>UPI/DR/636927608630/sr585869/NESF/sr58586/Reimbur</t>
  </si>
  <si>
    <t>Reim</t>
  </si>
  <si>
    <t>TSV-2601-0039</t>
  </si>
  <si>
    <t>UPI/CR/600371606443/Miss RIY/MAHB/ragour2/SC3567</t>
  </si>
  <si>
    <t>TSV-2601-0040</t>
  </si>
  <si>
    <t>UPI/DR/636961729346/Sk Commu/UTIB/9953477/Phone r</t>
  </si>
  <si>
    <t>Phone Repair</t>
  </si>
  <si>
    <t>TSV-2601-0041</t>
  </si>
  <si>
    <t>UPI/CR/439824333609/RAJA KUM/IBKL/6289399/KN3817</t>
  </si>
  <si>
    <t>TSV-2601-0042</t>
  </si>
  <si>
    <t>UPI/CR/384008066183/LOKESH S/HDFC/8383008/KN3817</t>
  </si>
  <si>
    <t>TSV-2601-0043</t>
  </si>
  <si>
    <t>UPI/CR/600401972242/GAUTAM N/UBIN/9810046/KN3817</t>
  </si>
  <si>
    <t>TSV-2601-0044</t>
  </si>
  <si>
    <t>UPI/CR/745421983847/RANODEEP/HDFC/7688055/SL1610</t>
  </si>
  <si>
    <t>UC610-0696</t>
  </si>
  <si>
    <t>TSV-2601-0045</t>
  </si>
  <si>
    <t>UPI/CR/696781436263/ADARSH S/HDFC/9816341/UN3668</t>
  </si>
  <si>
    <t>T1897</t>
  </si>
  <si>
    <t>TSV-2601-0046</t>
  </si>
  <si>
    <t>UPI/CR/394904062085/MONIKA R/PUNB/7004769/UN3668</t>
  </si>
  <si>
    <t>T1885</t>
  </si>
  <si>
    <t>TSV-2601-0047</t>
  </si>
  <si>
    <t>UPI/CR/637034062158/SAMEER S/ICIC/sameers/SL1610</t>
  </si>
  <si>
    <t>UC610-0748</t>
  </si>
  <si>
    <t>TSV-2601-0048</t>
  </si>
  <si>
    <t>UPI/CR/394907774009/DIVYANSH/SBIN/7073013/SL1610</t>
  </si>
  <si>
    <t>UC610-0740</t>
  </si>
  <si>
    <t>TSV-2601-0049</t>
  </si>
  <si>
    <t>UPI/CR/108909513252/MAYANK R/ICIC/mayank./na</t>
  </si>
  <si>
    <t>UC610-0746</t>
  </si>
  <si>
    <t>TSV-2601-0050</t>
  </si>
  <si>
    <t>UPI/CR/696794519956/YOGESH K/BARB/slowpok/KN3817</t>
  </si>
  <si>
    <t>TSV-2601-0051</t>
  </si>
  <si>
    <t>UPI/CR/627753602774/NEUPA SI/UTIB/7482028/SL1610</t>
  </si>
  <si>
    <t>UC610-0751</t>
  </si>
  <si>
    <t>TSV-2601-0052</t>
  </si>
  <si>
    <t>UPI/CR/600440101646/AVNEESH /SBIN/avnishi/UN3668</t>
  </si>
  <si>
    <t>T1918</t>
  </si>
  <si>
    <t>TSV-2601-0053</t>
  </si>
  <si>
    <t>UPI/CR/448495234917/SAURABH /SBIN/9933677/SC3567</t>
  </si>
  <si>
    <t>TSV-2601-0054</t>
  </si>
  <si>
    <t>UPI/DR/637077794064/Amazon I/RATN/amazonp/You are</t>
  </si>
  <si>
    <t>TSV-2601-0055</t>
  </si>
  <si>
    <t>UPI/CR/375440204316/RAHUL NA/ICIC/9811909/SL1610</t>
  </si>
  <si>
    <t>UC610-0765</t>
  </si>
  <si>
    <t>TSV-2601-0056</t>
  </si>
  <si>
    <t>UPI/CR/956120156841/RAHUL NA/ICIC/9811909/SL1610</t>
  </si>
  <si>
    <t>TSV-2601-0057</t>
  </si>
  <si>
    <t>UPI/CR/394950206789/SUNIL/PUNB/9278628/UN3668</t>
  </si>
  <si>
    <t>T1843</t>
  </si>
  <si>
    <t>TSV-2601-0058</t>
  </si>
  <si>
    <t>UPI/CR/116712686715/KIRAN TU/ICIC/kirantu/SL1610</t>
  </si>
  <si>
    <t>UC610-0761</t>
  </si>
  <si>
    <t>TSV-2601-0059</t>
  </si>
  <si>
    <t>UPI/CR/394959772637/SONU/KKBK/7678431/UN3668</t>
  </si>
  <si>
    <t>T1911</t>
  </si>
  <si>
    <t>TSV-2601-0060</t>
  </si>
  <si>
    <t>UPI/DR/600501233243/NAIN SIN/YESB/paytmqr/Transpo</t>
  </si>
  <si>
    <t>TSV-2601-0061</t>
  </si>
  <si>
    <t>UPI/CR/696844548534/NAMITA R/CNRB/9312180/KN3817</t>
  </si>
  <si>
    <t>TSV-2601-0062</t>
  </si>
  <si>
    <t>UPI/CR/116720748032/PARNIKA /HDFC/rastogi/KN3817</t>
  </si>
  <si>
    <t>TSV-2601-0063</t>
  </si>
  <si>
    <t>UPI/CR/116728694675/TARUNKUM/HDFC/tarunma/UN3668</t>
  </si>
  <si>
    <t>T1919</t>
  </si>
  <si>
    <t>TSV-2601-0064</t>
  </si>
  <si>
    <t>UPI/CR/600542555462/PAWAN KU/UBIN/pawanvi/SC3567</t>
  </si>
  <si>
    <t>TSV-2601-0065</t>
  </si>
  <si>
    <t>UPI/CR/600558864735/AMIT KU/KKBK/amit763/UN3668</t>
  </si>
  <si>
    <t>T1928</t>
  </si>
  <si>
    <t>TSV-2601-0066</t>
  </si>
  <si>
    <t>UPI/CR/600571683229/GITANJAL/PUNB/9818869/KN3817</t>
  </si>
  <si>
    <t>TSV-2601-0067</t>
  </si>
  <si>
    <t>UPI/CR/108920749913/KUSH KHO/ICIC/kush.51/na</t>
  </si>
  <si>
    <t>UC610-0736</t>
  </si>
  <si>
    <t>TSV-2601-0068</t>
  </si>
  <si>
    <t>UPI/CR/369291732588/MUKESH /YESB/8448489/SC3567</t>
  </si>
  <si>
    <t>TSV-2601-0069</t>
  </si>
  <si>
    <t>UPI/CR/116761042072/VENKATES/HDFC/mailmve/SL1610</t>
  </si>
  <si>
    <t>UC610-0759</t>
  </si>
  <si>
    <t>TSV-2601-0070</t>
  </si>
  <si>
    <t>UPI/CR/637240210687/SAURABH /UTIB/saurabh/UN3668</t>
  </si>
  <si>
    <t>T1905</t>
  </si>
  <si>
    <t>TSV-2601-0071</t>
  </si>
  <si>
    <t>UPI/CR/116762361560/KAJAL BA/HDFC/bathre./UN3668</t>
  </si>
  <si>
    <t>T1921</t>
  </si>
  <si>
    <t>TSV-2601-0072</t>
  </si>
  <si>
    <t>UPI/CR/116763743323/ABHISHAK/HDFC/nagarko/UN3668</t>
  </si>
  <si>
    <t>T1889,T1925</t>
  </si>
  <si>
    <t>TSV-2601-0073</t>
  </si>
  <si>
    <t>CASH DEPOSIT BY VINAY 20148</t>
  </si>
  <si>
    <t>1,05,000.00</t>
  </si>
  <si>
    <t>1,89,910.51</t>
  </si>
  <si>
    <t>Sales Cash Deposit</t>
  </si>
  <si>
    <t>TSV-2601-0074</t>
  </si>
  <si>
    <t>UPI/CR/348888923803/STANDARD/BARB/9654351/SL1610</t>
  </si>
  <si>
    <t>1,90,310.51</t>
  </si>
  <si>
    <t>UC610-0745</t>
  </si>
  <si>
    <t>TSV-2601-0075</t>
  </si>
  <si>
    <t>UPI/DR/637270531058/Vijay Sh/AIRP/9873267/Transpo</t>
  </si>
  <si>
    <t>1,90,228.51</t>
  </si>
  <si>
    <t>TSV-2601-0076</t>
  </si>
  <si>
    <t>UPI/CR/696911683869/SASMITA /UBIN/sasmita/SL1610</t>
  </si>
  <si>
    <t>1,90,595.51</t>
  </si>
  <si>
    <t>UC610-0753</t>
  </si>
  <si>
    <t>TSV-2601-0077</t>
  </si>
  <si>
    <t>UPI/CR/600640104868/APOORV C/UTIB/apoorv./UPI</t>
  </si>
  <si>
    <t>1,90,895.51</t>
  </si>
  <si>
    <t>TSV-2601-0078</t>
  </si>
  <si>
    <t>UPI/CR/696914686215/VISHAL S/HDFC/7459961/Sent us</t>
  </si>
  <si>
    <t>1,93,619.51</t>
  </si>
  <si>
    <t>UC610-0756</t>
  </si>
  <si>
    <t>TSV-2601-0079</t>
  </si>
  <si>
    <t>UPI/CR/395033949024/AMIT KUM/FDRL/9324282/SL1610</t>
  </si>
  <si>
    <t>1,95,619.51</t>
  </si>
  <si>
    <t>UC610-0760</t>
  </si>
  <si>
    <t>TSV-2601-0080</t>
  </si>
  <si>
    <t>UPI/CR/696919695791/AMIT KUM/FDRL/9324282/Sent us</t>
  </si>
  <si>
    <t>1,97,764.51</t>
  </si>
  <si>
    <t>TSV-2601-0081</t>
  </si>
  <si>
    <t>UPI/DR/637233346348/Sk Commu/UTIB/9953477/Mobile</t>
  </si>
  <si>
    <t>1,96,264.51</t>
  </si>
  <si>
    <t>Mobile Repair</t>
  </si>
  <si>
    <t>TSV-2601-0082</t>
  </si>
  <si>
    <t>UPI/CR/637326375042/ESHA JA/IOBA/9813517/SC3567</t>
  </si>
  <si>
    <t>1,97,320.51</t>
  </si>
  <si>
    <t>TSV-2601-0083</t>
  </si>
  <si>
    <t>UPI/CR/696948473820/ARCHIT B/HDFC/8447340/KN3817</t>
  </si>
  <si>
    <t>1,97,820.51</t>
  </si>
  <si>
    <t>TSV-2601-0084</t>
  </si>
  <si>
    <t>UPI/CR/116809155525/BROTIN K/SBIN/brotink/SC3567</t>
  </si>
  <si>
    <t>1,99,323.51</t>
  </si>
  <si>
    <t>TSV-2601-0085</t>
  </si>
  <si>
    <t>UPI/CR/116818349297/FELIO RE/KKBK/harshit/SL1610</t>
  </si>
  <si>
    <t>2,00,383.51</t>
  </si>
  <si>
    <t>UC610-0743</t>
  </si>
  <si>
    <t>TSV-2601-0086</t>
  </si>
  <si>
    <t>UPI/CR/694945055228/RIJO VAR/HDFC/varghes/UN3668</t>
  </si>
  <si>
    <t>2,00,687.51</t>
  </si>
  <si>
    <t>T1892</t>
  </si>
  <si>
    <t>TSV-2601-0087</t>
  </si>
  <si>
    <t>UPI/CR/637394997893/ABHILASH/ICIC/jainabh/SL1610</t>
  </si>
  <si>
    <t>2,01,970.51</t>
  </si>
  <si>
    <t>UC610-0752</t>
  </si>
  <si>
    <t>TSV-2601-0088</t>
  </si>
  <si>
    <t>UPI/CR/395078351944/MADHUMIT/SBIN/madhumi/UN3668</t>
  </si>
  <si>
    <t>2,02,670.51</t>
  </si>
  <si>
    <t>T1917</t>
  </si>
  <si>
    <t>TSV-2601-0089</t>
  </si>
  <si>
    <t>UPI/CR/116825442535/KIMI KAD/HDFC/kimikad/UN3668</t>
  </si>
  <si>
    <t>2,03,150.51</t>
  </si>
  <si>
    <t>T1914</t>
  </si>
  <si>
    <t>TSV-2601-0090</t>
  </si>
  <si>
    <t>UPI/CR/600742249469/LAVANYA/HDFC/lavanya/UN3668</t>
  </si>
  <si>
    <t>2,04,635.51</t>
  </si>
  <si>
    <t>T1920</t>
  </si>
  <si>
    <t>TSV-2601-0091</t>
  </si>
  <si>
    <t>UPI/CR/637311463683/CHIRAG J/HDFC/9582841/SC3567</t>
  </si>
  <si>
    <t>2,05,546.51</t>
  </si>
  <si>
    <t>TSV-2601-0092</t>
  </si>
  <si>
    <t>UPI/CR/187724130251/DAN VARG/HDFC/9899812/UN3668</t>
  </si>
  <si>
    <t>2,08,618.51</t>
  </si>
  <si>
    <t>T1609</t>
  </si>
  <si>
    <t>TSV-2601-0093</t>
  </si>
  <si>
    <t>UPI/CR/600764326316/BAIBHAV /KKBK/baibhav/SL1610</t>
  </si>
  <si>
    <t>2,08,638.51</t>
  </si>
  <si>
    <t>UC610-0769,UC610-0774</t>
  </si>
  <si>
    <t>TSV-2601-0094</t>
  </si>
  <si>
    <t>UPI/CR/395096371714/DIVYA VE/HDFC/9910660/KN3817</t>
  </si>
  <si>
    <t>2,09,280.51</t>
  </si>
  <si>
    <t>TSV-2601-0095</t>
  </si>
  <si>
    <t>UPI/CR/116839516926/SOMYA SI/HDFC/somya01/SL1610</t>
  </si>
  <si>
    <t>2,10,682.51</t>
  </si>
  <si>
    <t>TSV-2601-0096</t>
  </si>
  <si>
    <t>UPI/CR/702711970626/MANTU KU/PPIW/8809497/UN3668</t>
  </si>
  <si>
    <t>2,11,052.51</t>
  </si>
  <si>
    <t>T1936</t>
  </si>
  <si>
    <t>TSV-2601-0097</t>
  </si>
  <si>
    <t>UPI/CR/675466680573/MANTU KU/PPIW/8809497/UN3668</t>
  </si>
  <si>
    <t>2,11,525.51</t>
  </si>
  <si>
    <t>T1937</t>
  </si>
  <si>
    <t>TSV-2601-0098</t>
  </si>
  <si>
    <t>IMPS/600722656195/THESHAWVENTURES/SBIN00A6446/4595/ReqPay</t>
  </si>
  <si>
    <t>2,46,525.51</t>
  </si>
  <si>
    <t>Internal Transfer, from SBI A/C to this account</t>
  </si>
  <si>
    <t>TSV-2601-0099</t>
  </si>
  <si>
    <t>IMPS-OPM/600811878796/UCONCEPTS SOLUTIONS PRIVATE LIMITED/ICIC0001842/1687/IroningServiceSC3567</t>
  </si>
  <si>
    <t>2,45,109.51</t>
  </si>
  <si>
    <t>Iron Boiler Repair</t>
  </si>
  <si>
    <t>TSV-2601-0100</t>
  </si>
  <si>
    <t>UPI/CR/395120703032/Abhinav /AUBL/8470868/KN3817</t>
  </si>
  <si>
    <t>2,45,939.51</t>
  </si>
  <si>
    <t>TSV-2601-0101</t>
  </si>
  <si>
    <t>UPI/DR/298060868151/Blinkit/YESB/paytm-b/OidZTBL</t>
  </si>
  <si>
    <t>2,45,805.51</t>
  </si>
  <si>
    <t>TSV-2601-0102</t>
  </si>
  <si>
    <t>UPI/CR/600806392369/Blinkit/YESB/paytm-b/collect</t>
  </si>
  <si>
    <t>Auto Refund for above Txn</t>
  </si>
  <si>
    <t>TSV-2601-0103</t>
  </si>
  <si>
    <t>UPI/CR/600887737096/VARUN KU/KKBK/varunsi/SL1610</t>
  </si>
  <si>
    <t>2,46,522.51</t>
  </si>
  <si>
    <t>UC610-0762</t>
  </si>
  <si>
    <t>TSV-2601-0104</t>
  </si>
  <si>
    <t>UPI/CR/600813236591/DILDAHAR/SBIN/dildaha/UN3668</t>
  </si>
  <si>
    <t>2,46,905.51</t>
  </si>
  <si>
    <t>T1924</t>
  </si>
  <si>
    <t>TSV-2601-0105</t>
  </si>
  <si>
    <t>UPI/DR/600810250004/AUTO SER/YESB/paytmqr/transpo</t>
  </si>
  <si>
    <t>2,40,960.67</t>
  </si>
  <si>
    <t>TSV-2601-0106</t>
  </si>
  <si>
    <t>UPI/CR/697030516251/ASHIMA /KKBK/9971632/SL1610</t>
  </si>
  <si>
    <t>2,42,608.67</t>
  </si>
  <si>
    <t>UC610-0754</t>
  </si>
  <si>
    <t>TSV-2601-0107</t>
  </si>
  <si>
    <t>UPI/CR/395143030324/ARYAN SI/IBKL/8271629/UN3668</t>
  </si>
  <si>
    <t>2,43,193.67</t>
  </si>
  <si>
    <t>T1957</t>
  </si>
  <si>
    <t>TSV-2601-0108</t>
  </si>
  <si>
    <t>UPI/CR/263178853912/VAIBHAV/SBIN/8800274/KN3817</t>
  </si>
  <si>
    <t>2,44,293.67</t>
  </si>
  <si>
    <t>TSV-2601-0109</t>
  </si>
  <si>
    <t>UPI/CR/600857265431/SAATVIK /BKID/9653538/SL1610</t>
  </si>
  <si>
    <t>2,44,943.67</t>
  </si>
  <si>
    <t>UC610-0771</t>
  </si>
  <si>
    <t>TSV-2601-0110</t>
  </si>
  <si>
    <t>UPI/CR/600810829266/MAYANK C/HDFC/9717328/SC3567</t>
  </si>
  <si>
    <t>2,44,944.67</t>
  </si>
  <si>
    <t>TSV-2601-0111</t>
  </si>
  <si>
    <t>UPI/CR/600810841580/MAYANK C/HDFC/9717328/Sent us</t>
  </si>
  <si>
    <t>2,49,744.67</t>
  </si>
  <si>
    <t>TSV-2601-0112</t>
  </si>
  <si>
    <t>UPI/CR/637421627602/AGARWAL /HSBC/8481935/SL1610</t>
  </si>
  <si>
    <t>2,50,848.67</t>
  </si>
  <si>
    <t>UC610-0766</t>
  </si>
  <si>
    <t>TSV-2601-0113</t>
  </si>
  <si>
    <t>UPI/CR/600877697809/NIKHIL B/ICIC/nikhilb/UN3668</t>
  </si>
  <si>
    <t>2,51,238.67</t>
  </si>
  <si>
    <t>T1847</t>
  </si>
  <si>
    <t>TSV-2601-0114</t>
  </si>
  <si>
    <t>UPI/CR/202310127454/ASHWANIT/HDFC/6393114/SL1610</t>
  </si>
  <si>
    <t>2,55,072.67</t>
  </si>
  <si>
    <t>UC610-0758</t>
  </si>
  <si>
    <t>TSV-2601-0115</t>
  </si>
  <si>
    <t>UPI/CR/013367238724/HARI KIS/PUNB/oceanof/SC3567</t>
  </si>
  <si>
    <t>2,55,424.67</t>
  </si>
  <si>
    <t>TSV-2601-0116</t>
  </si>
  <si>
    <t>NEFT/IDFBH26008193271/Vinod Sahni/SBIN0003221/Salary Dec25 Vinod Sahni SC3567</t>
  </si>
  <si>
    <t>2,51,941.67</t>
  </si>
  <si>
    <t>Salary Vinod</t>
  </si>
  <si>
    <t>TSV-2601-0117</t>
  </si>
  <si>
    <t>NEFT/IDFBH26008193273/Jitender Singh/IOBA0003714/Salary Dec25 Jitender Singh SC356</t>
  </si>
  <si>
    <t>2,48,683.67</t>
  </si>
  <si>
    <t>TSV-2601-0118</t>
  </si>
  <si>
    <t>NEFT/IDFBH26008193274/Jatin Yadav/FINO0001001/Salary Dec25 Jatin Yadav SL1610</t>
  </si>
  <si>
    <t>2,44,033.67</t>
  </si>
  <si>
    <t>TSV-2601-0119</t>
  </si>
  <si>
    <t>NEFT/IDFBH26008193275/Suraj Kumar/PUNB0405300/Salary Dec25 Suraj Kumar KN3817</t>
  </si>
  <si>
    <t>2,27,033.67</t>
  </si>
  <si>
    <t>TSV-2601-0120</t>
  </si>
  <si>
    <t>NEFT/IDFBH26008193276/Kamal Kumar/KKBK0000287/Salary Dec25 Kamal Kumar SL1610</t>
  </si>
  <si>
    <t>2,08,350.67</t>
  </si>
  <si>
    <t>TSV-2601-0121</t>
  </si>
  <si>
    <t>NEFT/IDFBH26008193277/Deepak Kumar/IPOS0000001/Salary Dec25 Deepak Kumar UN3668</t>
  </si>
  <si>
    <t>1,96,350.67</t>
  </si>
  <si>
    <t>TSV-2601-0122</t>
  </si>
  <si>
    <t>NEFT/IDFBH26008193279/Habib Ali Sheikh/ICIC0000004/Salary Dec25 Habib TSV001</t>
  </si>
  <si>
    <t>1,86,350.67</t>
  </si>
  <si>
    <t>Salary Habib</t>
  </si>
  <si>
    <t>TSV-2601-0123</t>
  </si>
  <si>
    <t>NEFT/IDFBH26008193280/Mohd Dilkash/PUNB0488200/Salary Dec25 Dilkash TSV001</t>
  </si>
  <si>
    <t>1,77,350.67</t>
  </si>
  <si>
    <t>Salary Dilkash</t>
  </si>
  <si>
    <t>TSV-2601-0124</t>
  </si>
  <si>
    <t>NEFT/IDFBH26008193282/Adnan Ali Sheikh/ICIC0000004/Salary Dec25 Adnan TSV001</t>
  </si>
  <si>
    <t>1,67,350.67</t>
  </si>
  <si>
    <t>Salary Adnan</t>
  </si>
  <si>
    <t>TSV-2601-0125</t>
  </si>
  <si>
    <t>NEFT/IDFBH26008193283/Naveen Sharma/IOBA0002367/Salary Dec25 Naveen TSV001</t>
  </si>
  <si>
    <t>1,46,350.67</t>
  </si>
  <si>
    <t>Salary Naveen</t>
  </si>
  <si>
    <t>TSV-2601-0126</t>
  </si>
  <si>
    <t>NEFT/IDFBH26008193284/Ramanand Sahu/PUNB0058600/Salary Dec25 Ramanand Sahu KN3817</t>
  </si>
  <si>
    <t>1,37,950.67</t>
  </si>
  <si>
    <t>Salary Ramanand</t>
  </si>
  <si>
    <t>TSV-2601-0127</t>
  </si>
  <si>
    <t>NEFT/IDFBH26008193285/Wasif Khan/KKBK0005294/Salary Dec25 Wasif UN3668</t>
  </si>
  <si>
    <t>1,34,150.67</t>
  </si>
  <si>
    <t>Salary Wasif</t>
  </si>
  <si>
    <t>TSV-2601-0128</t>
  </si>
  <si>
    <t>NEFT/IDFBH26008193286/Atif Khan/NESF0000096/Salary Dec25 Atif Khan UN3668</t>
  </si>
  <si>
    <t>1,25,283.67</t>
  </si>
  <si>
    <t>Salary Atif</t>
  </si>
  <si>
    <t>TSV-2601-0129</t>
  </si>
  <si>
    <t>NEFT/IDFBH26008193287/Sanjay Kumar/FINO0001129/Salary Dec25 Sanjay Kumar KN3817</t>
  </si>
  <si>
    <t>1,10,433.67</t>
  </si>
  <si>
    <t>TSV-2601-0130</t>
  </si>
  <si>
    <t>NEFT/IDFBH26008193289/Abdul Khan/UBIN0538094/Salary Dec25 Abdul Khan SC3567</t>
  </si>
  <si>
    <t>1,02,158.67</t>
  </si>
  <si>
    <t>Salary Abdul</t>
  </si>
  <si>
    <t>TSV-2601-0131</t>
  </si>
  <si>
    <t>NEFT/IDFBH26008193290/Mohsin Khan/SBIN0001679/Salary Dec25 Mohsin Khan UN3668</t>
  </si>
  <si>
    <t>TSV-2601-0132</t>
  </si>
  <si>
    <t>NEFT/IDFBH26008193291/Vishal Kumar/CNRB0005123/Salary Dec25 Vishal Kumar KN3817</t>
  </si>
  <si>
    <t>TSV-2601-0133</t>
  </si>
  <si>
    <t>NEFT/IDFBH26008193292/Shanee Kumar/NESF0000333/Salary Dec25 Shanee Kumar SL1610</t>
  </si>
  <si>
    <t>Salary Shanee</t>
  </si>
  <si>
    <t>TSV-2601-0134</t>
  </si>
  <si>
    <t>NEFT/IDFBH26008193293/Ankit Kumar/PUNB0307200/Salary Dec25 Ankit Kumar KN3817</t>
  </si>
  <si>
    <t>TSV-2601-0135</t>
  </si>
  <si>
    <t>UPI/DR/600807099845/VINAY KU/PUNB/8700704/Salary</t>
  </si>
  <si>
    <t>TSV-2601-0136</t>
  </si>
  <si>
    <t>NEFT RETURN/IDFBH26008193286/</t>
  </si>
  <si>
    <t>TSV-2601-0137</t>
  </si>
  <si>
    <t>NEFT RETURN/IDFBH26008193292/INCORRECT ACCOUNT NUMBER</t>
  </si>
  <si>
    <t>TSV-2601-0138</t>
  </si>
  <si>
    <t>NEFT RETURN/IDFBH26008193277/UNKNOWN END CUSTOMER</t>
  </si>
  <si>
    <t>TSV-2601-0139</t>
  </si>
  <si>
    <t>NEFT RETURN/IDFBH26008193285/UNKNOWN END CUSTOMER</t>
  </si>
  <si>
    <t>TSV-2601-0140</t>
  </si>
  <si>
    <t>NEFT RETURN/IDFBH26008193293/</t>
  </si>
  <si>
    <t>TSV-2601-0141</t>
  </si>
  <si>
    <t>NEFT RETURN/IDFBH26008193275/</t>
  </si>
  <si>
    <t>1,11,192.67</t>
  </si>
  <si>
    <t>TSV-2601-0142</t>
  </si>
  <si>
    <t>UPI/DR/637419614219/APOORV C/UTIB/apoorv7/Refund</t>
  </si>
  <si>
    <t>1,10,892.67</t>
  </si>
  <si>
    <t>Refund of Excexx Payment</t>
  </si>
  <si>
    <t>TSV-2601-0143</t>
  </si>
  <si>
    <t>NEFT RETURN/IDFBH26008193284/</t>
  </si>
  <si>
    <t>1,19,292.67</t>
  </si>
  <si>
    <t>TSV-2601-0144</t>
  </si>
  <si>
    <t>UPI/CR/697064597620/PRATEEKS/ICIC/8447592/SC3567</t>
  </si>
  <si>
    <t>1,20,235.67</t>
  </si>
  <si>
    <t>TSV-2601-0145</t>
  </si>
  <si>
    <t>UPI/DR/637596032689/Mithlesh/AIRP/7428079/Salary</t>
  </si>
  <si>
    <t>1,04,735.67</t>
  </si>
  <si>
    <t>TSV-2601-0146</t>
  </si>
  <si>
    <t>UPI/DR/637515509835/RAMANAND/PUNB/7050269/Salary</t>
  </si>
  <si>
    <t>TSV-2601-0147</t>
  </si>
  <si>
    <t>UPI/DR/637531816893/DEEPAK K/IPOS/8541934/Salary</t>
  </si>
  <si>
    <t>TSV-2601-0148</t>
  </si>
  <si>
    <t>UPI/DR/637510506197/atif8869/NESF/atif886/Salary</t>
  </si>
  <si>
    <t>TSV-2601-0149</t>
  </si>
  <si>
    <t>UPI/DR/637562616341/SHAROZ /KKBK/8287919/Salary</t>
  </si>
  <si>
    <t>TSV-2601-0150</t>
  </si>
  <si>
    <t>UPI/CR/395177377514/SHUBHAM /ICIC/8861503/SL1610</t>
  </si>
  <si>
    <t>TSV-2601-0151</t>
  </si>
  <si>
    <t>UPI/DR/637556310165/Guru Kru/YESB/paytmqr/LPG SL1</t>
  </si>
  <si>
    <t>TSV-2601-0152</t>
  </si>
  <si>
    <t>UPI/DR/637578228640/sr585869/NESF/sr58586/Salary</t>
  </si>
  <si>
    <t>TSV-2601-0153</t>
  </si>
  <si>
    <t>UPI/CR/116914765768/VENKATES/HDFC/mailmve/SL1610</t>
  </si>
  <si>
    <t>TSV-2601-0154</t>
  </si>
  <si>
    <t>UPI/CR/108947032365/GITU MON/ICIC/geetu12/SL1610</t>
  </si>
  <si>
    <t>TSV-2601-0155</t>
  </si>
  <si>
    <t>UPI/CR/637511323072/SANDEEP /UTIB/sandiv9/SC3567</t>
  </si>
  <si>
    <t>TSV-2601-0156</t>
  </si>
  <si>
    <t>UPI/CR/108947849864/KUSH KHO/ICIC/kush.51/na</t>
  </si>
  <si>
    <t>UC610-0772</t>
  </si>
  <si>
    <t>TSV-2601-0157</t>
  </si>
  <si>
    <t>UPI/CR/216036844865/GARIMA G/HDFC/gusaing/SL1610</t>
  </si>
  <si>
    <t>TSV-2601-0158</t>
  </si>
  <si>
    <t>UPI/DR/637541351240/Amazon P/UTIB/amazonp/You are</t>
  </si>
  <si>
    <t>TSV-2601-0159</t>
  </si>
  <si>
    <t>UPI/CR/579681032883/SHAGUN P/SBIN/9452295/KN3817</t>
  </si>
  <si>
    <t>TSV-2601-0160</t>
  </si>
  <si>
    <t>UPI/CR/864740633373/VIJAY Y/KKBK/9818867/SL1610</t>
  </si>
  <si>
    <t>TSV-2601-0161</t>
  </si>
  <si>
    <t>UPI/CR/697102401784/KASHISH/PSIB/8368522/UN3668</t>
  </si>
  <si>
    <t>TSV-2601-0162</t>
  </si>
  <si>
    <t>UPI/DR/637582471414/DEEPAK K/IPOS/8541934/Reimbur</t>
  </si>
  <si>
    <t>TSV-2601-0163</t>
  </si>
  <si>
    <t>NEFT/IDFBH26009393028/Suraj Kumar/PUNB0405300/Salary Dec25 Suraj Kumar KN3817</t>
  </si>
  <si>
    <t>TSV-2601-0164</t>
  </si>
  <si>
    <t>NEFT/IDFBH26009393029/Preeti Kaur/INDB0002234/Salary Maid Dec25 KN3817</t>
  </si>
  <si>
    <t>Salary Preeti</t>
  </si>
  <si>
    <t>TSV-2601-0165</t>
  </si>
  <si>
    <t>NEFT/IDFBH26009393030/Sanat Das/PUNB0461400/Salary Maid Dec25 SL1610</t>
  </si>
  <si>
    <t>Salary Sanat</t>
  </si>
  <si>
    <t>TSV-2601-0166</t>
  </si>
  <si>
    <t>NEFT/IDFBH26009393031/Mamta Mandal/BARB0DLFGUR/Salary Maid Dec25 SC3567</t>
  </si>
  <si>
    <t>Salary Mamta</t>
  </si>
  <si>
    <t>TSV-2601-0167</t>
  </si>
  <si>
    <t>NEFT/IDFBH26009394443/Manju Lata/UBIN0542032/Salary Maid Dec25 UN3668</t>
  </si>
  <si>
    <t>Salary Manju</t>
  </si>
  <si>
    <t>TSV-2601-0168</t>
  </si>
  <si>
    <t>NEFT RETURN/IDFBH26009393028/PAYMENT STOPPED</t>
  </si>
  <si>
    <t>TSV-2601-0169</t>
  </si>
  <si>
    <t>UPI/DR/601004811400/SURAJ MA/PUNB/9311214/Salary</t>
  </si>
  <si>
    <t>TSV-2601-0170</t>
  </si>
  <si>
    <t>UPI/CR/601051303466/Bibhab /SBIN/dashing/UN3668</t>
  </si>
  <si>
    <t>TSV-2601-0171</t>
  </si>
  <si>
    <t>UPI/CR/601013501610/RAJAT MI/ICIC/mrajat6/SL1610</t>
  </si>
  <si>
    <t>TSV-2601-0172</t>
  </si>
  <si>
    <t>UPI/CR/816239401229/SANJEEV /ICIC/san.goe/SC3567</t>
  </si>
  <si>
    <t>TSV-2601-0173</t>
  </si>
  <si>
    <t>UPI/CR/395244636789/DHEERAJ /BARB/9953277/UN3668</t>
  </si>
  <si>
    <t>TSV-2601-0174</t>
  </si>
  <si>
    <t>UPI/CR/601030412533/SAURABH /UTIB/saurabh/UN3668</t>
  </si>
  <si>
    <t>TSV-2601-0175</t>
  </si>
  <si>
    <t>UPI/CR/129193023535/SHEEBA /SBIN/9773821/UN3668</t>
  </si>
  <si>
    <t>TSV-2601-0176</t>
  </si>
  <si>
    <t>UPI/CR/524855772601/ADITYA G/HDFC/7424904/KN3817</t>
  </si>
  <si>
    <t>TSV-2601-0177</t>
  </si>
  <si>
    <t>UPI/CR/601038018815/RUDRA AR/HDFC/8826882/KN3817</t>
  </si>
  <si>
    <t>TSV-2601-0178</t>
  </si>
  <si>
    <t>UPI/CR/601070109150/ASHOKBHA/SBIN/9924748/UN3668</t>
  </si>
  <si>
    <t>TSV-2601-0179</t>
  </si>
  <si>
    <t>UPI/CR/601044761398/NEELAM N/UTIB/neelamn/KN3817</t>
  </si>
  <si>
    <t>TSV-2601-0180</t>
  </si>
  <si>
    <t>UPI/CR/426907953145/BHARTI /CNRB/bhartib/UN3668</t>
  </si>
  <si>
    <t>TSV-2601-0181</t>
  </si>
  <si>
    <t>UPI/CR/400625164459/SHEEBA /SBIN/9773821/UN3668</t>
  </si>
  <si>
    <t>TSV-2601-0182</t>
  </si>
  <si>
    <t>UPI/DR/601164868167/amazon p/YESB/amazonp/You are</t>
  </si>
  <si>
    <t>TSV-2601-0183</t>
  </si>
  <si>
    <t>UPI/CR/601150875666/SANDEEP /UTIB/9810060/UN3668</t>
  </si>
  <si>
    <t>TSV-2601-0184</t>
  </si>
  <si>
    <t>UPI/CR/601105856501/AMIT YAD/ICIC/amit.ya/UN3668</t>
  </si>
  <si>
    <t>TSV-2601-0185</t>
  </si>
  <si>
    <t>UPI/CR/601129471587/AMIT YAD/ICIC/amit.ya/UPI</t>
  </si>
  <si>
    <t>T1975</t>
  </si>
  <si>
    <t>TSV-2601-0186</t>
  </si>
  <si>
    <t>UPI/DR/601101079096/Mr SURES/IDIB/7052721/LPG KN3</t>
  </si>
  <si>
    <t>TSV-2601-0187</t>
  </si>
  <si>
    <t>UPI/CR/601170567476/BABU LAL/CNRB/chhibbe/SC3567</t>
  </si>
  <si>
    <t>TSV-2601-0188</t>
  </si>
  <si>
    <t>UPI/CR/117028976439/ABHINAV /KKBK/vasua9@/UN3668</t>
  </si>
  <si>
    <t>TSV-2601-0189</t>
  </si>
  <si>
    <t>UPI/CR/117029211050/CHETNA U/HDFC/rishiub/KN3817</t>
  </si>
  <si>
    <t>TSV-2601-0190</t>
  </si>
  <si>
    <t>UPI/CR/395316420583/IMRAN/AIRP/9927313/UN3668</t>
  </si>
  <si>
    <t>TSV-2601-0191</t>
  </si>
  <si>
    <t>UPI/CR/637743544792/GAYATRI /UBIN/sinhaya/UN3668</t>
  </si>
  <si>
    <t>TSV-2601-0192</t>
  </si>
  <si>
    <t>UPI/CR/395318151655/PRATIK K/ICIC/9289152/SC3567</t>
  </si>
  <si>
    <t>TSV-2601-0193</t>
  </si>
  <si>
    <t>UPI/CR/048295500273/RANODEEP/HDFC/7688055/SL1610</t>
  </si>
  <si>
    <t>TSV-2601-0194</t>
  </si>
  <si>
    <t>UPI/CR/279968500116/HIMANSHU/SBIN/mylordh/KN3817</t>
  </si>
  <si>
    <t>TSV-2601-0195</t>
  </si>
  <si>
    <t>UPI/CR/637742300028/SAMEER S/ICIC/sameers/SL1610</t>
  </si>
  <si>
    <t>TSV-2601-0196</t>
  </si>
  <si>
    <t>UPI/CR/191810384714/MrPARDEE/CBIN/9817980/KN3817</t>
  </si>
  <si>
    <t>TSV-2601-0197</t>
  </si>
  <si>
    <t>UPI/CR/117041382336/VARUN SA/HDFC/sainiva/SL1610</t>
  </si>
  <si>
    <t>TSV-2601-0198</t>
  </si>
  <si>
    <t>UPI/CR/117043630223/VISHVA D/HDFC/vishva./UN3668</t>
  </si>
  <si>
    <t>TSV-2601-0199</t>
  </si>
  <si>
    <t>UPI/CR/212717150945/AARUSHKA/ICIC/aarush./SC3567</t>
  </si>
  <si>
    <t>TSV-2601-0200</t>
  </si>
  <si>
    <t>UPI/CR/117051766536/DIVIJA V/HDFC/divijav/SL1610</t>
  </si>
  <si>
    <t>TSV-2601-0201</t>
  </si>
  <si>
    <t>UPI/CR/395351390697/PRACHI H/ICIC/7493990/SL1610</t>
  </si>
  <si>
    <t>TSV-2601-0202</t>
  </si>
  <si>
    <t>UPI/CR/601207088153/NEHA KH/KKBK/nehakh1/UN3668</t>
  </si>
  <si>
    <t>TSV-2601-0203</t>
  </si>
  <si>
    <t>UPI/CR/601298964172/RAJENDRA/SBIN/9312336/SC3567</t>
  </si>
  <si>
    <t>TSV-2601-0204</t>
  </si>
  <si>
    <t>UPI/CR/637857564595/RITESH M/ICIC/rittesh/UN3668</t>
  </si>
  <si>
    <t>TSV-2601-0205</t>
  </si>
  <si>
    <t>UPI/CR/516296038445/Sachin /SBIN/9660616/UN3668</t>
  </si>
  <si>
    <t>TSV-2601-0206</t>
  </si>
  <si>
    <t>UPI/CR/697268364582/SHAMBHAV/KKBK/7985776/KN3817</t>
  </si>
  <si>
    <t>TSV-2601-0207</t>
  </si>
  <si>
    <t>UPI/CR/395366299661/SUBHANKA/ICIC/thesubh/UN3668</t>
  </si>
  <si>
    <t>TSV-2601-0208</t>
  </si>
  <si>
    <t>UPI/CR/875936162792/ROHIT DU/CNRB/9211533/UN3668</t>
  </si>
  <si>
    <t>TSV-2601-0209</t>
  </si>
  <si>
    <t>UPI/DR/637819168210/VINOD S/SBIN/vinod33/Advance</t>
  </si>
  <si>
    <t>Advance Salary Vinod</t>
  </si>
  <si>
    <t>TSV-2601-0210</t>
  </si>
  <si>
    <t>UPI/CR/637892189289/APPU DEV/UBIN/appudev/KN3817</t>
  </si>
  <si>
    <t>TSV-2601-0211</t>
  </si>
  <si>
    <t>UPI/DR/637808980213/Mithlesh/AIRP/7428079/Reimbur</t>
  </si>
  <si>
    <t>TSV-2601-0212</t>
  </si>
  <si>
    <t>UPI/CR/255917252759/AVNEESH /SBIN/9971766/SC3567</t>
  </si>
  <si>
    <t>TSV-2601-0213</t>
  </si>
  <si>
    <t>UPI/CR/601299439704/NISHKARS/KKBK/jain.ni/KN3817</t>
  </si>
  <si>
    <t>TSV-2601-0214</t>
  </si>
  <si>
    <t>UPI/CR/601271402520/GARIMA M/UTIB/garima./UPI</t>
  </si>
  <si>
    <t>UC567-1213</t>
  </si>
  <si>
    <t>TSV-2601-0215</t>
  </si>
  <si>
    <t>UPI/CR/601245276085/Naina R/SBIN/nainara/KN3817</t>
  </si>
  <si>
    <t>TSV-2601-0216</t>
  </si>
  <si>
    <t>UPI/CR/601270973924/ITISHA G/HDFC/9982156/SL1610</t>
  </si>
  <si>
    <t>TSV-2601-0217</t>
  </si>
  <si>
    <t>UPI/DR/637885576595/ASHIRUL /UBIN/mdali27/Transpo</t>
  </si>
  <si>
    <t>TSV-2601-0218</t>
  </si>
  <si>
    <t>UPI/DR/601202409770/Amazon P/YESB/amazonp/You are</t>
  </si>
  <si>
    <t>TSV-2601-0219</t>
  </si>
  <si>
    <t>UPI/CR/601235459925/ROHIT DU/CNRB/rohit.3/UPI</t>
  </si>
  <si>
    <t>T1877</t>
  </si>
  <si>
    <t>TSV-2601-0220</t>
  </si>
  <si>
    <t>UPI/DR/637848587063/ZOYA KH/KKBK/8920759/Reimbur</t>
  </si>
  <si>
    <t>TSV-2601-0221</t>
  </si>
  <si>
    <t>IMPS/601312635732/THESHAWVENTURES/SBIN00A6446/4595/ReqPay</t>
  </si>
  <si>
    <t>1,00,474.92</t>
  </si>
  <si>
    <t>TSV-2601-0222</t>
  </si>
  <si>
    <t>NEFT/IDFBH26013878408/Pooja Sood/INDB0000724/Shop Rent Jan2026 SC3567</t>
  </si>
  <si>
    <t>Rent Jan 2026</t>
  </si>
  <si>
    <t>TSV-2601-0223</t>
  </si>
  <si>
    <t>NEFT/IDFBH26013878409/Om Prakash Duhan/SBIN0011444/Shop Rent Jan2026 SL1610</t>
  </si>
  <si>
    <t>TSV-2601-0224</t>
  </si>
  <si>
    <t>NEFT/IDFBH26013878410/Subhash Chander/HDFC0001562/Shop Rent Jan2026 KN3817</t>
  </si>
  <si>
    <t>TSV-2601-0225</t>
  </si>
  <si>
    <t>UPI/CR/637979017218/MOHIT JA/UCBA/jaggamo/KN3817</t>
  </si>
  <si>
    <t>TSV-2601-0226</t>
  </si>
  <si>
    <t>UPI/CR/394692448676/MUKESH /YESB/8448489/SC3567</t>
  </si>
  <si>
    <t>TSV-2601-0227</t>
  </si>
  <si>
    <t>UPI/CR/601388859727/SANJAY /SBIN/meenaks/UN3668</t>
  </si>
  <si>
    <t>TSV-2601-0228</t>
  </si>
  <si>
    <t>UPI/CR/655131339619/PRINCE G/KKBK/9565361/UN3668</t>
  </si>
  <si>
    <t>TSV-2601-0229</t>
  </si>
  <si>
    <t>UPI/CR/960990891665/SAVINDER/UBIN/9999569/SC3567</t>
  </si>
  <si>
    <t>TSV-2601-0230</t>
  </si>
  <si>
    <t>UPI/CR/810483973522/SATENDER/PUNB/9711407/SC3567</t>
  </si>
  <si>
    <t>TSV-2601-0231</t>
  </si>
  <si>
    <t>UPI/CR/601383169074/TEGESH S/HDFC/8447179/KN3817</t>
  </si>
  <si>
    <t>TSV-2601-0232</t>
  </si>
  <si>
    <t>UPI/CR/395434689632/ISHWENDR/BARB/9999006/SC3567</t>
  </si>
  <si>
    <t>TSV-2601-0233</t>
  </si>
  <si>
    <t>UPI/CR/601391743312/ABHINAV /ICIC/abhinav/SL1610</t>
  </si>
  <si>
    <t>TSV-2601-0234</t>
  </si>
  <si>
    <t>UPI/CR/117136356093/RAJPATHI/HDFC/rajpath/UN3668</t>
  </si>
  <si>
    <t>TSV-2601-0235</t>
  </si>
  <si>
    <t>UPI/CR/601397755459/ABHI JIN/CNRB/jindala/SL1610</t>
  </si>
  <si>
    <t>TSV-2601-0236</t>
  </si>
  <si>
    <t>UPI/CR/637909654998/MANOJ KU/UTIB/24manoj/SL1610</t>
  </si>
  <si>
    <t>TSV-2601-0237</t>
  </si>
  <si>
    <t>UPI/CR/395443703873/SANDEEP /ICIC/9996066/SC3567</t>
  </si>
  <si>
    <t>TSV-2601-0238</t>
  </si>
  <si>
    <t>UPI/CR/697353563897/MANISH /SBIN/9953321/SC3567</t>
  </si>
  <si>
    <t>TSV-2601-0239</t>
  </si>
  <si>
    <t>UPI/CR/601364695226/Navish B/IDFB/8800809/SC3567</t>
  </si>
  <si>
    <t>TSV-2601-0240</t>
  </si>
  <si>
    <t>UPI/CR/387676294144/SUBHASH /SBIN/7742121/UN3668</t>
  </si>
  <si>
    <t>TSV-2601-0241</t>
  </si>
  <si>
    <t>UPI/CR/601326171767/KRITI CH/ICIC/kriti.a/SC3567</t>
  </si>
  <si>
    <t>TSV-2601-0242</t>
  </si>
  <si>
    <t>UPI/CR/774524410882/ATUL/HDFC/9024073/SC3567</t>
  </si>
  <si>
    <t>TSV-2601-0243</t>
  </si>
  <si>
    <t>UPI/CR/601301258359/Stuti V/SBIN/sttverm/SL1610</t>
  </si>
  <si>
    <t>TSV-2601-0244</t>
  </si>
  <si>
    <t>Charge:AMB_charges/Inv0612251181171111/31-DEC-2025/</t>
  </si>
  <si>
    <t>TSV-2601-0245</t>
  </si>
  <si>
    <t>CGST on Charge:AMB_charges/Inv0612251181171111/31-DEC-2025/</t>
  </si>
  <si>
    <t>TSV-2601-0246</t>
  </si>
  <si>
    <t>SGST on Charge:AMB_charges/Inv0612251181171111/31-DEC-2025/</t>
  </si>
  <si>
    <t>TSV-2601-0247</t>
  </si>
  <si>
    <t>UPI/CR/601492047540/AYUSH AG/INDB/7011668/UN3668</t>
  </si>
  <si>
    <t>TSV-2601-0248</t>
  </si>
  <si>
    <t>UPI/CR/869561416749/RAHUL NA/HDFC/rnarang/SL1610</t>
  </si>
  <si>
    <t>TSV-2601-0249</t>
  </si>
  <si>
    <t>UPI/CR/697400165080/HIMANSHU/ICIC/tg07@pt/SL1610</t>
  </si>
  <si>
    <t>TSV-2601-0250</t>
  </si>
  <si>
    <t>UPI/DR/638091332419/Mithlesh/AIRP/7428079/Reimbur</t>
  </si>
  <si>
    <t>TSV-2601-0251</t>
  </si>
  <si>
    <t>UPI/CR/395495147897/SONU/KKBK/7678431/UN3668</t>
  </si>
  <si>
    <t>TSV-2601-0252</t>
  </si>
  <si>
    <t>UPI/CR/601486516682/OJASWIN /PUNB/ojaswin/SC3567</t>
  </si>
  <si>
    <t>TSV-2601-0253</t>
  </si>
  <si>
    <t>UPI/CR/690870687706/DEEP SHI/UTIB/7070665/UN3668</t>
  </si>
  <si>
    <t>TSV-2601-0254</t>
  </si>
  <si>
    <t>UPI/CR/601409515622/Shashi /SBIN/shashi6/KN3817</t>
  </si>
  <si>
    <t>TSV-2601-0255</t>
  </si>
  <si>
    <t>UPI/CR/697411776929/ANIL KU/YESB/9560147/KN3817</t>
  </si>
  <si>
    <t>TSV-2601-0256</t>
  </si>
  <si>
    <t>UPI/CR/601402150771/MOHANA S/BARB/themoha/SL1610</t>
  </si>
  <si>
    <t>TSV-2601-0257</t>
  </si>
  <si>
    <t>UPI/CR/697416808058/ROHIT KU/KKBK/divine6/UN3668</t>
  </si>
  <si>
    <t>TSV-2601-0258</t>
  </si>
  <si>
    <t>UPI/CR/697416846093/ROHIT KU/KKBK/divine6/UN3668</t>
  </si>
  <si>
    <t>TSV-2601-0259</t>
  </si>
  <si>
    <t>UPI/CR/051290508897/Miss PRA/MAHB/6393625/KN3817</t>
  </si>
  <si>
    <t>TSV-2601-0260</t>
  </si>
  <si>
    <t>UPI/DR/638009430742/MANOJ KU/CNRB/8882356/Salary</t>
  </si>
  <si>
    <t>Water Pump Operator Salary</t>
  </si>
  <si>
    <t>TSV-2601-0261</t>
  </si>
  <si>
    <t>UPI/CR/601599085728/NEELU R/UTIB/neelura/UN3668</t>
  </si>
  <si>
    <t>TSV-2601-0262</t>
  </si>
  <si>
    <t>UPI/CR/601576782177/NEELU R/UTIB/neelura/UPI</t>
  </si>
  <si>
    <t>TSV-2601-0263</t>
  </si>
  <si>
    <t>UPI/CR/117217416761/VAIBHAV /HDFC/vaibhav/SL1610</t>
  </si>
  <si>
    <t>TSV-2601-0264</t>
  </si>
  <si>
    <t>UPI/DR/638152962792/85068322/KKBK/8506832/Reimbur</t>
  </si>
  <si>
    <t>Water Supply Repair</t>
  </si>
  <si>
    <t>TSV-2601-0265</t>
  </si>
  <si>
    <t>UPI/REV/638152962792/85068322/KKBK/8506832/Reimbu</t>
  </si>
  <si>
    <t>TSV-2601-0266</t>
  </si>
  <si>
    <t>UPI/DR/638102764887/85068322/KKBK/8506832/Reimbur</t>
  </si>
  <si>
    <t>TSV-2601-0267</t>
  </si>
  <si>
    <t>UPI/REV/638102764887/85068322/KKBK/8506832/Reimbu</t>
  </si>
  <si>
    <t>TSV-2601-0268</t>
  </si>
  <si>
    <t>UPI/CR/601507536012/ITISHA G/HDFC/9982156/SL1610</t>
  </si>
  <si>
    <t>TSV-2601-0269</t>
  </si>
  <si>
    <t>UPI/DR/638113569777/85068322/KKBK/8506832/Reimbur</t>
  </si>
  <si>
    <t>TSV-2601-0270</t>
  </si>
  <si>
    <t>UPI/REV/638113569777/85068322/KKBK/8506832/Reimbu</t>
  </si>
  <si>
    <t>TSV-2601-0271</t>
  </si>
  <si>
    <t>UPI/CR/601587677047/JASNEET /ICIC/sonambi/KN3817</t>
  </si>
  <si>
    <t>TSV-2601-0272</t>
  </si>
  <si>
    <t>UPI/CR/601518194226/ABHYUDAY/KKBK/abhyudh/UN3668</t>
  </si>
  <si>
    <t>TSV-2601-0273</t>
  </si>
  <si>
    <t>UPI/DR/638170276335/ARAKSHIT/KVBL/9717046/Repair</t>
  </si>
  <si>
    <t>TSV-2601-0274</t>
  </si>
  <si>
    <t>UPI/DR/638179575048/DIPAK K/KKBK/7739706/RO Wate</t>
  </si>
  <si>
    <t>TSV-2601-0275</t>
  </si>
  <si>
    <t>UPI/DR/638167688466/Google I/UTIB/gpay-ut/UPI</t>
  </si>
  <si>
    <t>TSV-2601-0276</t>
  </si>
  <si>
    <t>IMPS-OPM/601517215899/KAUSHALAYA DEVI/CNRB0002379/0007/RentUN3668</t>
  </si>
  <si>
    <t>TSV-2601-0277</t>
  </si>
  <si>
    <t>UPI/DR/638102379390/Rigoss/ICIC/rigoss./Electri</t>
  </si>
  <si>
    <t>TSV-2601-0278</t>
  </si>
  <si>
    <t>UPI/DR/638124588330/Rigoss/ICIC/rigoss./Electri</t>
  </si>
  <si>
    <t>TSV-2601-0279</t>
  </si>
  <si>
    <t>UPI/CR/117237682721/M AMNA S/FDRL/amnashi/UN3668</t>
  </si>
  <si>
    <t>TSV-2601-0280</t>
  </si>
  <si>
    <t>UPI/DR/638167797858/Guru Kru/YESB/paytmqr/LPG SC3</t>
  </si>
  <si>
    <t>TSV-2601-0281</t>
  </si>
  <si>
    <t>UPI/CR/638150125840/MALAVIKA/KKBK/shashaa/SL1610</t>
  </si>
  <si>
    <t>TSV-2601-0282</t>
  </si>
  <si>
    <t>UPI/CR/601514969098/AADITYA /HDFC/7065556/KN3817</t>
  </si>
  <si>
    <t>TSV-2601-0283</t>
  </si>
  <si>
    <t>UPI/DR/601593608672/atif8869/NESF/atif886/Advance</t>
  </si>
  <si>
    <t>Advance Salary Atif</t>
  </si>
  <si>
    <t>SBI</t>
  </si>
  <si>
    <t>TSV01-0001</t>
  </si>
  <si>
    <t>CASH DEPOSIT-CASH DEPOSIT SELF--</t>
  </si>
  <si>
    <t>/</t>
  </si>
  <si>
    <t>TSV01-0002</t>
  </si>
  <si>
    <t>TO TRANSFER-UPI/DR/100084103340/GHAZALA /NA/9871023366/Pay to--</t>
  </si>
  <si>
    <t>TRANSFER TO 4897695162091 /</t>
  </si>
  <si>
    <t>Test Transfer</t>
  </si>
  <si>
    <t>TSV01-0003</t>
  </si>
  <si>
    <t>BY TRANSFER-UPI/CR/503186009041/GHAZALA /HDFC/9871023366/Sent--</t>
  </si>
  <si>
    <t>TRANSFER FROM 4897737162096 /</t>
  </si>
  <si>
    <t>Reversal of Test Trasaction</t>
  </si>
  <si>
    <t>TSV02-0001</t>
  </si>
  <si>
    <t>TO TRANSFER-INB NEFT UTR NO: SBIN125034533575--UCONCEPTS SOLUTIONS PVT LTD</t>
  </si>
  <si>
    <t>NEFT INB: CNADKUKIR1  TRANSFER TO 3199301044303 / UCONCEPTS SOLUTIONS PVT LTD</t>
  </si>
  <si>
    <t>Store Setup</t>
  </si>
  <si>
    <t>TSV02-0002</t>
  </si>
  <si>
    <t>TO TRANSFER-INB NEFT UTR NO: SBIN125034536797--UCONCEPTS SOLUTIONS PVT LTD</t>
  </si>
  <si>
    <t>NEFT INB: CNADKUKMG1  TRANSFER TO 3199301044303 / UCONCEPTS SOLUTIONS PVT LTD</t>
  </si>
  <si>
    <t>TSV02-0003</t>
  </si>
  <si>
    <t>TO TRANSFER-INB NEFT UTR NO: SBIN225034470613--Kaushalya Devi</t>
  </si>
  <si>
    <t>NEFT INB: CNADKVHWO1  TRANSFER TO 4697154044300 / Kaushalya Devi</t>
  </si>
  <si>
    <t>TSV02-0004</t>
  </si>
  <si>
    <t>CSH DEP (CDM)-9870520045--</t>
  </si>
  <si>
    <t>TSV02-0005</t>
  </si>
  <si>
    <t>TSV02-0006</t>
  </si>
  <si>
    <t>TSV02-0007</t>
  </si>
  <si>
    <t>TSV02-0008</t>
  </si>
  <si>
    <t>TSV02-0009</t>
  </si>
  <si>
    <t>FI Txn @ CSP outlet-007943657290725116 MoneyTRF TXN @KO 3A942344--</t>
  </si>
  <si>
    <t>TRANSFER FROM 31917511925  ORIEL STARFIN INDIA PR /</t>
  </si>
  <si>
    <t>TSV02-0010</t>
  </si>
  <si>
    <t>TO TRANSFER-INB RTGS UTR NO: SBINR12025020774554346--Tumbledry Solutions Pvt Ltd</t>
  </si>
  <si>
    <t>RTGS INB: CRH2172286  TRANSFER TO 4599113044303 / Tumbledry Solutions Pvt Ltd</t>
  </si>
  <si>
    <t>TSV02-0011</t>
  </si>
  <si>
    <t>BY TRANSFER-UPI/CR/742435324821/NEELU/CNRB/7011640708/Payment--</t>
  </si>
  <si>
    <t>TRANSFER FROM 4897738162095 /</t>
  </si>
  <si>
    <t>TSV02-0012</t>
  </si>
  <si>
    <t>BY TRANSFER-UPI/CR/504168384779/Mr ROHIT/MAHB/8882281265/Sent--</t>
  </si>
  <si>
    <t>TRANSFER FROM 4897733162090 /</t>
  </si>
  <si>
    <t>TSV02-0013</t>
  </si>
  <si>
    <t>BY TRANSFER-UPI/CR/504111371990/SIDDHART/ICIC/9797500123/Sent--</t>
  </si>
  <si>
    <t>TSV02-0014</t>
  </si>
  <si>
    <t>BY TRANSFER-UPI/CR/504172022661/SIDDHART/ICIC/9797500123/Sent--</t>
  </si>
  <si>
    <t>TSV02-0015</t>
  </si>
  <si>
    <t>BY TRANSFER-UPI/CR/504222191041/GHAZALA /HDFC/9871023366/Sent--</t>
  </si>
  <si>
    <t>TRANSFER FROM 4897734162099 /</t>
  </si>
  <si>
    <t>TSV02-0016</t>
  </si>
  <si>
    <t>TSV02-0017</t>
  </si>
  <si>
    <t>TO TRANSFER-INB RTGS UTR NO: SBINR12025021375175704--ALH Infratech</t>
  </si>
  <si>
    <t>RTGS INB: CRH2439858  TRANSFER TO 4599113044303 / ALH Infratech</t>
  </si>
  <si>
    <t>TSV02-0018</t>
  </si>
  <si>
    <t>BY TRANSFER-UPI/CR/100016007318/NEELESH /HDFC/kr.neel200/UPI--</t>
  </si>
  <si>
    <t>TSV02-0019</t>
  </si>
  <si>
    <t>BY TRANSFER-UPI/CR/100027213706/TARUN SH/HDFC/tarunsharm/UPI--</t>
  </si>
  <si>
    <t>TSV02-0020</t>
  </si>
  <si>
    <t>BY TRANSFER-UPI/CR/504647707251/RAVI SHA/CNRB/9971218450/Sent--</t>
  </si>
  <si>
    <t>TSV02-0021</t>
  </si>
  <si>
    <t>BY TRANSFER-UPI/CR/541694125602/PAVAN KU/UTIB/9066424669/Paid--</t>
  </si>
  <si>
    <t>TRANSFER FROM 4897735162098 /</t>
  </si>
  <si>
    <t>TSV02-0022</t>
  </si>
  <si>
    <t>BY TRANSFER-UPI/CR/288013293131/RAKESH K/ICIC/9873333403/Payme--</t>
  </si>
  <si>
    <t>TSV02-0023</t>
  </si>
  <si>
    <t>BY TRANSFER-UPI/CR/612007026923/KAPIL  K/SBIN/9625603510/Payme--</t>
  </si>
  <si>
    <t>TSV02-0024</t>
  </si>
  <si>
    <t>TO TRANSFER-INB IMPS/505309876058/UTIB-xx295-/--</t>
  </si>
  <si>
    <t>IMPS00072411606MOAKWFFSU7  TRANSFER TO 4597878162091 /</t>
  </si>
  <si>
    <t>TSV02-0025</t>
  </si>
  <si>
    <t>BY TRANSFER-UPI/CR/505465546561/Ms Kusum/IDIB/9971327055/Sent--</t>
  </si>
  <si>
    <t>TRANSFER FROM 4897732162091 /</t>
  </si>
  <si>
    <t>TSV02-0026</t>
  </si>
  <si>
    <t>BY TRANSFER-UPI/CR/659816240046/MUSARRAT/RATN/7011042996/Payme--</t>
  </si>
  <si>
    <t>TSV02-0027</t>
  </si>
  <si>
    <t>BY TRANSFER-UPI/CR/100482933686/RISHABH /HDFC/rishabh947/UPI--</t>
  </si>
  <si>
    <t>TSV02-0028</t>
  </si>
  <si>
    <t>BY TRANSFER-UPI/CR/248765602733/JPGAS SE/UBIN/9810076459/Payme--</t>
  </si>
  <si>
    <t>TSV02-0029</t>
  </si>
  <si>
    <t>BY TRANSFER-UPI/CR/505639113121/CHAITANYA/FDRL/chaitanya./na--</t>
  </si>
  <si>
    <t>TSV02-0030</t>
  </si>
  <si>
    <t>BY TRANSFER-UPI/CR/505642209356/Mr MANIS/CBIN/7764845289/Sent--</t>
  </si>
  <si>
    <t>TSV02-0031</t>
  </si>
  <si>
    <t>BY TRANSFER-UPI/CR/505823942318/MUNMUN D/IBKL/9582332000/Sent--</t>
  </si>
  <si>
    <t>TRANSFER FROM 4897736162097 /</t>
  </si>
  <si>
    <t>TSV02-0032</t>
  </si>
  <si>
    <t>TO TRANSFER-UPI/DR/100105525270/RAJMOHAN/NA/7709027213/Pay to--</t>
  </si>
  <si>
    <t>TRANSFER TO 4897694162092 /</t>
  </si>
  <si>
    <t>TSV02-0033</t>
  </si>
  <si>
    <t>TO TRANSFER-UPI/DR/100105543222/SBIMOPS/NA/sbimops@sb/MOPSUPIT--</t>
  </si>
  <si>
    <t>TSV02-0034</t>
  </si>
  <si>
    <t>BY TRANSFER-UPI/CR/505848853462/Blesson /SBIN/9870187140/Sent--</t>
  </si>
  <si>
    <t>TSV02-0035</t>
  </si>
  <si>
    <t>TO TRANSFER-INB--</t>
  </si>
  <si>
    <t>5022797719817638CHS6557417  TRANSFER TO 4899854162096 /</t>
  </si>
  <si>
    <t>TSV02-0036</t>
  </si>
  <si>
    <t>BY TRANSFER-UPI/CR/505824288447/HIMANSHU/KKBK/9971741804/Sent--</t>
  </si>
  <si>
    <t>TSV02-0037</t>
  </si>
  <si>
    <t>BY TRANSFER-UPI/CR/505890356018/JEET  LAL/SBIN/jadoo1965@/UPI--</t>
  </si>
  <si>
    <t>TSV02-0038</t>
  </si>
  <si>
    <t>BY TRANSFER-UPI/CR/505830971898/HIMANSHU/ICIC/9643094546/Sent--</t>
  </si>
  <si>
    <t>TSV02-0039</t>
  </si>
  <si>
    <t>BY TRANSFER-UPI/CR/100674023681/SUNIL VI/HDFC/svish2000-/UPI--</t>
  </si>
  <si>
    <t>TSV02-0040</t>
  </si>
  <si>
    <t>BY TRANSFER-UPI/CR/100679854010/SAKSHI  /IDFB/sakshi.rah/UPI--</t>
  </si>
  <si>
    <t>TSV02-0041</t>
  </si>
  <si>
    <t>BY TRANSFER-UPI/CR/505918525898/VIKAS/KKBK/8588909729/NA--</t>
  </si>
  <si>
    <t>TSV02-0042</t>
  </si>
  <si>
    <t>BY TRANSFER-UPI/CR/505973920404/NEERAJ B/BARB/9911469327/Sent--</t>
  </si>
  <si>
    <t>TSV03-0001</t>
  </si>
  <si>
    <t>BY TRANSFER-UPI/CR/506066754123/RAVI SHA/CNRB/9971218450/Sent--</t>
  </si>
  <si>
    <t>TSV03-0002</t>
  </si>
  <si>
    <t>BY TRANSFER-UPI/CR/100759416536/TARUN SH/HDFC/tarunsharm/UPI--</t>
  </si>
  <si>
    <t>TSV03-0003</t>
  </si>
  <si>
    <t>BY TRANSFER-UPI/CR/506039185109/ASHOK NATH/HDFC/8076872890/Sen--</t>
  </si>
  <si>
    <t>TSV03-0004</t>
  </si>
  <si>
    <t>BY TRANSFER-UPI/CR/506046648674/ANIL KUMAR/UTIB/anilbolan@/UPI--</t>
  </si>
  <si>
    <t>TSV03-0005</t>
  </si>
  <si>
    <t>BY TRANSFER-UPI/CR/506037689845/Mr JAGDI/MAHB/9999916511/Sent--</t>
  </si>
  <si>
    <t>TSV03-0006</t>
  </si>
  <si>
    <t>BY TRANSFER-UPI/CR/506027689487/Mr JAGDI/MAHB/9999916511/Sent--</t>
  </si>
  <si>
    <t>TSV03-0007</t>
  </si>
  <si>
    <t>BY TRANSFER-UPI/100105543222/REVERSAL--</t>
  </si>
  <si>
    <t>TRANSFER FROM 4897693162093 /</t>
  </si>
  <si>
    <t>TSV03-0008</t>
  </si>
  <si>
    <t>BY TRANSFER-UPI/CR/713403240251/RAKESH K/ICIC/9873333403/Payme--</t>
  </si>
  <si>
    <t>TSV03-0009</t>
  </si>
  <si>
    <t>BY TRANSFER-UPI/CR/306916360227/ANIL/HDFC/9999101459/Payment--</t>
  </si>
  <si>
    <t>TSV03-0010</t>
  </si>
  <si>
    <t>BY TRANSFER-UPI/CR/506158818364/JATIN VE/CNRB/9643488011/Sent--</t>
  </si>
  <si>
    <t>TSV03-0011</t>
  </si>
  <si>
    <t>BY TRANSFER-UPI/CR/506108108587/JATIN VE/CNRB/9643488011/Sent--</t>
  </si>
  <si>
    <t>TSV03-0012</t>
  </si>
  <si>
    <t>BY TRANSFER-UPI/CR/506108161896/JATIN VE/CNRB/9643488011/Sent--</t>
  </si>
  <si>
    <t>TSV03-0013</t>
  </si>
  <si>
    <t>BY TRANSFER-UPI/CR/506168921533/AWANTIKA/UTIB/6205299768/Sent--</t>
  </si>
  <si>
    <t>TSV03-0014</t>
  </si>
  <si>
    <t>BY TRANSFER-UPI/CR/506218212865/ARCHANA /SBIN/9797425705/Sent--</t>
  </si>
  <si>
    <t>TSV03-0015</t>
  </si>
  <si>
    <t>TO TRANSFER-INB IMPS/506213770956/ICIC-xx613-/--</t>
  </si>
  <si>
    <t>IMPSS0072910238MOAKXQGTW3  TRANSFER TO 4597854162098 /</t>
  </si>
  <si>
    <t>TSV03-0016</t>
  </si>
  <si>
    <t>BY TRANSFER-UPI/CR/506249880270/ANIRUDH /UTIB/8879781363/Sent--</t>
  </si>
  <si>
    <t>TSV03-0017</t>
  </si>
  <si>
    <t>TO TRANSFER-INB BSES Rajdhani Power--</t>
  </si>
  <si>
    <t>YSBI2537772005CHS6994988  TRANSFER TO 3199582162095 /</t>
  </si>
  <si>
    <t>TSV03-0018</t>
  </si>
  <si>
    <t>BY TRANSFER-UPI/CR/739633474905/NAVEEN  /IBKL/9911552349/Payme--</t>
  </si>
  <si>
    <t>TSV03-0019</t>
  </si>
  <si>
    <t>BY TRANSFER-UPI/CR/506339235150/HARSHVAR/SBIN/8218127113/Sent--</t>
  </si>
  <si>
    <t>TSV03-0020</t>
  </si>
  <si>
    <t>BY TRANSFER-UPI/CR/506331795009/HARPREET/ICIC/8527578551/Sent--</t>
  </si>
  <si>
    <t>TSV03-0021</t>
  </si>
  <si>
    <t>BY TRANSFER-UPI/CR/702841659407/LEENA SO/ICIC/8587909289/Payme--</t>
  </si>
  <si>
    <t>TSV03-0022</t>
  </si>
  <si>
    <t>BY TRANSFER-UPI/CR/543088344641/CHAITANYA/FDRL/9467797010/Paid--</t>
  </si>
  <si>
    <t>TSV03-0023</t>
  </si>
  <si>
    <t>BY TRANSFER-UPI/CR/543408306078/Shaik Ap/IDFB/apsarshame/Payme--</t>
  </si>
  <si>
    <t>TSV03-0024</t>
  </si>
  <si>
    <t>BY TRANSFER-UPI/CR/506512961334/Raman Ch/KKBK/7830271895/NA--</t>
  </si>
  <si>
    <t>TSV03-0025</t>
  </si>
  <si>
    <t>TO TRANSFER-INB Salary Payment--</t>
  </si>
  <si>
    <t>CT00NYUAD1  TRANSFER TO 37636897684  Mr. KAPIL  . /</t>
  </si>
  <si>
    <t>TSV03-0026</t>
  </si>
  <si>
    <t>TO TRANSFER-INB NEFT UTR NO: SBIN425066951272--Jitendra Singh</t>
  </si>
  <si>
    <t>NEFT INB: CNADMGCMK7  TRANSFER TO 3199302044302 / Jitendra Singh</t>
  </si>
  <si>
    <t>TSV03-0027</t>
  </si>
  <si>
    <t>CT00NYVFW4  TRANSFER TO 41430770430  Mr. Ajay  Kumar /</t>
  </si>
  <si>
    <t>TSV03-0028</t>
  </si>
  <si>
    <t>TO TRANSFER-IMPS/506612522050/UTIB-xx341-/--</t>
  </si>
  <si>
    <t>TRANSFER TO 4698294162096 /</t>
  </si>
  <si>
    <t>TSV03-0029</t>
  </si>
  <si>
    <t>TO TRANSFER-IMPS/506612525253/CNRB-xx007-/--</t>
  </si>
  <si>
    <t>TSV03-0030</t>
  </si>
  <si>
    <t>BY TRANSFER-UPI/CR/101101084283/SUNIL VI/HDFC/svish2000-/UPI--</t>
  </si>
  <si>
    <t>TSV03-0031</t>
  </si>
  <si>
    <t>BY TRANSFER-UPI/CR/543268290314/SANJAY  /SBIN/meenakshig/UPI--</t>
  </si>
  <si>
    <t>TSV03-0032</t>
  </si>
  <si>
    <t>BY TRANSFER-UPI/CR/100129074194/RAUNAK K/HDFC/kondarauna/Jacke--</t>
  </si>
  <si>
    <t>TSV03-0033</t>
  </si>
  <si>
    <t>BY TRANSFER-UPI/CR/101140430164/TARUN SH/HDFC/tarunsharm/UPI--</t>
  </si>
  <si>
    <t>TSV03-0034</t>
  </si>
  <si>
    <t>BY TRANSFER-UPI/CR/506799799256/RAVI SHA/ICIC/ravi.8450-/na--</t>
  </si>
  <si>
    <t>TSV03-0035</t>
  </si>
  <si>
    <t>BY TRANSFER-UPI/CR/866374830675/SUSHIL S/UTIB/9968226738/UPI--</t>
  </si>
  <si>
    <t>TSV03-0036</t>
  </si>
  <si>
    <t>BY TRANSFER-UPI/CR/543427780207/VASU SAT/HDFC/8447107287/Paid--</t>
  </si>
  <si>
    <t>TSV03-0037</t>
  </si>
  <si>
    <t>BY TRANSFER-UPI/CR/543423879178/AAYUSH G/HDFC/agarg0423@/UPI--</t>
  </si>
  <si>
    <t>TSV03-0038</t>
  </si>
  <si>
    <t>BY TRANSFER-UPI/CR/604738133481/CHITRA/BARB/8448821973/Payment--</t>
  </si>
  <si>
    <t>TSV03-0039</t>
  </si>
  <si>
    <t>BY TRANSFER-UPI/CR/804877998378/CHITRA/BARB/8448821973/Payment--</t>
  </si>
  <si>
    <t>TSV03-0040</t>
  </si>
  <si>
    <t>TO TRANSFER-IMPS/506820593687/INDB-xx171-/--</t>
  </si>
  <si>
    <t>TRANSFER TO 4698298162092 /</t>
  </si>
  <si>
    <t>TSV03-0041</t>
  </si>
  <si>
    <t>BY TRANSFER-UPI/CR/191004639646/ANKITMOH/HDFC/7489821313/NO RE--</t>
  </si>
  <si>
    <t>TSV03-0042</t>
  </si>
  <si>
    <t>BY TRANSFER-UPI/CR/506911629714/PALLAVI /ICIC/mypal@icic/NA--</t>
  </si>
  <si>
    <t>TSV03-0043</t>
  </si>
  <si>
    <t>TO TRANSFER-IMPS/506920764333/IOBA-xx211-/--</t>
  </si>
  <si>
    <t>TRANSFER TO 4698286162096 /</t>
  </si>
  <si>
    <t>TSV03-0044</t>
  </si>
  <si>
    <t>BY TRANSFER-UPI/CR/507171911216/MR HARPR/SCBL/9999914674/Sent--</t>
  </si>
  <si>
    <t>TSV03-0045</t>
  </si>
  <si>
    <t>BY TRANSFER-UPI/CR/543768830489/DIPTI GU/ICIC/gosaindipt/UPI--</t>
  </si>
  <si>
    <t>TSV03-0046</t>
  </si>
  <si>
    <t>BY TRANSFER-UPI/CR/741773195017/ASHISH K/AIRP/7273813459/Payme--</t>
  </si>
  <si>
    <t>TSV03-0047</t>
  </si>
  <si>
    <t>TO TRANSFER-UPI/DR/100117857042/HABIB AL/NA/9142777000/Pay to--</t>
  </si>
  <si>
    <t>TRANSFER TO 4897693162093 /</t>
  </si>
  <si>
    <t>TSV03-0048</t>
  </si>
  <si>
    <t>A/C Keeping Chgs---</t>
  </si>
  <si>
    <t>TSV03-0049</t>
  </si>
  <si>
    <t>BY TRANSFER-UPI/CR/543894785909/BHAVNESH/ICIC/bhavnesh.s/UPI--</t>
  </si>
  <si>
    <t>TSV03-0050</t>
  </si>
  <si>
    <t>BY TRANSFER-NEFT*HDFC0000240*HDFCH00123260705*TUMBLEDRY SOLUTI--</t>
  </si>
  <si>
    <t>TRANSFER FROM 4698205044306 /</t>
  </si>
  <si>
    <t>TSV03-0051</t>
  </si>
  <si>
    <t>BY TRANSFER-UPI/CR/781516083473/SOLUTION/HDFC/9540895196/Payme--</t>
  </si>
  <si>
    <t>TSV03-0052</t>
  </si>
  <si>
    <t>BY TRANSFER-UPI/CR/101520400208/PRABHAT /SBIN/rishuraj.r/UPI--</t>
  </si>
  <si>
    <t>TSV03-0053</t>
  </si>
  <si>
    <t>BY TRANSFER-UPI/CR/807931704705/SHEEBA  /SBIN/9773821756/Payme--</t>
  </si>
  <si>
    <t>TSV03-0054</t>
  </si>
  <si>
    <t>BY TRANSFER-UPI/CR/507467899465/MANMEET /SBIN/manmeetkau/dry c--</t>
  </si>
  <si>
    <t>TSV03-0055</t>
  </si>
  <si>
    <t>BY TRANSFER-UPI/CR/507459045668/AMAN SAINI/ICIC/9971054383/Pai--</t>
  </si>
  <si>
    <t>TSV03-0056</t>
  </si>
  <si>
    <t>BY TRANSFER-UPI/CR/121419656717/JEETLAL/SBIN/9958439933/Clean--</t>
  </si>
  <si>
    <t>TSV03-0057</t>
  </si>
  <si>
    <t>BY TRANSFER-UPI/CR/507507696860/BALJEET /ICIC/9210789289/Sent--</t>
  </si>
  <si>
    <t>TSV03-0058</t>
  </si>
  <si>
    <t>BY TRANSFER-UPI/CR/163885842183/DHRUV SH/UCBA/9015185188/Payme--</t>
  </si>
  <si>
    <t>TSV03-0059</t>
  </si>
  <si>
    <t>BY TRANSFER-UPI/CR/507603622855/ABHISHEK/HDFC/abhiv27@ap/UPI--</t>
  </si>
  <si>
    <t>TSV03-0060</t>
  </si>
  <si>
    <t>BY TRANSFER-UPI/CR/507642448420/BLESSON /FDRL/9870187140/B51--</t>
  </si>
  <si>
    <t>TSV03-0061</t>
  </si>
  <si>
    <t>BY TRANSFER-UPI/CR/951931963083/RAKESH K/ICIC/9873333403/Payme--</t>
  </si>
  <si>
    <t>TSV03-0062</t>
  </si>
  <si>
    <t>TO TRANSFER-INB NEFT UTR NO: SBIN125076537197--UCONCEPTS SOLUTIONS PVT LTD</t>
  </si>
  <si>
    <t>NEFT INB: CNADMSCFF4  TRANSFER TO 4697157044307 / UCONCEPTS SOLUTIONS PVT LTD</t>
  </si>
  <si>
    <t>TSV03-0063</t>
  </si>
  <si>
    <t>TO TRANSFER-INB NEFT UTR NO: SBIN125076538596--Tumbledry Solutions Pvt Ltd</t>
  </si>
  <si>
    <t>NEFT INB: CNADMSCHR8  TRANSFER TO 4697162044301 / Tumbledry Solutions Pvt Ltd</t>
  </si>
  <si>
    <t>TSV03-0064</t>
  </si>
  <si>
    <t>BY TRANSFER-UPI/CR/507740539742/DEEPAK  /UTIB/9990175321/Sent--</t>
  </si>
  <si>
    <t>TSV03-0065</t>
  </si>
  <si>
    <t>BY TRANSFER-UPI/CR/101685518321/ISHANT S/HDFC/ishantsing/UPI--</t>
  </si>
  <si>
    <t>TSV03-0066</t>
  </si>
  <si>
    <t>BY TRANSFER-UPI/CR/507851334064/Mrs KAVI/MAHB/9891490053/Sent--</t>
  </si>
  <si>
    <t>TSV03-0067</t>
  </si>
  <si>
    <t>BY TRANSFER-UPI/CR/507895987132/CHAITANYA/FDRL/9467797010/Paid--</t>
  </si>
  <si>
    <t>TSV03-0068</t>
  </si>
  <si>
    <t>BY TRANSFER-UPI/CR/544488002682/PRABHAT /SBIN/8989118348/Paid--</t>
  </si>
  <si>
    <t>TSV03-0069</t>
  </si>
  <si>
    <t>BY TRANSFER-UPI/CR/800721287229/KRISHAN /PUNB/9560597325/Payme--</t>
  </si>
  <si>
    <t>TSV03-0070</t>
  </si>
  <si>
    <t>BY TRANSFER-UPI/CR/082561377588/ANKUR SI/HDFC/9654100220/Payme--</t>
  </si>
  <si>
    <t>TSV03-0071</t>
  </si>
  <si>
    <t>BY TRANSFER-UPI/CR/507925311364/Durga De/ESFB/deepti.011/UPI--</t>
  </si>
  <si>
    <t>TSV03-0072</t>
  </si>
  <si>
    <t>BY TRANSFER-UPI/CR/655469086896/RITU/SBIN/8860744016/Payment--</t>
  </si>
  <si>
    <t>TSV03-0073</t>
  </si>
  <si>
    <t>BY TRANSFER-UPI/CR/101784663783/SATVEER /HDFC/satveer080/UPI--</t>
  </si>
  <si>
    <t>TSV03-0074</t>
  </si>
  <si>
    <t>BY TRANSFER-UPI/CR/507999153035/MANMEET /UTIB/manmeetkau/UPI--</t>
  </si>
  <si>
    <t>TSV03-0075</t>
  </si>
  <si>
    <t>TO TRANSFER-INB NEFT UTR NO: SBIN525079643463--ALH Infratech</t>
  </si>
  <si>
    <t>NEFT INB: CNADMVXBA3  TRANSFER TO 4697154044300 / ALH Infratech</t>
  </si>
  <si>
    <t>TSV03-0076</t>
  </si>
  <si>
    <t>BY TRANSFER-UPI/CR/508066966633/SUMIT KU/PUNB/sumitkalsi/UPI--</t>
  </si>
  <si>
    <t>TSV03-0077</t>
  </si>
  <si>
    <t>BY TRANSFER-UPI/CR/508091989967/AAYUSHMA/HDFC/8287626916/Sent--</t>
  </si>
  <si>
    <t>TSV03-0078</t>
  </si>
  <si>
    <t>BY TRANSFER-UPI/CR/544777872538/KRISHNA /KVBL/krishnamak/UPI--</t>
  </si>
  <si>
    <t>TSV03-0079</t>
  </si>
  <si>
    <t>BY TRANSFER-UPI/CR/544750074344/KRISHNA /KVBL/krishnamak/UPI--</t>
  </si>
  <si>
    <t>TSV03-0080</t>
  </si>
  <si>
    <t>BY TRANSFER-UPI/CR/508115038750/SANJANA /PUNB/9899534385/Sent--</t>
  </si>
  <si>
    <t>TSV03-0081</t>
  </si>
  <si>
    <t>BY TRANSFER-UPI/CR/544783504545/AAKARSH /ICIC/aakarsh10@/UPI--</t>
  </si>
  <si>
    <t>TSV03-0082</t>
  </si>
  <si>
    <t>BY TRANSFER-UPI/CR/101874047346/SHOAIB B/HDFC/studiobyka/UPI--</t>
  </si>
  <si>
    <t>TSV03-0083</t>
  </si>
  <si>
    <t>BY TRANSFER-UPI/CR/730416138635/ROHIT/ICIC/9555336935/Payment--</t>
  </si>
  <si>
    <t>TSV03-0084</t>
  </si>
  <si>
    <t>BY TRANSFER-UPI/CR/101878554956/RISHABH /HDFC/rishabh947/UPI--</t>
  </si>
  <si>
    <t>TSV03-0085</t>
  </si>
  <si>
    <t>BY TRANSFER-UPI/CR/544785433166/SANJAY  /SBIN/meenakshig/UPI--</t>
  </si>
  <si>
    <t>TSV03-0086</t>
  </si>
  <si>
    <t>BY TRANSFER-UPI/CR/508146648713/ANVI  BA/CNRB/anvibansal/UPI--</t>
  </si>
  <si>
    <t>TSV03-0087</t>
  </si>
  <si>
    <t>by debit card-OTHPG 803047  TUMBLEDRY  NOIDA--</t>
  </si>
  <si>
    <t>TSV03-0088</t>
  </si>
  <si>
    <t>BY TRANSFER-IMPS/508123036526/ICI-XX846-HABIB AL/IMPS Tran--</t>
  </si>
  <si>
    <t>TRANSFER FROM 4698328162092 /</t>
  </si>
  <si>
    <t>TSV03-0089</t>
  </si>
  <si>
    <t>BY TRANSFER-IMPS/508123035890/ICI-XX358-ADNAN AL/IMPS Tran--</t>
  </si>
  <si>
    <t>TSV03-0090</t>
  </si>
  <si>
    <t>BY TRANSFER-UPI/CR/508232275506/Amit Gos/IDFB/9818734445/Sent--</t>
  </si>
  <si>
    <t>TSV03-0091</t>
  </si>
  <si>
    <t>TO TRANSFER-INB RTGS UTR NO: SBINR12025032379402988--</t>
  </si>
  <si>
    <t>RTGS INB: CRH4222234  TRANSFER TO 99827044308 /</t>
  </si>
  <si>
    <t>6,50,000.00</t>
  </si>
  <si>
    <t>TSV03-0092</t>
  </si>
  <si>
    <t>BY TRANSFER-UPI/CR/626550670276/RIJO VAR/HDFC/vargheseri/Payme--</t>
  </si>
  <si>
    <t>TSV03-0093</t>
  </si>
  <si>
    <t>BY TRANSFER-UPI/CR/508234044359/SUMESH G/UTIB/9212159384/Sent--</t>
  </si>
  <si>
    <t>TSV03-0094</t>
  </si>
  <si>
    <t>BY TRANSFER-UPI/CR/101929339041/THOMAS  /KKBK/thomas.010/UPI--</t>
  </si>
  <si>
    <t>TSV03-0095</t>
  </si>
  <si>
    <t>BY TRANSFER-UPI/CR/508277968626/RAJESH M/ICIC/rajeshappl/Drycl--</t>
  </si>
  <si>
    <t>TSV03-0096</t>
  </si>
  <si>
    <t>BY TRANSFER-UPI/CR/898097575289/KAPIL  K/SBIN/9625603510/Payme--</t>
  </si>
  <si>
    <t>TSV03-0097</t>
  </si>
  <si>
    <t>BY TRANSFER-IMPS/508222457858/ICI-XX358-ADNAN AL/IMPS Tran--</t>
  </si>
  <si>
    <t>TRANSFER FROM 4698333162095 /</t>
  </si>
  <si>
    <t>TSV03-0098</t>
  </si>
  <si>
    <t>BY TRANSFER-IMPS/508223483545/ICI-XX846-HABIB AL/IMPS Tran--</t>
  </si>
  <si>
    <t>TSV03-0099</t>
  </si>
  <si>
    <t>BY TRANSFER-UPI/CR/544916574237/KAJOL SI/HDFC/9873803579/NA--</t>
  </si>
  <si>
    <t>TSV03-0100</t>
  </si>
  <si>
    <t>BY TRANSFER-UPI/CR/706122983847/PRASHANT/HDFC/9582007001/Payme--</t>
  </si>
  <si>
    <t>TSV03-0101</t>
  </si>
  <si>
    <t>BY TRANSFER-UPI/CR/101989185391/PRABHAT /SBIN/rishuraj.r/UPI--</t>
  </si>
  <si>
    <t>TSV03-0102</t>
  </si>
  <si>
    <t>BY TRANSFER-RTGS UTR NO: HDFCR52025032553297930--</t>
  </si>
  <si>
    <t>TRANSFER FROM 4698337044306 /</t>
  </si>
  <si>
    <t>TSV03-0103</t>
  </si>
  <si>
    <t>BY TRANSFER-RTGS UTR NO: HDFCR52025032553297924--</t>
  </si>
  <si>
    <t>TSV03-0104</t>
  </si>
  <si>
    <t>BY TRANSFER-UPI/CR/857274180845/PREETI J/UTIB/preeti.769/UPI--</t>
  </si>
  <si>
    <t>TSV03-0105</t>
  </si>
  <si>
    <t>BY TRANSFER-UPI/CR/508582861606/RADHIKA/UBIN/radhika639/UPI--</t>
  </si>
  <si>
    <t>TSV03-0106</t>
  </si>
  <si>
    <t>BY TRANSFER-UPI/CR/508567784008/DARSHAN /HDFC/9504895794/Sent--</t>
  </si>
  <si>
    <t>TSV03-0107</t>
  </si>
  <si>
    <t>BY TRANSFER-UPI/CR/508569553191/APOORVA /ICIC/8130822738/drycl--</t>
  </si>
  <si>
    <t>TSV03-0108</t>
  </si>
  <si>
    <t>BY TRANSFER-UPI/CR/508533282832/DIVYA DO/ICIC/8860192434/NA--</t>
  </si>
  <si>
    <t>TSV03-0109</t>
  </si>
  <si>
    <t>BY TRANSFER-UPI/CR/508676217624/INDERJEE/UTIB/shantubhal/UPI--</t>
  </si>
  <si>
    <t>TSV03-0110</t>
  </si>
  <si>
    <t>BY TRANSFER-UPI/CR/508625022458/SONIA BH/PUNB/soniabhall/UPI--</t>
  </si>
  <si>
    <t>TSV03-0111</t>
  </si>
  <si>
    <t>BY TRANSFER-UPI/CR/545202470334/CHAITANYA/FDRL/9467797010/Paid--</t>
  </si>
  <si>
    <t>TSV03-0112</t>
  </si>
  <si>
    <t>BY TRANSFER-UPI/CR/533694377770/RAVI  KU/SBIN/8510013087/Payme--</t>
  </si>
  <si>
    <t>TSV03-0113</t>
  </si>
  <si>
    <t>BY TRANSFER-UPI/CR/508663041301/POOJA  D/SBIN/denglapooj/UPI--</t>
  </si>
  <si>
    <t>TSV03-0114</t>
  </si>
  <si>
    <t>BY TRANSFER-UPI/CR/712633403980/RAKESH K/ICIC/9873333403/Payme--</t>
  </si>
  <si>
    <t>TSV03-0115</t>
  </si>
  <si>
    <t>BY TRANSFER-UPI/CR/508659759361/MEENA KU/PUNB/meenaredsh/UPI--</t>
  </si>
  <si>
    <t>TSV03-0116</t>
  </si>
  <si>
    <t>BY TRANSFER-UPI/CR/162766391130/PRIYAL M/BARB/9166804204/Payme--</t>
  </si>
  <si>
    <t>TSV03-0117</t>
  </si>
  <si>
    <t>BY TRANSFER-NEFT*HDFC0000240*HDFCH00145578871*TUMBLEDRY SOLUTI--</t>
  </si>
  <si>
    <t>TRANSFER FROM 99509044300 /</t>
  </si>
  <si>
    <t>TSV03-0118</t>
  </si>
  <si>
    <t>BY TRANSFER-UPI/CR/688747607336/AKSHAT J/HDFC/8770262008/laund--</t>
  </si>
  <si>
    <t>TSV03-0119</t>
  </si>
  <si>
    <t>BY TRANSFER-UPI/CR/508769945561/BHARAT  /SBIN/bharat.kal/UPI--</t>
  </si>
  <si>
    <t>TSV03-0120</t>
  </si>
  <si>
    <t>BY TRANSFER-UPI/CR/102192881886/SUBHAM J/HDFC/subham.658/PAY B--</t>
  </si>
  <si>
    <t>TSV03-0121</t>
  </si>
  <si>
    <t>BY TRANSFER-UPI/CR/102192932076/SUBHAM J/HDFC/subham.658/PAY B--</t>
  </si>
  <si>
    <t>TSV03-0122</t>
  </si>
  <si>
    <t>BY TRANSFER-UPI/CR/545353753235/ANIRUDH /ICIC/7310569408/Paid--</t>
  </si>
  <si>
    <t>TSV03-0123</t>
  </si>
  <si>
    <t>BY TRANSFER-UPI/CR/508704382041/ANIRUDH /SBIN/anirudh.94/na--</t>
  </si>
  <si>
    <t>TSV03-0124</t>
  </si>
  <si>
    <t>BY TRANSFER-NEFT*HDFC0000001*HDFCH00147905201*WAGID ALI SHEIKH--</t>
  </si>
  <si>
    <t>1,98,000.00</t>
  </si>
  <si>
    <t>TSV03-0125</t>
  </si>
  <si>
    <t>BY TRANSFER-NEFT*HDFC0000001*HDFCH00147904950*GHAZALA SHEIKH*B--</t>
  </si>
  <si>
    <t>1,96,500.00</t>
  </si>
  <si>
    <t>income</t>
  </si>
  <si>
    <t>TSV03-0126</t>
  </si>
  <si>
    <t>BY TRANSFER-UPI/CR/508807272469/ASHOK  K/SBIN/ashokshail/UPI--</t>
  </si>
  <si>
    <t>TSV03-0127</t>
  </si>
  <si>
    <t>BY TRANSFER-UPI/CR/102232398878/KRISHNA /HDFC/krishnamak/UPI--</t>
  </si>
  <si>
    <t>TSV03-0128</t>
  </si>
  <si>
    <t>BY TRANSFER-UPI/CR/508802693211/Khushi  /SBIN/8810446840/Paid--</t>
  </si>
  <si>
    <t>TSV03-0129</t>
  </si>
  <si>
    <t>BY TRANSFER-UPI/CR/100130809671/ARUN KUM/SBIN/arunshrm87/Pay t--</t>
  </si>
  <si>
    <t>TSV03-0130</t>
  </si>
  <si>
    <t>BY TRANSFER-UPI/CR/508808164105/DARSHAN /HDFC/9504895794/Sent--</t>
  </si>
  <si>
    <t>TSV03-0131</t>
  </si>
  <si>
    <t>BY TRANSFER-UPI/CR/102252200062/MS RIA A/SCBL/riaag2012-/UPI--</t>
  </si>
  <si>
    <t>TSV03-0132</t>
  </si>
  <si>
    <t>BY TRANSFER-UPI/CR/508875662644/NITESH S/HDFC/9999591651/Sent--</t>
  </si>
  <si>
    <t>TSV03-0133</t>
  </si>
  <si>
    <t>BY TRANSFER-UPI/CR/508837084361/ASHRAF S/HSBC/7856990923/NA--</t>
  </si>
  <si>
    <t>TSV03-0134</t>
  </si>
  <si>
    <t>BY TRANSFER-UPI/CR/102262164231/PRABHAT /SBIN/rishuraj.r/UPI--</t>
  </si>
  <si>
    <t>TSV03-0135</t>
  </si>
  <si>
    <t>BY TRANSFER-UPI/CR/578588352414/DIVYA  S/CNRB/8448916687/Payme--</t>
  </si>
  <si>
    <t>TSV03-0136</t>
  </si>
  <si>
    <t>BY TRANSFER-UPI/CR/545510196797/Mohammad/AIRP/8799705074/NA--</t>
  </si>
  <si>
    <t>TSV03-0137</t>
  </si>
  <si>
    <t>BY TRANSFER-UPI/CR/508983376307/CHEONG Y/HSBC/9266578800/Sent--</t>
  </si>
  <si>
    <t>TSV03-0138</t>
  </si>
  <si>
    <t>BY TRANSFER-UPI/CR/508923817757/RITU RAJ/CNRB/riturajste/UPI--</t>
  </si>
  <si>
    <t>TSV03-0139</t>
  </si>
  <si>
    <t>BY TRANSFER-UPI/CR/508914704034/YASHIKA /CNRB/satijayash/UPI--</t>
  </si>
  <si>
    <t>TSV03-0140</t>
  </si>
  <si>
    <t>BY TRANSFER-UPI/CR/508990890294/AKANKSHA/UTIB/akankshala/UPI--</t>
  </si>
  <si>
    <t>TSV03-0141</t>
  </si>
  <si>
    <t>BY TRANSFER-UPI/CR/102303125110/KAMAL LAL/HDFC/kamal.maha/UPI--</t>
  </si>
  <si>
    <t>TSV03-0142</t>
  </si>
  <si>
    <t>BY TRANSFER-UPI/CR/508919197922/RATTAN P/SBIN/9661923508/Paid--</t>
  </si>
  <si>
    <t>TSV03-0143</t>
  </si>
  <si>
    <t>BY TRANSFER-UPI/CR/508914954571/SIDDHANT/KKBK/siddhant.3/na--</t>
  </si>
  <si>
    <t>TSV03-0144</t>
  </si>
  <si>
    <t>TO TRANSFER-INB NEFT UTR NO: SBIN225089582612--Jitendra Singh</t>
  </si>
  <si>
    <t>NEFT INB: CNADNIKKM1  TRANSFER TO 4698130044309 / Jitendra Singh</t>
  </si>
  <si>
    <t>TSV03-0145</t>
  </si>
  <si>
    <t>BY TRANSFER-UPI/CR/509016952913/PRANJAL /ICIC/pranjalmeh/NA--</t>
  </si>
  <si>
    <t>TSV03-0146</t>
  </si>
  <si>
    <t>BY TRANSFER-UPI/CR/509080095228/Mr. ABHI/IDFB/9586556357/Pay r--</t>
  </si>
  <si>
    <t>TSV03-0147</t>
  </si>
  <si>
    <t>BY TRANSFER-UPI/CR/509053804492/SANDEEP /UTIB/sandiv90-1/UPI--</t>
  </si>
  <si>
    <t>TSV04-0001</t>
  </si>
  <si>
    <t>YSBI2551746691CHS9873485  TRANSFER TO 3199588162099 /</t>
  </si>
  <si>
    <t>TSV04-0002</t>
  </si>
  <si>
    <t>BY TRANSFER-UPI/CR/100271923547/SARTHAK /HDFC/9996957339/Trans--</t>
  </si>
  <si>
    <t>TSV04-0003</t>
  </si>
  <si>
    <t>BY TRANSFER-UPI/CR/273843021045/AMRIT PA/CNRB/28691072@i/Payme--</t>
  </si>
  <si>
    <t>UC567-0189</t>
  </si>
  <si>
    <t>TSV04-0004</t>
  </si>
  <si>
    <t>BY TRANSFER-UPI/CR/509109942074/AAYUSHMA/HDFC/8287626916/Sent--</t>
  </si>
  <si>
    <t>UC567-0154</t>
  </si>
  <si>
    <t>TSV04-0005</t>
  </si>
  <si>
    <t>BY TRANSFER-UPI/CR/865140761182/NEERAJ K/ICIC/9871293629/Payme--</t>
  </si>
  <si>
    <t>T128</t>
  </si>
  <si>
    <t>TSV04-0006</t>
  </si>
  <si>
    <t>BY TRANSFER-UPI/CR/509111092526/SUMESH G/UTIB/9212159384/Sent--</t>
  </si>
  <si>
    <t>T118</t>
  </si>
  <si>
    <t>TSV04-0007</t>
  </si>
  <si>
    <t>BY TRANSFER-UPI/CR/545890990531/ALISHA D/UTIB/alishadhmj/dry c--</t>
  </si>
  <si>
    <t>UC567-0137</t>
  </si>
  <si>
    <t>TSV04-0008</t>
  </si>
  <si>
    <t>TO TRANSFER-INB RTGS UTR NO: SBINR12025040280910016--Tumbledry Solutions Pvt Ltd</t>
  </si>
  <si>
    <t>RTGS INB: CRH4853428  TRANSFER TO 4599110044305 / Tumbledry Solutions Pvt Ltd</t>
  </si>
  <si>
    <t>8,50,000.00</t>
  </si>
  <si>
    <t xml:space="preserve">Tumbledry </t>
  </si>
  <si>
    <t>TSV04-0009</t>
  </si>
  <si>
    <t>BY TRANSFER-UPI/CR/107823578523/SUSHANT /SBIN/sushant.sm/Payme--</t>
  </si>
  <si>
    <t>UNkNOWN</t>
  </si>
  <si>
    <t>TSV04-0010</t>
  </si>
  <si>
    <t>BY TRANSFER-UPI/CR/509310442918/Ashish  /SBIN/9279423769/UPI--</t>
  </si>
  <si>
    <t>TSV04-0011</t>
  </si>
  <si>
    <t>BY TRANSFER-UPI/CR/509311281158/SHREYA  /KKBK/9910256518/Sent--</t>
  </si>
  <si>
    <t>T111</t>
  </si>
  <si>
    <t>TSV04-0012</t>
  </si>
  <si>
    <t>BY TRANSFER-UPI/CR/509325768903/AMIT KUMAR/HDFC/9971877344/NA--</t>
  </si>
  <si>
    <t>UC567-0111</t>
  </si>
  <si>
    <t>TSV04-0013</t>
  </si>
  <si>
    <t>BY TRANSFER-UPI/CR/102525448376/KRISHNA /HDFC/krishnamak/UPI--</t>
  </si>
  <si>
    <t>UC567-0177</t>
  </si>
  <si>
    <t>TSV04-0014</t>
  </si>
  <si>
    <t>BY TRANSFER-INB Business Investment--</t>
  </si>
  <si>
    <t>IT00ZJUKC6  TRANSFER FROM 42896660952  Mr. ARVIND  . /</t>
  </si>
  <si>
    <t>TSV04-0015</t>
  </si>
  <si>
    <t>BY TRANSFER-NEFT*HDFC0000001*HDFCH00159917394*RAJESH KUMAR DHI--</t>
  </si>
  <si>
    <t>1,40,000.00</t>
  </si>
  <si>
    <t>TSV04-0016</t>
  </si>
  <si>
    <t>BY TRANSFER-UPI/CR/509311664073/SHUCHI K/UTIB/9873063616/Sent--</t>
  </si>
  <si>
    <t>UC567-0105</t>
  </si>
  <si>
    <t>TSV04-0017</t>
  </si>
  <si>
    <t>BY TRANSFER-UPI/CR/500446782405/ATUL KUMAR/UTIB/atulkumar1/Pay--</t>
  </si>
  <si>
    <t>TSV04-0018</t>
  </si>
  <si>
    <t>BY TRANSFER-UPI/CR/102550662660/PRABHAT /SBIN/rishuraj.r/UPI--</t>
  </si>
  <si>
    <t>TSV04-0019</t>
  </si>
  <si>
    <t>TO TRANSFER-INB NEFT UTR NO: SBIN225094992970--National Insurance Company Ltd</t>
  </si>
  <si>
    <t>NEFT INB: CNADNNKQG6  TRANSFER TO 4698141044307 / National Insurance Company Ltd</t>
  </si>
  <si>
    <t>TSV04-0020</t>
  </si>
  <si>
    <t>BY TRANSFER-NEFT*HDFC0000240*HDFCH00161616221*TUMBLEDRY SOLUTI--</t>
  </si>
  <si>
    <t>TSV04-0021</t>
  </si>
  <si>
    <t>BY TRANSFER-UPI/CR/509438184851/KAMLESH/BKID/9268228459/Sent u--</t>
  </si>
  <si>
    <t>TSV04-0022</t>
  </si>
  <si>
    <t>BY TRANSFER-UPI/CR/509485843504/ANSHU KU/ICIC/9600030953/Sent--</t>
  </si>
  <si>
    <t>T132</t>
  </si>
  <si>
    <t>TSV04-0023</t>
  </si>
  <si>
    <t>BY TRANSFER-UPI/CR/355075717546/PREM  KS/SBIN/premmkshat/Payme--</t>
  </si>
  <si>
    <t>T134</t>
  </si>
  <si>
    <t>TSV04-0024</t>
  </si>
  <si>
    <t>BY TRANSFER-UPI/CR/546005323642/VARUN BH/ICIC/bhanot.var/dry c--</t>
  </si>
  <si>
    <t>UC567-0176</t>
  </si>
  <si>
    <t>TSV04-0025</t>
  </si>
  <si>
    <t>BY TRANSFER-UPI/CR/509442306415/VAISHALI/UTIB/8377962444/Sent--</t>
  </si>
  <si>
    <t>T124</t>
  </si>
  <si>
    <t>TSV04-0026</t>
  </si>
  <si>
    <t>BY TRANSFER-UPI/CR/509489891234/SONIA SE/PSIB/9582452109/Sent--</t>
  </si>
  <si>
    <t>T120</t>
  </si>
  <si>
    <t>TSV04-0027</t>
  </si>
  <si>
    <t>BY TRANSFER-UPI/CR/509403991102/ABHISHEK/HDFC/abhiv27@ap/UPI--</t>
  </si>
  <si>
    <t>T130</t>
  </si>
  <si>
    <t>TSV04-0028</t>
  </si>
  <si>
    <t>BY TRANSFER-UPI/CR/509419734091/Raman Ch/KKBK/7830271895/NA--</t>
  </si>
  <si>
    <t>TSV04-0029</t>
  </si>
  <si>
    <t>BY TRANSFER-UPI/CR/546047757078/LAXMI/ICIC/anjujaisai/UPI--</t>
  </si>
  <si>
    <t>TSV04-0030</t>
  </si>
  <si>
    <t>BY TRANSFER-UPI/CR/344545283596/KISHAN S/BARB/7357793440/Payme--</t>
  </si>
  <si>
    <t>T150</t>
  </si>
  <si>
    <t>TSV04-0031</t>
  </si>
  <si>
    <t>TO TRANSFER-INB NEFT UTR NO: SBIN425095479895--UCONCEPTS SOLUTIONS PVT LTD</t>
  </si>
  <si>
    <t>NEFT INB: CNADNOXRI2  TRANSFER TO 4698146044302 / UCONCEPTS SOLUTIONS PVT LTD</t>
  </si>
  <si>
    <t>TSV04-0032</t>
  </si>
  <si>
    <t>TO TRANSFER-INB NEFT UTR NO: SBIN425095485583--UCONCEPTS SOLUTIONS PVT LTD</t>
  </si>
  <si>
    <t>NEFT INB: CNADNOXSY0  TRANSFER TO 4698143044305 / UCONCEPTS SOLUTIONS PVT LTD</t>
  </si>
  <si>
    <t>TSV04-0033</t>
  </si>
  <si>
    <t>BY TRANSFER-UPI/CR/102633675812/DOLPHY D/UBIN/dhirdolphy/UPI--</t>
  </si>
  <si>
    <t>TSV04-0034</t>
  </si>
  <si>
    <t>BY TRANSFER-UPI/CR/509591224732/Durga De/ESFB/deepti.011/UPI--</t>
  </si>
  <si>
    <t>UC567-0122</t>
  </si>
  <si>
    <t>TSV04-0035</t>
  </si>
  <si>
    <t>BY TRANSFER-UPI/CR/509547920908/ANITA BH/HDFC/9250539677/Sent--</t>
  </si>
  <si>
    <t>TSV04-0036</t>
  </si>
  <si>
    <t>BY TRANSFER-UPI/CR/509561262150/KRISHNA /KKBK/krishnajha/Laund--</t>
  </si>
  <si>
    <t>UC567-0166</t>
  </si>
  <si>
    <t>TSV04-0037</t>
  </si>
  <si>
    <t>BY TRANSFER-UPI/CR/987265201353/JPGAS SE/UBIN/9810076459/Payme--</t>
  </si>
  <si>
    <t>UC567-0171</t>
  </si>
  <si>
    <t>TSV04-0038</t>
  </si>
  <si>
    <t>BY TRANSFER-UPI/CR/509503657781/SOBIT  S/KKBK/7903044162/Sent--</t>
  </si>
  <si>
    <t>TSV04-0039</t>
  </si>
  <si>
    <t>BY TRANSFER-UPI/CR/102660909489/ASHWANI /INDB/singhashwa/UPI--</t>
  </si>
  <si>
    <t>UC567-0200</t>
  </si>
  <si>
    <t>TSV04-0040</t>
  </si>
  <si>
    <t>BY TRANSFER-UPI/CR/509518064711/MUSKAN O/PUNB/oberoim12@/UPI--</t>
  </si>
  <si>
    <t>TSV04-0041</t>
  </si>
  <si>
    <t>BY TRANSFER-UPI/CR/509573833800/RAGHU  P/SBIN/9911311713/Paid--</t>
  </si>
  <si>
    <t>T129</t>
  </si>
  <si>
    <t>TSV04-0042</t>
  </si>
  <si>
    <t>BY TRANSFER-UPI/CR/546133500768/MUKESH/PUNB/9211620115/NA--</t>
  </si>
  <si>
    <t>T133</t>
  </si>
  <si>
    <t>TSV04-0043</t>
  </si>
  <si>
    <t>TO TRANSFER-INB RTGS UTR NO: SBINR12025040581323008--ALH Infratech</t>
  </si>
  <si>
    <t>RTGS INB: CRH5010653  TRANSFER TO 4599110044305 / ALH Infratech</t>
  </si>
  <si>
    <t>4,20,000.00</t>
  </si>
  <si>
    <t>TSV04-0044</t>
  </si>
  <si>
    <t>BY TRANSFER-UPI/CR/509655974798/TUSHAR K/HDFC/9560027283/Sent--</t>
  </si>
  <si>
    <t>TSV04-0045</t>
  </si>
  <si>
    <t>BY TRANSFER-UPI/CR/279487769004/GIRISH K/UTIB/9350103994/Tumbl--</t>
  </si>
  <si>
    <t>TSV04-0046</t>
  </si>
  <si>
    <t>TO TRANSFER-INB NEFT UTR NO: SBIN525096849897--Kaushalya Devi</t>
  </si>
  <si>
    <t>NEFT INB: CNADNQFYW6  TRANSFER TO 4698132044308 / Kaushalya Devi</t>
  </si>
  <si>
    <t>TSV04-0047</t>
  </si>
  <si>
    <t>BY TRANSFER-UPI/CR/102718108082/ASHWANI /INDB/singhashwa/UPI--</t>
  </si>
  <si>
    <t>TSV04-0048</t>
  </si>
  <si>
    <t>BY TRANSFER-UPI/CR/509643712512/Mr SUKH /MAHB/9213825777/NA--</t>
  </si>
  <si>
    <t>UC567-0169</t>
  </si>
  <si>
    <t>TSV04-0049</t>
  </si>
  <si>
    <t>BY TRANSFER-UPI/CR/509646389659/DEEPIKA/YESB/7982200596/NA--</t>
  </si>
  <si>
    <t>T152</t>
  </si>
  <si>
    <t>TSV04-0050</t>
  </si>
  <si>
    <t>BY TRANSFER-UPI/CR/509646475393/DEEPIKA/YESB/7982200596/NA--</t>
  </si>
  <si>
    <t>T153</t>
  </si>
  <si>
    <t>TSV04-0051</t>
  </si>
  <si>
    <t>TSV04-0052</t>
  </si>
  <si>
    <t>BY TRANSFER-UPI/CR/509726110292/DEEPIKA /ICIC/9971800505/Sent--</t>
  </si>
  <si>
    <t>UC567-0157</t>
  </si>
  <si>
    <t>TSV04-0053</t>
  </si>
  <si>
    <t>TO TRANSFER-INB NEFT UTR NO: SBIN125097122793--Pooja Sood</t>
  </si>
  <si>
    <t>NEFT INB: CNADNQTON1  TRANSFER TO 4698153044303 / Pooja Sood</t>
  </si>
  <si>
    <t>TSV04-0054</t>
  </si>
  <si>
    <t>TO TRANSFER-INB NEFT UTR NO: SBIN125097128021--Subhash Chander</t>
  </si>
  <si>
    <t>NEFT INB: CNADNQTVR5  TRANSFER TO 4698142044306 / Subhash Chander</t>
  </si>
  <si>
    <t>TSV04-0055</t>
  </si>
  <si>
    <t>BY TRANSFER-UPI/CR/509765304172/NISHA MA/HDFC/9873307998/Sent--</t>
  </si>
  <si>
    <t>UC567-0173</t>
  </si>
  <si>
    <t>TSV04-0056</t>
  </si>
  <si>
    <t>BY TRANSFER-UPI/CR/546344346160/MAMTA  P/SBIN/anandpd063/UPI--</t>
  </si>
  <si>
    <t>UC567-0186,UC567-0184</t>
  </si>
  <si>
    <t>TSV04-0057</t>
  </si>
  <si>
    <t>BY TRANSFER-UPI/CR/102765669345/KESHAV  /CNRB/beswalkesh/UPI--</t>
  </si>
  <si>
    <t>T165</t>
  </si>
  <si>
    <t>TSV04-0058</t>
  </si>
  <si>
    <t>BY TRANSFER-UPI/CR/181346680520/ANKITMOH/HDFC/7489821313/NO RE--</t>
  </si>
  <si>
    <t>UC567-0180</t>
  </si>
  <si>
    <t>TSV04-0059</t>
  </si>
  <si>
    <t>BY TRANSFER-UPI/CR/509732915623/UDHAV KU/IPOS/6287303159/NA--</t>
  </si>
  <si>
    <t>TSV04-0060</t>
  </si>
  <si>
    <t>TO TRANSFER-INB NEFT UTR NO: SBIN225097125923--Jitendra Singh</t>
  </si>
  <si>
    <t>NEFT INB: CNADNRPUQ8  TRANSFER TO 4698144044304 / Jitendra Singh</t>
  </si>
  <si>
    <t>TSV04-0061</t>
  </si>
  <si>
    <t>CT00PDAQK2  TRANSFER TO 37636897684  Mr. KAPIL  . /</t>
  </si>
  <si>
    <t>TSV04-0062</t>
  </si>
  <si>
    <t>CT00PDAUL7  TRANSFER TO 34515616070  Mr. Rajmohan  Rajmohan /</t>
  </si>
  <si>
    <t>TSV04-0063</t>
  </si>
  <si>
    <t>CT00PDAWI5  TRANSFER TO 41430770430  Mr. Ajay  Kumar /</t>
  </si>
  <si>
    <t>TSV04-0064</t>
  </si>
  <si>
    <t>TO TRANSFER-INB NEFT UTR NO: SBIN225097142843--Piyush Tag</t>
  </si>
  <si>
    <t>NEFT INB: CNADNRQJO5  TRANSFER TO 4698133044307 / Piyush Tag</t>
  </si>
  <si>
    <t>TSV04-0065</t>
  </si>
  <si>
    <t>BY TRANSFER-UPI/CR/509769174194/AAYUSHMA/HDFC/8287626916/Sent--</t>
  </si>
  <si>
    <t>UC567-0183</t>
  </si>
  <si>
    <t>TSV04-0066</t>
  </si>
  <si>
    <t>BY TRANSFER-UPI/CR/232342204518/ABHISHEK/HDFC/abhishekme/Payme--</t>
  </si>
  <si>
    <t>TSV04-0067</t>
  </si>
  <si>
    <t>BY TRANSFER-UPI/CR/546495566520/CHAITANYA/HDFC/ssddc@yesc/Paid--</t>
  </si>
  <si>
    <t>UC567-0178</t>
  </si>
  <si>
    <t>TSV04-0068</t>
  </si>
  <si>
    <t>BY TRANSFER-UPI/CR/509846286739/SWETA  DEY/SBIN/8787781499/Sen--</t>
  </si>
  <si>
    <t>T158</t>
  </si>
  <si>
    <t>TSV04-0069</t>
  </si>
  <si>
    <t>BY TRANSFER-UPI/CR/509832692151/PAWAN KU/UTIB/vashistp20/drycl--</t>
  </si>
  <si>
    <t>T161</t>
  </si>
  <si>
    <t>TSV04-0070</t>
  </si>
  <si>
    <t>BY TRANSFER-UPI/CR/100326565638/SARTHAK /HDFC/9996957339/Trans--</t>
  </si>
  <si>
    <t>T182</t>
  </si>
  <si>
    <t>TSV04-0071</t>
  </si>
  <si>
    <t>BY TRANSFER-UPI/CR/546527036745/AKHIL YA/ICIC/7456087849/NA--</t>
  </si>
  <si>
    <t>T149</t>
  </si>
  <si>
    <t>TSV04-0072</t>
  </si>
  <si>
    <t>TO TRANSFER-INB NEFT UTR NO: SBIN525100036886--Vishal Salary</t>
  </si>
  <si>
    <t>NEFT INB: CNADNUMCY4  TRANSFER TO 3199301044303 / Vishal Salary</t>
  </si>
  <si>
    <t>TSV04-0073</t>
  </si>
  <si>
    <t>BY TRANSFER-UPI/CR/510030626077/R C  KAPUR/CNRB/rckapur60@/UPI--</t>
  </si>
  <si>
    <t>UC567-0181</t>
  </si>
  <si>
    <t>TSV04-0074</t>
  </si>
  <si>
    <t>BY TRANSFER-UPI/CR/102972312988/SUSHANT /HDFC/sushant.se/UPI--</t>
  </si>
  <si>
    <t>TSV04-0075</t>
  </si>
  <si>
    <t>BY TRANSFER-NEFT*HDFC0000240*HDFCH00178839664*TUMBLEDRY SOLUTI--</t>
  </si>
  <si>
    <t>TSV04-0076</t>
  </si>
  <si>
    <t>BY TRANSFER-UPI/CR/546725909783/MR UJJWA/SCBL/9711497981/NA--</t>
  </si>
  <si>
    <t>UC567-0179</t>
  </si>
  <si>
    <t>TSV04-0077</t>
  </si>
  <si>
    <t>BY TRANSFER-UPI/CR/510104187562/ASHUTOSH/HDFC/7837431439/Paid--</t>
  </si>
  <si>
    <t>UC567-0160</t>
  </si>
  <si>
    <t>TSV04-0078</t>
  </si>
  <si>
    <t>BY TRANSFER-RTGS UTR NO: HDFCR52025041260430834--RAJESH KUMAR DHINGRA</t>
  </si>
  <si>
    <t>TRANSFER FROM 3199859044307 / RAJESH KUMAR DHINGRA</t>
  </si>
  <si>
    <t>TSV04-0079</t>
  </si>
  <si>
    <t>TO TRANSFER-INB RTGS UTR NO: SBINR12025041282020149--Tumbledry Solutions Pvt Ltd</t>
  </si>
  <si>
    <t>RTGS INB: CRH5290895  TRANSFER TO 4599108044309 / Tumbledry Solutions Pvt Ltd</t>
  </si>
  <si>
    <t>3,99,607.00</t>
  </si>
  <si>
    <t>TSV04-0080</t>
  </si>
  <si>
    <t>BY TRANSFER-UPI/CR/546814586974/DAKSH  H/CNRB/9711971108/NA--</t>
  </si>
  <si>
    <t>UC567-0198</t>
  </si>
  <si>
    <t>TSV04-0081</t>
  </si>
  <si>
    <t>BY TRANSFER-UPI/CR/510269667020/REUBEN N/UTIB/9810624980/Sent--</t>
  </si>
  <si>
    <t>UC567-0204</t>
  </si>
  <si>
    <t>TSV04-0082</t>
  </si>
  <si>
    <t>BY TRANSFER-UPI/CR/546819545826/KRISHNA /KKBK/krishnajha/Laund--</t>
  </si>
  <si>
    <t>UC567-0193</t>
  </si>
  <si>
    <t>TSV04-0083</t>
  </si>
  <si>
    <t>BY TRANSFER-UPI/CR/454766462899/SAPNA  M/KKBK/9999087600/Payme--</t>
  </si>
  <si>
    <t>T143</t>
  </si>
  <si>
    <t>TSV04-0084</t>
  </si>
  <si>
    <t>BY TRANSFER-UPI/CR/950782661025/ALKA/KKBK/alka.8734-/UPI--</t>
  </si>
  <si>
    <t>T167</t>
  </si>
  <si>
    <t>TSV04-0085</t>
  </si>
  <si>
    <t>BY TRANSFER-IMPS/510223532066/ICI-XX846-HABIB AL/IMPS Tran--</t>
  </si>
  <si>
    <t>1,01,000.00</t>
  </si>
  <si>
    <t>TSV04-0086</t>
  </si>
  <si>
    <t>BY TRANSFER-UPI/CR/510361701630/PAWAN KU/ICIC/pawanupadh/UPI--</t>
  </si>
  <si>
    <t>UC567-0163</t>
  </si>
  <si>
    <t>TSV04-0087</t>
  </si>
  <si>
    <t>BY TRANSFER-UPI/CR/510387598037/RAUNAK  /SBIN/kondarauna/UPI--</t>
  </si>
  <si>
    <t>TSV04-0088</t>
  </si>
  <si>
    <t>by debit card-OTHPG 640777  TUMBLEDRY  NOIDA--</t>
  </si>
  <si>
    <t>TSV04-0089</t>
  </si>
  <si>
    <t>BY TRANSFER-UPI/CR/546927869535/PRABHAT /SBIN/8989118348/Paid--</t>
  </si>
  <si>
    <t>TSV04-0090</t>
  </si>
  <si>
    <t>BY TRANSFER-UPI/CR/103124599598/RIYA SHA/HDFC/riyas.2631/UPI--</t>
  </si>
  <si>
    <t>TSV04-0091</t>
  </si>
  <si>
    <t>BY TRANSFER-UPI/CR/510320588521/Vineeta/KKBK/8375866661/NA--</t>
  </si>
  <si>
    <t>TSV04-0092</t>
  </si>
  <si>
    <t>BY TRANSFER-UPI/CR/510426248020/MR HARPR/SCBL/9999914674/Sent--</t>
  </si>
  <si>
    <t>UC567-0203</t>
  </si>
  <si>
    <t>TSV04-0093</t>
  </si>
  <si>
    <t>BY TRANSFER-IMPS/510414878743/ICI-XX851-ALISHA A/IMPS Tran--</t>
  </si>
  <si>
    <t>TRANSFER FROM 4698302162091 /</t>
  </si>
  <si>
    <t>TSV04-0094</t>
  </si>
  <si>
    <t>BY TRANSFER-IMPS/510414881453/ICI-XX851-ALISHA A/IMPS Tran--</t>
  </si>
  <si>
    <t>3,87,000.00</t>
  </si>
  <si>
    <t>TSV04-0095</t>
  </si>
  <si>
    <t>BY TRANSFER-UPI/CR/510429719882/AAYUSHMA/HDFC/8287626916/Sent--</t>
  </si>
  <si>
    <t>UC567-0208</t>
  </si>
  <si>
    <t>TSV04-0096</t>
  </si>
  <si>
    <t>BY TRANSFER-UPI/CR/103175329465/BRIJ KIS/UBIN/brijksingh/UPI--</t>
  </si>
  <si>
    <t>TSV04-0097</t>
  </si>
  <si>
    <t>BY TRANSFER-UPI/CR/103204298269/Mr MANTH/CBIN/manthankav/UPI--</t>
  </si>
  <si>
    <t>TSV04-0098</t>
  </si>
  <si>
    <t>BY TRANSFER-UPI/CR/510552919228/RAKSHIT /UTIB/8920962539/Sent--</t>
  </si>
  <si>
    <t>T207</t>
  </si>
  <si>
    <t>TSV04-0099</t>
  </si>
  <si>
    <t>BY TRANSFER-UPI/CR/190855604242/BHRAGUDU/HDFC/8700760833/NO RE--</t>
  </si>
  <si>
    <t>TSV04-0100</t>
  </si>
  <si>
    <t>BY TRANSFER-UPI/CR/547130966519/Suraj Ku/SBIN/9569520893/NA--</t>
  </si>
  <si>
    <t>T219</t>
  </si>
  <si>
    <t>TSV04-0101</t>
  </si>
  <si>
    <t>BY TRANSFER-NEFT*HDFC0000001*HDFCH00185891240*GHAZALA SHEIKH*B--</t>
  </si>
  <si>
    <t>1,96,000.00</t>
  </si>
  <si>
    <t>TSV04-0102</t>
  </si>
  <si>
    <t>BY TRANSFER-NEFT*HDFC0000001*HDFCH00185895546*WAGID ALI SHEIKH--</t>
  </si>
  <si>
    <t>TSV04-0103</t>
  </si>
  <si>
    <t>BY TRANSFER-NEFT*PUNB0011300*PUNBH90009874797*JAVED ADIL KHAN*--</t>
  </si>
  <si>
    <t>TSV04-0104</t>
  </si>
  <si>
    <t>TO TRANSFER-INB RTGS UTR NO: SBINR12025041682298079--UCONCEPTS SOLUTIONS PVT LTD</t>
  </si>
  <si>
    <t>RTGS INB: CRH5436749  TRANSFER TO 99827044308 / UCONCEPTS SOLUTIONS PVT LTD</t>
  </si>
  <si>
    <t>TSV04-0105</t>
  </si>
  <si>
    <t>BY TRANSFER-UPI/CR/547210239899/MAYANK  /KKBK/9818809429/NA--</t>
  </si>
  <si>
    <t>TSV04-0106</t>
  </si>
  <si>
    <t>BY TRANSFER-UPI/CR/510645759454/RIDHI SA/HDFC/7011195586/Sent--</t>
  </si>
  <si>
    <t>UC56-0210,UC56-0211</t>
  </si>
  <si>
    <t>TSV04-0107</t>
  </si>
  <si>
    <t>BY TRANSFER-RTGS UTR NO: PUNBR52025041711085846--JAVED ADIL KHAN</t>
  </si>
  <si>
    <t>TRANSFER FROM 4698337044306 / JAVED ADIL KHAN</t>
  </si>
  <si>
    <t>4,90,000.00</t>
  </si>
  <si>
    <t>TSV04-0108</t>
  </si>
  <si>
    <t>TO TRANSFER-INB RTGS UTR NO: SBINR12025041782455465--UCONCEPTS SOLUTIONS PVT LTD</t>
  </si>
  <si>
    <t>RTGS INB: CRH5498995  TRANSFER TO 4599113044303 / UCONCEPTS SOLUTIONS PVT LTD</t>
  </si>
  <si>
    <t>4,60,500.00</t>
  </si>
  <si>
    <t>TSV04-0109</t>
  </si>
  <si>
    <t>BY TRANSFER-UPI/CR/510704440918/MS LIPIKA/SCBL/8700805613/Sent--</t>
  </si>
  <si>
    <t>TSV04-0110</t>
  </si>
  <si>
    <t>BY TRANSFER-UPI/CR/741024519222/PRADEEP /KKBK/7477416287/Payme--</t>
  </si>
  <si>
    <t>TSV04-0111</t>
  </si>
  <si>
    <t>BY TRANSFER-UPI/CR/789211532402/PREM  KS/SBIN/premmkshat/Payme--</t>
  </si>
  <si>
    <t>T171,T203</t>
  </si>
  <si>
    <t>TSV04-0112</t>
  </si>
  <si>
    <t>BY TRANSFER-UPI/CR/510857753303/KUMAR RA/HDFC/9711708012/Sent--</t>
  </si>
  <si>
    <t>T205</t>
  </si>
  <si>
    <t>TSV04-0113</t>
  </si>
  <si>
    <t>BY TRANSFER-UPI/CR/175694569533/AMAN KUM/HDFC/9430018767/Payme--</t>
  </si>
  <si>
    <t>T216</t>
  </si>
  <si>
    <t>TSV04-0114</t>
  </si>
  <si>
    <t>BY TRANSFER-NEFT*HDFC0000240*HDFCH00191482086*TUMBLEDRY SOLUTI--</t>
  </si>
  <si>
    <t>From TD Royalty Return</t>
  </si>
  <si>
    <t>TSV04-0115</t>
  </si>
  <si>
    <t>BY TRANSFER-UPI/CR/276568142765/GEETA/YESB/8920206748/Payment--</t>
  </si>
  <si>
    <t>TSV04-0116</t>
  </si>
  <si>
    <t>BY TRANSFER-UPI/CR/547517198819/Ananya S/IDFB/ananya.202/UPI--</t>
  </si>
  <si>
    <t>T217</t>
  </si>
  <si>
    <t>TSV04-0117</t>
  </si>
  <si>
    <t>BY TRANSFER-UPI/CR/283493248651/PARVESH /INDB/9650074842/NA--</t>
  </si>
  <si>
    <t>TSV04-0118</t>
  </si>
  <si>
    <t>BY TRANSFER-UPI/CR/511076945737/MS LIPIKA/SCBL/8700805613/Sent--</t>
  </si>
  <si>
    <t>T227</t>
  </si>
  <si>
    <t>TSV04-0119</t>
  </si>
  <si>
    <t>BY TRANSFER-UPI/CR/511096982400/SAURABH /PUNB/sauravtry-/dry c--</t>
  </si>
  <si>
    <t>T249</t>
  </si>
  <si>
    <t>TSV04-0120</t>
  </si>
  <si>
    <t>BY TRANSFER-UPI/CR/511031648998/KRISHNA /KKBK/krishnajha/Laund--</t>
  </si>
  <si>
    <t>UC567-0230</t>
  </si>
  <si>
    <t>TSV04-0121</t>
  </si>
  <si>
    <t>BY TRANSFER-UPI/CR/103502217756/KESHAV  /CNRB/beswalkesh/UPI--</t>
  </si>
  <si>
    <t>T230</t>
  </si>
  <si>
    <t>TSV04-0122</t>
  </si>
  <si>
    <t>BY TRANSFER-UPI/CR/283525768103/Beby  Si/FINO/9693800134/NA--</t>
  </si>
  <si>
    <t>T212</t>
  </si>
  <si>
    <t>TSV04-0123</t>
  </si>
  <si>
    <t>BY TRANSFER-UPI/CR/511041340468/SAHIL  /KKBK/kattiieeki/UPI--</t>
  </si>
  <si>
    <t>TSV04-0124</t>
  </si>
  <si>
    <t>BY TRANSFER-UPI/CR/511008212196/SWETA  DEY/CNRB/8787781499/Sen--</t>
  </si>
  <si>
    <t>T245</t>
  </si>
  <si>
    <t>TSV04-0125</t>
  </si>
  <si>
    <t>BY TRANSFER-UPI/CR/547744605287/PRAKHAR /BARB/7827412390/Paid--</t>
  </si>
  <si>
    <t>T110</t>
  </si>
  <si>
    <t>TSV04-0126</t>
  </si>
  <si>
    <t>BY TRANSFER-UPI/CR/100401340526/SARTHAK /HDFC/9996957339/Trans--</t>
  </si>
  <si>
    <t>T226</t>
  </si>
  <si>
    <t>TSV04-0127</t>
  </si>
  <si>
    <t>BY TRANSFER-UPI/CR/283572389539/DOLY KUM/BKID/9711856692/NA--</t>
  </si>
  <si>
    <t>TSV04-0128</t>
  </si>
  <si>
    <t>BY TRANSFER-UPI/CR/547750969852/Gopal  S/SBIN/gopalsatya/Paid--</t>
  </si>
  <si>
    <t>T222</t>
  </si>
  <si>
    <t>TSV04-0129</t>
  </si>
  <si>
    <t>BY TRANSFER-UPI/CR/511120744241/UMESH  C/SBIN/9627000444/Sent--</t>
  </si>
  <si>
    <t>T221</t>
  </si>
  <si>
    <t>TSV04-0130</t>
  </si>
  <si>
    <t>BY TRANSFER-UPI/CR/511239086196/RISHABH /UTIB/rishabh947/UPI--</t>
  </si>
  <si>
    <t>UC567-0234</t>
  </si>
  <si>
    <t>TSV04-0131</t>
  </si>
  <si>
    <t>BY TRANSFER-UPI/CR/103600665652/KESHAV  /CNRB/beswalkesh/UPI--</t>
  </si>
  <si>
    <t>T247</t>
  </si>
  <si>
    <t>TSV04-0132</t>
  </si>
  <si>
    <t>BY TRANSFER-UPI/CR/547930639414/NIBI JOS/UTIB/ejnibs@oka/UPI--</t>
  </si>
  <si>
    <t>T238</t>
  </si>
  <si>
    <t>TSV04-0133</t>
  </si>
  <si>
    <t>BY TRANSFER-UPI/CR/103641108200/TARUN SH/HDFC/tarunsharm/UPI--</t>
  </si>
  <si>
    <t>UC567-0224</t>
  </si>
  <si>
    <t>TSV04-0134</t>
  </si>
  <si>
    <t>BY TRANSFER-UPI/CR/971480975417/Rishu Ku/BARB/8851333802/Payme--</t>
  </si>
  <si>
    <t>UC567-0227</t>
  </si>
  <si>
    <t>TSV04-0135</t>
  </si>
  <si>
    <t>BY TRANSFER-UPI/CR/511390347380/ABHISHEK/HDFC/9625705330/Sent--</t>
  </si>
  <si>
    <t>T232,233</t>
  </si>
  <si>
    <t>TSV04-0136</t>
  </si>
  <si>
    <t>BY TRANSFER-UPI/CR/511390542903/AAYUSHMA/HDFC/8287626916/Sent--</t>
  </si>
  <si>
    <t>UC567-0238</t>
  </si>
  <si>
    <t>TSV04-0137</t>
  </si>
  <si>
    <t>BY TRANSFER-UPI/CR/103657933987/SACHIN P/DBSS/sachinprab/UPI--</t>
  </si>
  <si>
    <t>T237</t>
  </si>
  <si>
    <t>TSV04-0138</t>
  </si>
  <si>
    <t>TO TRANSFER-INB Advance Security Deposit--</t>
  </si>
  <si>
    <t>CT00PRAZY7  TRANSFER TO 53003553903  Mr. OM PRAKASH DUHAN /</t>
  </si>
  <si>
    <t>TSV04-0139</t>
  </si>
  <si>
    <t>BY TRANSFER-UPI/CR/511438777499/SIDHARTH/HDFC/7903079042/Paid--</t>
  </si>
  <si>
    <t>T243</t>
  </si>
  <si>
    <t>TSV04-0140</t>
  </si>
  <si>
    <t>BY TRANSFER-UPI/CR/511454022332/SHILPA R/ICIC/9873963516/Sent--</t>
  </si>
  <si>
    <t>UC567-0233</t>
  </si>
  <si>
    <t>TSV04-0141</t>
  </si>
  <si>
    <t>BY TRANSFER-UPI/CR/061901967536/AMAN  KU/SBIN/9304515348/Payme--</t>
  </si>
  <si>
    <t>TSV04-0142</t>
  </si>
  <si>
    <t>BY TRANSFER-UPI/CR/548042248536/BHARTI/ICIC/bhartirao2/UPI--</t>
  </si>
  <si>
    <t>TSV04-0143</t>
  </si>
  <si>
    <t>BY TRANSFER-UPI/CR/511455718229/VINAYAK /SBIN/9717922731/Sent--</t>
  </si>
  <si>
    <t>TSV04-0144</t>
  </si>
  <si>
    <t>BY TRANSFER-UPI/CR/548091299767/SNEHA MA/HDFC/8108091155/Paid--</t>
  </si>
  <si>
    <t>TSV04-0145</t>
  </si>
  <si>
    <t>BY TRANSFER-UPI/CR/511566151802/SIDDHART/SBIN/9406173542/Sent--</t>
  </si>
  <si>
    <t>T251,T252</t>
  </si>
  <si>
    <t>TSV04-0146</t>
  </si>
  <si>
    <t>BY TRANSFER-NEFT*HDFC0000240*HDFCH00201265188*TUMBLEDRY SOLUTI--</t>
  </si>
  <si>
    <t>TSV04-0147</t>
  </si>
  <si>
    <t>BY TRANSFER-UPI/CR/511559433496/SHIVANGI/UBIN/shivangish/UPI--</t>
  </si>
  <si>
    <t>UC567-0239</t>
  </si>
  <si>
    <t>TSV04-0148</t>
  </si>
  <si>
    <t>BY TRANSFER-UPI/CR/420894231349/NEELU/CNRB/7011640708/Payment--</t>
  </si>
  <si>
    <t>TSV04-0149</t>
  </si>
  <si>
    <t>BY TRANSFER-UPI/CR/511688831017/DOMINIC /KKBK/dominicm19/UPI--</t>
  </si>
  <si>
    <t>T268</t>
  </si>
  <si>
    <t>TSV04-0150</t>
  </si>
  <si>
    <t>BY TRANSFER-UPI/CR/548224259651/KRISHNA /KVBL/krishnamak/UPI--</t>
  </si>
  <si>
    <t>TSV04-0151</t>
  </si>
  <si>
    <t>BY TRANSFER-UPI/CR/548239852660/KRISHNA /KVBL/krishnamak/UPI--</t>
  </si>
  <si>
    <t>TSV04-0152</t>
  </si>
  <si>
    <t>BY TRANSFER-UPI/CR/297912266009/SAURAV P/ICIC/saurav-ici/Payme--</t>
  </si>
  <si>
    <t>UC567-0241</t>
  </si>
  <si>
    <t>TSV04-0153</t>
  </si>
  <si>
    <t>BY TRANSFER-UPI/CR/511619913533/ShahirSu/DBSS/shahirsuha/Altha--</t>
  </si>
  <si>
    <t>TSV04-0154</t>
  </si>
  <si>
    <t>BY TRANSFER-UPI/CR/511620885469/ShahirSu/DBSS/shahirsuha/Laund--</t>
  </si>
  <si>
    <t>TSV04-0155</t>
  </si>
  <si>
    <t>BY TRANSFER-UPI/CR/511713112414/CHEONG Y/HSBC/9266578800/Sent--</t>
  </si>
  <si>
    <t>UC567-0232</t>
  </si>
  <si>
    <t>TSV04-0156</t>
  </si>
  <si>
    <t>BY TRANSFER-UPI/CR/103855273729/MANISH  /KKBK/manishpand/UPI--</t>
  </si>
  <si>
    <t>TSV04-0157</t>
  </si>
  <si>
    <t>BY TRANSFER-UPI/CR/797539110338/AMIT KUMAR/HDFC/7838081086/Pay--</t>
  </si>
  <si>
    <t>TSV04-0158</t>
  </si>
  <si>
    <t>BY TRANSFER-UPI/CR/069373683461/SATISH B/HDFC/8602650003/Payme--</t>
  </si>
  <si>
    <t>TSV04-0159</t>
  </si>
  <si>
    <t>BY TRANSFER-UPI/CR/181643256452/SANDEEPK/UTIB/9650799352/Dry c--</t>
  </si>
  <si>
    <t>UC567-0243</t>
  </si>
  <si>
    <t>TSV04-0160</t>
  </si>
  <si>
    <t>BY TRANSFER-UPI/CR/511738240722/KRISHNA /KKBK/krishnajha/Laund--</t>
  </si>
  <si>
    <t>UC567-0257</t>
  </si>
  <si>
    <t>TSV04-0161</t>
  </si>
  <si>
    <t>BY TRANSFER-UPI/CR/548306447616/KESHAV  /CNRB/7719907111/Paid--</t>
  </si>
  <si>
    <t>TSV04-0162</t>
  </si>
  <si>
    <t>BY TRANSFER-UPI/CR/511834571498/SONIYA/KKBK/8527917002/Sent us--</t>
  </si>
  <si>
    <t>TSV04-0163</t>
  </si>
  <si>
    <t>TO CLEARING-Chq No. 574556 ICI  Bharti Airtel Ltd--574556</t>
  </si>
  <si>
    <t>/ 574556</t>
  </si>
  <si>
    <t>TSV04-0164</t>
  </si>
  <si>
    <t>BY TRANSFER-UPI/CR/511929250906/AJAY KUM/HDFC/9811090080/Sent--</t>
  </si>
  <si>
    <t>UC567-0240</t>
  </si>
  <si>
    <t>TSV04-0165</t>
  </si>
  <si>
    <t>BY TRANSFER-UPI/CR/511905562670/ROHIT KU/UTIB/9899227138/Sent--</t>
  </si>
  <si>
    <t>UC567-0231</t>
  </si>
  <si>
    <t>TSV04-0166</t>
  </si>
  <si>
    <t>BY TRANSFER-UPI/CR/511965611650/SUMESH G/UTIB/9212159384/Sent--</t>
  </si>
  <si>
    <t>TSV04-0167</t>
  </si>
  <si>
    <t>TO TRANSFER-INB NEFT UTR NO: SBIN125120596893--Jitendra Singh</t>
  </si>
  <si>
    <t>NEFT INB: CNADOOOQC0  TRANSFER TO 4697164044309 / Jitendra Singh</t>
  </si>
  <si>
    <t>TSV04-0168</t>
  </si>
  <si>
    <t>BY TRANSFER-UPI/CR/512061944427/A MADHUK/UTIB/amk.reddy@/UPI--</t>
  </si>
  <si>
    <t>UC567-0248</t>
  </si>
  <si>
    <t>TSV04-0169</t>
  </si>
  <si>
    <t>BY TRANSFER-UPI/CR/512016628203/SONIYA/KKBK/8527917002/Sent us--</t>
  </si>
  <si>
    <t>TSV05-0001</t>
  </si>
  <si>
    <t>TO TRANSFER-INB Payment to Rent--</t>
  </si>
  <si>
    <t>CT00PXGPV5  TRANSFER TO 53003553903  Mr. OM PRAKASH DUHAN /</t>
  </si>
  <si>
    <t>Partial Rent Sushant Lok 1</t>
  </si>
  <si>
    <t>TSV05-0002</t>
  </si>
  <si>
    <t>BY TRANSFER-UPI/CR/792342032925/KAUSTUBH/ICIC/7903240922/Payme--</t>
  </si>
  <si>
    <t>TSV05-0003</t>
  </si>
  <si>
    <t>BY TRANSFER-UPI/CR/104085661248/ANSHIKA /HDFC/anshu.goel/UPI--</t>
  </si>
  <si>
    <t>TSV05-0004</t>
  </si>
  <si>
    <t>BY TRANSFER-UPI/CR/218050891215/RASHMI D/UBIN/kejriwalmo/UPI--</t>
  </si>
  <si>
    <t>T286,309</t>
  </si>
  <si>
    <t>TSV05-0005</t>
  </si>
  <si>
    <t>BY TRANSFER-UPI/CR/104100305682/BRIJ KIS/UBIN/brijksingh/UPI--</t>
  </si>
  <si>
    <t>TSV05-0006</t>
  </si>
  <si>
    <t>by debit card-OTHPG 832557  TUMBLEDRY  NOIDA--</t>
  </si>
  <si>
    <t>TD UN Royalty Payment</t>
  </si>
  <si>
    <t>TSV05-0007</t>
  </si>
  <si>
    <t>BY TRANSFER-UPI/CR/284232872479/SHIBOM K/ICIC/9302777077/NA--</t>
  </si>
  <si>
    <t>UC567-0213</t>
  </si>
  <si>
    <t>TSV05-0008</t>
  </si>
  <si>
    <t>TO TRANSFER-INB NEFT UTR NO: SBIN425122686815--Subhash Chander</t>
  </si>
  <si>
    <t>NEFT INB: CNADORFCH2  TRANSFER TO 4697155044309 / Subhash Chander</t>
  </si>
  <si>
    <t>Partial Rent Kirti Nagar</t>
  </si>
  <si>
    <t>TSV05-0009</t>
  </si>
  <si>
    <t>BY TRANSFER-UPI/CR/586533597302/Mr Aman /IDIB/singhamanr/Payme--</t>
  </si>
  <si>
    <t>TSV05-0010</t>
  </si>
  <si>
    <t>BY TRANSFER-UPI/CR/104162138657/KESHAV  /CNRB/beswalkesh/UPI--</t>
  </si>
  <si>
    <t>TSV05-0011</t>
  </si>
  <si>
    <t>BY TRANSFER-UPI/CR/104162372743/KESHAV  /CNRB/beswalkesh/UPI--</t>
  </si>
  <si>
    <t>TSV05-0012</t>
  </si>
  <si>
    <t>BY TRANSFER-UPI/CR/408194005084/MANJU/UJVN/9354368701/Payment--</t>
  </si>
  <si>
    <t>TSV05-0013</t>
  </si>
  <si>
    <t>BY TRANSFER-UPI/CR/512335408827/ABHISHEK/ICIC/sihagabhis/UPI--</t>
  </si>
  <si>
    <t>TSV05-0014</t>
  </si>
  <si>
    <t>BY TRANSFER-UPI/CR/512335307581/DIMPY MA/UBIN/bankonmak@/UPI--</t>
  </si>
  <si>
    <t>T293</t>
  </si>
  <si>
    <t>TSV05-0015</t>
  </si>
  <si>
    <t>BY TRANSFER-UPI/CR/512319365702/RISHABH /UTIB/8879208775/Sent--</t>
  </si>
  <si>
    <t>UC567-0274</t>
  </si>
  <si>
    <t>TSV05-0016</t>
  </si>
  <si>
    <t>BY TRANSFER-UPI/CR/512421193468/KUMAR LO/ICIC/kumarlokes/UPI--</t>
  </si>
  <si>
    <t>UC567-0229</t>
  </si>
  <si>
    <t>TSV05-0017</t>
  </si>
  <si>
    <t>BY TRANSFER-UPI/CR/512420019798/ASHOK SH/PUNB/8878392764/Sent--</t>
  </si>
  <si>
    <t>T305</t>
  </si>
  <si>
    <t>TSV05-0018</t>
  </si>
  <si>
    <t>BY TRANSFER-UPI/CR/512417967152/Raman Ch/KKBK/7830271895/NA--</t>
  </si>
  <si>
    <t>TSV05-0019</t>
  </si>
  <si>
    <t>BY TRANSFER-UPI/CR/512440288994/SONIYA/SBIN/8527917002/Sent us--</t>
  </si>
  <si>
    <t>T304</t>
  </si>
  <si>
    <t>TSV05-0020</t>
  </si>
  <si>
    <t>BY TRANSFER-UPI/CR/104274616966/AKANSHA /HDFC/akansha.nt/UPI--</t>
  </si>
  <si>
    <t>T290</t>
  </si>
  <si>
    <t>TSV05-0021</t>
  </si>
  <si>
    <t>BY TRANSFER-UPI/CR/549105716251/MS NEHA /SCBL/neha.jain1/UPI--</t>
  </si>
  <si>
    <t>UC567-0286</t>
  </si>
  <si>
    <t>TSV05-0022</t>
  </si>
  <si>
    <t>BY TRANSFER-UPI/CR/167267260564/NARENDER/PUNB/9873267777/Payme--</t>
  </si>
  <si>
    <t>UC567-0285</t>
  </si>
  <si>
    <t>TSV05-0023</t>
  </si>
  <si>
    <t>BY TRANSFER-UPI/CR/750044400161/MD GHULA/HDFC/9990255878/Payme--</t>
  </si>
  <si>
    <t>T313</t>
  </si>
  <si>
    <t>TSV05-0024</t>
  </si>
  <si>
    <t>BY TRANSFER-UPI/CR/284442354887/COVALENT/KARB/9212052554/NA--</t>
  </si>
  <si>
    <t>TSV05-0025</t>
  </si>
  <si>
    <t>BY TRANSFER-UPI/CR/072476093989/HIMANSHU/FDRL/dhariwal.h/Payme--</t>
  </si>
  <si>
    <t>T319</t>
  </si>
  <si>
    <t>TSV05-0026</t>
  </si>
  <si>
    <t>BY TRANSFER-UPI/CR/912309078512/SANTRA  /UBIN/9650025656/Payme--</t>
  </si>
  <si>
    <t>UC567-0277</t>
  </si>
  <si>
    <t>TSV05-0027</t>
  </si>
  <si>
    <t>by debit card-OTHPG 973192  TUMBLEDRY  NOIDA--</t>
  </si>
  <si>
    <t>TD UN Conumables Payment</t>
  </si>
  <si>
    <t>TSV05-0028</t>
  </si>
  <si>
    <t>TO TRANSFER-IMPS/512614574954/ICIC-xx613-/--</t>
  </si>
  <si>
    <t>TRANSFER TO 4698288162094 /</t>
  </si>
  <si>
    <t>UC Uniform</t>
  </si>
  <si>
    <t>Uniform</t>
  </si>
  <si>
    <t>TSV05-0029</t>
  </si>
  <si>
    <t>TO TRANSFER-INB NEFT UTR NO: SBIN325126562669--Kaushalya Devi</t>
  </si>
  <si>
    <t>NEFT INB: CNADOVTYI7  TRANSFER TO 4698134044306 / Kaushalya Devi</t>
  </si>
  <si>
    <t>Uttam Nagar Store Rent</t>
  </si>
  <si>
    <t>TSV05-0030</t>
  </si>
  <si>
    <t>YSBI2567961952CHT3306517  TRANSFER TO 3199589162098 /</t>
  </si>
  <si>
    <t>Uttam Nagar Electricity</t>
  </si>
  <si>
    <t>TSV05-0031</t>
  </si>
  <si>
    <t>TO TRANSFER-IMPS/512614583026/INDB-xx171-/--</t>
  </si>
  <si>
    <t>Sushant Tower Rent</t>
  </si>
  <si>
    <t>TSV05-0032</t>
  </si>
  <si>
    <t>by debit card-OTHPG 990207  FRANCHISEINDIA.COM LIMNEW DELHI--</t>
  </si>
  <si>
    <t>Franchise India Event Pass</t>
  </si>
  <si>
    <t>TSV05-0033</t>
  </si>
  <si>
    <t>BY TRANSFER-UPI/CR/259881849160/Mr Abhis/IDIB/9953430158/Payme--</t>
  </si>
  <si>
    <t>T328</t>
  </si>
  <si>
    <t>TSV05-0034</t>
  </si>
  <si>
    <t>BY TRANSFER-UPI/CR/864395001275/AVINASH /HDFC/avinash.32/UPI--</t>
  </si>
  <si>
    <t>TSV05-0035</t>
  </si>
  <si>
    <t>BY TRANSFER-UPI/CR/104435120717/CHITRANS/HDFC/cjain2000@/UPI--</t>
  </si>
  <si>
    <t>T318</t>
  </si>
  <si>
    <t>TSV05-0036</t>
  </si>
  <si>
    <t>BY TRANSFER-UPI/CR/104435500181/KESHAV  /CNRB/beswalkesh/UPI--</t>
  </si>
  <si>
    <t>TSV05-0037</t>
  </si>
  <si>
    <t>BY TRANSFER-UPI/CR/182860836048/SARTHAK /HDFC/9667939256/Payme--</t>
  </si>
  <si>
    <t>UC567-0283</t>
  </si>
  <si>
    <t>TSV05-0038</t>
  </si>
  <si>
    <t>BY TRANSFER-UPI/CR/512781312019/GAURAV S/HDFC/9873860266/Sent--</t>
  </si>
  <si>
    <t>T320</t>
  </si>
  <si>
    <t>TSV05-0039</t>
  </si>
  <si>
    <t>TO TRANSFER-INB NEFT UTR NO: SBIN525127936650--Piyush Tag</t>
  </si>
  <si>
    <t>NEFT INB: CNADOXWWM4  TRANSFER TO 4697161044302 / Piyush Tag</t>
  </si>
  <si>
    <t>Salary Piyush Tag</t>
  </si>
  <si>
    <t>TSV05-0040</t>
  </si>
  <si>
    <t>TO TRANSFER-INB NEFT UTR NO: SBIN525127935430--Jitendra Singh</t>
  </si>
  <si>
    <t>NEFT INB: CNADOXWZA2  TRANSFER TO 4698147044301 / Jitendra Singh</t>
  </si>
  <si>
    <t>Salary Jitendra</t>
  </si>
  <si>
    <t>TSV05-0041</t>
  </si>
  <si>
    <t>TO TRANSFER-INB NEFT UTR NO: SBIN525127935500--Vishal Salary</t>
  </si>
  <si>
    <t>NEFT INB: CNADOXWZI4  TRANSFER TO 3199301044303 / Vishal Salary</t>
  </si>
  <si>
    <t>Salary Vishal UC56</t>
  </si>
  <si>
    <t>TSV05-0042</t>
  </si>
  <si>
    <t>CT00QDXYO3  TRANSFER TO 37636897684  Mr. KAPIL  . /</t>
  </si>
  <si>
    <t>Salary Kapil</t>
  </si>
  <si>
    <t>TSV05-0043</t>
  </si>
  <si>
    <t>BY TRANSFER-UPI/CR/104465261674/SAMIKSHA/HDFC/samiksha.b/UPI--</t>
  </si>
  <si>
    <t>T321,T322</t>
  </si>
  <si>
    <t>TSV05-0044</t>
  </si>
  <si>
    <t>BY TRANSFER-UPI/CR/961481911285/RASHMI D/UBIN/kejriwalmo/UPI--</t>
  </si>
  <si>
    <t>TSV05-0045</t>
  </si>
  <si>
    <t>BY TRANSFER-UPI/CR/284640892387/AMMAR ZAIN/UBIN/8954047629/NA--</t>
  </si>
  <si>
    <t>TSV05-0046</t>
  </si>
  <si>
    <t>BY TRANSFER-UPI/CR/549560399840/AAYUSH G/HDFC/agarg0423@/UPI--</t>
  </si>
  <si>
    <t>UC567-0294</t>
  </si>
  <si>
    <t>TSV05-0047</t>
  </si>
  <si>
    <t>BY TRANSFER-NEFT*HDFC0000240*HDFCH00231941168*TUMBLEDRY SOLUTI--</t>
  </si>
  <si>
    <t>TD</t>
  </si>
  <si>
    <t>TSV05-0048</t>
  </si>
  <si>
    <t>TO TRANSFER-INB NEFT UTR NO: SBIN225129651847--Shubham</t>
  </si>
  <si>
    <t>NEFT INB: CNADOZWLE3  TRANSFER TO 4698144044304 / Shubham</t>
  </si>
  <si>
    <t>TSV05-0049</t>
  </si>
  <si>
    <t>BY TRANSFER-UPI/CR/512924575486/SUMIT CH/IDFB/9711722727/Sent--</t>
  </si>
  <si>
    <t>UC567-0284</t>
  </si>
  <si>
    <t>TSV05-0050</t>
  </si>
  <si>
    <t>BY TRANSFER-UPI/CR/104537979377/BOORGU S/HDFC/boorgu.955/PAY B--</t>
  </si>
  <si>
    <t>UC567-0281</t>
  </si>
  <si>
    <t>TSV05-0051</t>
  </si>
  <si>
    <t>BY TRANSFER-UPI/CR/549566918536/KARUNA  /UTIB/kunalbajaj/UPI--</t>
  </si>
  <si>
    <t>T330</t>
  </si>
  <si>
    <t>TSV05-0052</t>
  </si>
  <si>
    <t>BY TRANSFER-UPI/CR/284691461975/AMAN BAN/CNRB/8587069503/NA--</t>
  </si>
  <si>
    <t>TSV05-0053</t>
  </si>
  <si>
    <t>BY TRANSFER-UPI/CR/205640506336/VARUN KU/INDB/8586033034/Payme--</t>
  </si>
  <si>
    <t>T341,T342</t>
  </si>
  <si>
    <t>TSV05-0054</t>
  </si>
  <si>
    <t>BY TRANSFER-UPI/CR/284751549357/ASHUTOSH/SIBL/9204439123/NA--</t>
  </si>
  <si>
    <t>T337,T338</t>
  </si>
  <si>
    <t>TSV05-0055</t>
  </si>
  <si>
    <t>TO TRANSFER-INB NEFT UTR NO: SBIN425131000859--Vishal Tdun</t>
  </si>
  <si>
    <t>NEFT INB: CNADPBYGS6  TRANSFER TO 4697163044300 / Vishal Tdun</t>
  </si>
  <si>
    <t>Salary Vishal TDUN</t>
  </si>
  <si>
    <t>TSV05-0056</t>
  </si>
  <si>
    <t>TO TRANSFER-INB NEFT UTR NO: SBIN425131003787--Shubham</t>
  </si>
  <si>
    <t>NEFT INB: CNADPBYKH9  TRANSFER TO 4697159044305 / Shubham</t>
  </si>
  <si>
    <t>Salary Sandeep TDUN</t>
  </si>
  <si>
    <t>TSV05-0057</t>
  </si>
  <si>
    <t>CT00QHEJV8  TRANSFER TO 38259686140  Mrs. SUNITA  . /</t>
  </si>
  <si>
    <t>Salary Sonu</t>
  </si>
  <si>
    <t>TSV05-0058</t>
  </si>
  <si>
    <t>CT00QHEJZ2  TRANSFER TO 41430770430  Mr. Ajay  Kumar /</t>
  </si>
  <si>
    <t>Salary Ajay</t>
  </si>
  <si>
    <t>TSV05-0059</t>
  </si>
  <si>
    <t>BY TRANSFER-UPI/CR/579763744343/YASH PAL/UTIB/7048979696/Payme--</t>
  </si>
  <si>
    <t>T316</t>
  </si>
  <si>
    <t>TSV05-0060</t>
  </si>
  <si>
    <t>BY TRANSFER-UPI/CR/100541504311/SARTHAK /HDFC/9996957339/Trans--</t>
  </si>
  <si>
    <t>T333</t>
  </si>
  <si>
    <t>TSV05-0061</t>
  </si>
  <si>
    <t>BY TRANSFER-UPI/CR/104715202070/KISHOR  /SBIN/discovery./UPI--</t>
  </si>
  <si>
    <t>TSV05-0062</t>
  </si>
  <si>
    <t>BY TRANSFER-UPI/CR/513211939139/RITU LOYAL/HDFC/8800309343/Sen--</t>
  </si>
  <si>
    <t>T348</t>
  </si>
  <si>
    <t>TSV05-0063</t>
  </si>
  <si>
    <t>BY TRANSFER-UPI/CR/513337878337/KAPIL  Y/UTIB/9311111658/Sent--</t>
  </si>
  <si>
    <t>UC567-0263</t>
  </si>
  <si>
    <t>TSV05-0064</t>
  </si>
  <si>
    <t>BY TRANSFER-UPI/CR/086738926599/AKHILESH/UBIN/9755738697/Payme--</t>
  </si>
  <si>
    <t>T359</t>
  </si>
  <si>
    <t>TSV05-0065</t>
  </si>
  <si>
    <t>BY TRANSFER-UPI/CR/284909541752/DEEKSHA /IBKL/7836885626/NA--</t>
  </si>
  <si>
    <t>T363</t>
  </si>
  <si>
    <t>TSV05-0066</t>
  </si>
  <si>
    <t>BY TRANSFER-UPI/CR/513316205013/AAYUSHMA/HDFC/8287626916/Sent--</t>
  </si>
  <si>
    <t>TSV05-0067</t>
  </si>
  <si>
    <t>BY TRANSFER-UPI/CR/109464391458/SARTHIK /KKBK/khuranasar/Payme--</t>
  </si>
  <si>
    <t>UC567-0308</t>
  </si>
  <si>
    <t>TSV05-0068</t>
  </si>
  <si>
    <t>BY TRANSFER-UPI/CR/383842310669/AJAY KUMAR/BARB/7835830446/NA--</t>
  </si>
  <si>
    <t>TSV05-0069</t>
  </si>
  <si>
    <t>TO TRANSFER-INB NEFT UTR NO: SBIN125133074199--Jatin Yadav</t>
  </si>
  <si>
    <t>NEFT INB: CNADPEUSA8  TRANSFER TO 4698131044309 / Jatin Yadav</t>
  </si>
  <si>
    <t>TSV05-0070</t>
  </si>
  <si>
    <t>BY TRANSFER-UPI/CR/550001117454/DIPTI GU/ICIC/gosaindipt/UPI--</t>
  </si>
  <si>
    <t>UC567-0293</t>
  </si>
  <si>
    <t>TSV05-0071</t>
  </si>
  <si>
    <t>BY TRANSFER-UPI/CR/513479192049/ROHIT KU/UTIB/9899227138/Sent--</t>
  </si>
  <si>
    <t>TSV05-0072</t>
  </si>
  <si>
    <t>BY TRANSFER-UPI/CR/513421983641/PRIYANKA/RATN/9654475163/Sent--</t>
  </si>
  <si>
    <t>T377</t>
  </si>
  <si>
    <t>TSV05-0073</t>
  </si>
  <si>
    <t>BY TRANSFER-UPI/CR/550020036011/SWETA DEY/CNRB/swetadey70/UPI--</t>
  </si>
  <si>
    <t>T361</t>
  </si>
  <si>
    <t>TSV05-0074</t>
  </si>
  <si>
    <t>BY TRANSFER-UPI/CR/513475185483/A MADHUK/UTIB/amk.reddy@/UPI--</t>
  </si>
  <si>
    <t>UC567-0282</t>
  </si>
  <si>
    <t>TSV05-0075</t>
  </si>
  <si>
    <t>BY TRANSFER-UPI/CR/513526883352/SHREE KR/HDFC/7837055443/Sent--</t>
  </si>
  <si>
    <t>TSV05-0076</t>
  </si>
  <si>
    <t>BY TRANSFER-UPI/CR/513584778518/ABHISHEK/SBIN/sihagabhis/UPI--</t>
  </si>
  <si>
    <t>T375</t>
  </si>
  <si>
    <t>TSV05-0077</t>
  </si>
  <si>
    <t>BY TRANSFER-UPI/CR/466783284614/DUPPALA /SBIN/duppala.ha/Payme--</t>
  </si>
  <si>
    <t>TSV05-0078</t>
  </si>
  <si>
    <t>BY TRANSFER-UPI/CR/201140264436/ANKITMOH/HDFC/7489821313/NO RE--</t>
  </si>
  <si>
    <t>UC567-0313</t>
  </si>
  <si>
    <t>TSV05-0079</t>
  </si>
  <si>
    <t>by debit card-OTHPG 253576  TUMBLEDRY  NOIDA--</t>
  </si>
  <si>
    <t>TSV05-0080</t>
  </si>
  <si>
    <t>BY TRANSFER-UPI/CR/550216160666/ADITYA K/HDFC/9796268713/Paid--</t>
  </si>
  <si>
    <t>T366</t>
  </si>
  <si>
    <t>TSV05-0081</t>
  </si>
  <si>
    <t>BY TRANSFER-UPI/CR/383961463402/JIGYASA /ICIC/9711270025/NA--</t>
  </si>
  <si>
    <t>TSV05-0082</t>
  </si>
  <si>
    <t>BY TRANSFER-UPI/CR/857247333015/NARENDRA/SBIN/8210857915/Payme--</t>
  </si>
  <si>
    <t>TSV05-0083</t>
  </si>
  <si>
    <t>BY TRANSFER-UPI/CR/060685036182/NARENDRA/SBIN/8210857915/Payme--</t>
  </si>
  <si>
    <t>TSV05-0084</t>
  </si>
  <si>
    <t>BY TRANSFER-UPI/CR/165252031599/ABHIJIT /UTIB/9693819105/Payme--</t>
  </si>
  <si>
    <t>T376</t>
  </si>
  <si>
    <t>TSV05-0085</t>
  </si>
  <si>
    <t>BY TRANSFER-UPI/CR/513731901667/NITIN GU/ICIC/gosaindipt/Sent--</t>
  </si>
  <si>
    <t>UC567-0325</t>
  </si>
  <si>
    <t>TSV05-0086</t>
  </si>
  <si>
    <t>BY TRANSFER-UPI/CR/513792934429/BRIJ MOH/IOBA/bm.gupta19/UPI--</t>
  </si>
  <si>
    <t>TSV05-0087</t>
  </si>
  <si>
    <t>BY TRANSFER-UPI/CR/582066392078/SHRI SHI/ICIC/8287587016/Payme--</t>
  </si>
  <si>
    <t>T329</t>
  </si>
  <si>
    <t>TSV05-0088</t>
  </si>
  <si>
    <t>BY TRANSFER-UPI/CR/614173358078/GOURAV J/BKID/8826435027/NA--</t>
  </si>
  <si>
    <t>T78</t>
  </si>
  <si>
    <t>TSV05-0089</t>
  </si>
  <si>
    <t>BY TRANSFER-UPI/CR/104959074812/Kumar  S/SBIN/ftshivam12/UPI--</t>
  </si>
  <si>
    <t>TSV05-0090</t>
  </si>
  <si>
    <t>BY TRANSFER-UPI/CR/104970848129/SHAHIR S/DBSS/shahirs97-/laund--</t>
  </si>
  <si>
    <t>T368</t>
  </si>
  <si>
    <t>TSV05-0091</t>
  </si>
  <si>
    <t>BY TRANSFER-UPI/CR/513822903797/VIDYA IYER/UTIB/9599756752/Sen--</t>
  </si>
  <si>
    <t>T364</t>
  </si>
  <si>
    <t>TSV05-0092</t>
  </si>
  <si>
    <t>BY TRANSFER-UPI/CR/513822908031/NEHA GOEL/ICIC/9968500336/Sent--</t>
  </si>
  <si>
    <t>UC567-0322</t>
  </si>
  <si>
    <t>TSV05-0093</t>
  </si>
  <si>
    <t>BY TRANSFER-UPI/CR/513850549711/ANSHU SU/ICIC/9999530798/Sent--</t>
  </si>
  <si>
    <t>TSV05-0094</t>
  </si>
  <si>
    <t>BY TRANSFER-UPI/CR/550499851310/Shreya  /SBIN/shreyaprab/UPI--</t>
  </si>
  <si>
    <t>UC567-0320</t>
  </si>
  <si>
    <t>TSV05-0095</t>
  </si>
  <si>
    <t>BY TRANSFER-UPI/CR/614232314399/DEEPANSH/ICIC/8273434974/NA--</t>
  </si>
  <si>
    <t>T386</t>
  </si>
  <si>
    <t>TSV05-0096</t>
  </si>
  <si>
    <t>BY TRANSFER-UPI/CR/513955904090/AFFRISE /HDFC/9711730133/Sent--</t>
  </si>
  <si>
    <t>UC567-0305</t>
  </si>
  <si>
    <t>TSV05-0097</t>
  </si>
  <si>
    <t>BY TRANSFER-UPI/CR/513967623671/ANKIT KU/UTIB/ankit.sing/UPI--</t>
  </si>
  <si>
    <t>TSV05-0098</t>
  </si>
  <si>
    <t>BY TRANSFER-UPI/CR/193833199117/ANKITMOH/HDFC/7489821313/NO RE--</t>
  </si>
  <si>
    <t>UC567-0328</t>
  </si>
  <si>
    <t>TSV05-0099</t>
  </si>
  <si>
    <t>BY TRANSFER-UPI/CR/513958345243/AAYUSHMA/HDFC/8287626916/Sent--</t>
  </si>
  <si>
    <t>TSV05-0100</t>
  </si>
  <si>
    <t>BY TRANSFER-UPI/CR/514065167878/ABHISHEK/ICIC/abhishek.6/Shoe--</t>
  </si>
  <si>
    <t>UC610-0006</t>
  </si>
  <si>
    <t>TSV05-0101</t>
  </si>
  <si>
    <t>BY TRANSFER-UPI/CR/514012997778/SHIVAM  /SBIN/shivampath/UPI--</t>
  </si>
  <si>
    <t>UC610-0012</t>
  </si>
  <si>
    <t>TSV05-0102</t>
  </si>
  <si>
    <t>BY TRANSFER-UPI/CR/105124339538/RUCHA RA/HDFC/rucha8naik/u cle--</t>
  </si>
  <si>
    <t>UC610-0010</t>
  </si>
  <si>
    <t>TSV05-0103</t>
  </si>
  <si>
    <t>BY TRANSFER-UPI/CR/105126611562/PRATIBHA/HDFC/pratibhaka/dry C--</t>
  </si>
  <si>
    <t>UC567-0316</t>
  </si>
  <si>
    <t>TSV05-0104</t>
  </si>
  <si>
    <t>BY TRANSFER-UPI/CR/105165880912/Kumar  S/SBIN/ftshivam12/UPI--</t>
  </si>
  <si>
    <t>T388</t>
  </si>
  <si>
    <t>TSV05-0105</t>
  </si>
  <si>
    <t>BY TRANSFER-UPI/CR/614361960904/NOOR  CO/IDFB/7059688616/NA--</t>
  </si>
  <si>
    <t>T391</t>
  </si>
  <si>
    <t>TSV05-0106</t>
  </si>
  <si>
    <t>BY TRANSFER-UPI/CR/984128186426/PALAK AN/HDFC/7011125878/Payme--</t>
  </si>
  <si>
    <t>T403</t>
  </si>
  <si>
    <t>TSV05-0107</t>
  </si>
  <si>
    <t>BY TRANSFER-UPI/CR/384208547192/ATIREK  /KKBK/9891801990/NA--</t>
  </si>
  <si>
    <t>UC610-0014</t>
  </si>
  <si>
    <t>TSV05-0108</t>
  </si>
  <si>
    <t>BY TRANSFER-UPI/CR/105216567144/PRIYANSH/HDFC/priyanshur/UPI--</t>
  </si>
  <si>
    <t>T404</t>
  </si>
  <si>
    <t>TSV05-0109</t>
  </si>
  <si>
    <t>BY TRANSFER-UPI/CR/614396608214/Mr MANU /CBIN/9811201104/NA--</t>
  </si>
  <si>
    <t>UC567-0329</t>
  </si>
  <si>
    <t>TSV05-0110</t>
  </si>
  <si>
    <t>BY TRANSFER-UPI/CR/105234811714/MR SURYA/SCBL/surya.2837/PAY B--</t>
  </si>
  <si>
    <t>UC610-0016</t>
  </si>
  <si>
    <t>TSV05-0111</t>
  </si>
  <si>
    <t>BY TRANSFER-UPI/CR/514220470601/DIPTI PR/KKBK/7004695391/NA--</t>
  </si>
  <si>
    <t>T400</t>
  </si>
  <si>
    <t>TSV05-0112</t>
  </si>
  <si>
    <t>BY TRANSFER-UPI/CR/614426541130/SHAILEND/PUNB/9810231303/NA--</t>
  </si>
  <si>
    <t>UC567-0332</t>
  </si>
  <si>
    <t>TSV05-0113</t>
  </si>
  <si>
    <t>BY TRANSFER-UPI/CR/714113125203/SANDHYA  A/SIBL/9716885921/Pay--</t>
  </si>
  <si>
    <t>T395</t>
  </si>
  <si>
    <t>TSV05-0114</t>
  </si>
  <si>
    <t>BY TRANSFER-UPI/CR/475528071423/AMIT KUMAR/UTIB/9213670172/Pay--</t>
  </si>
  <si>
    <t>UC567-0338</t>
  </si>
  <si>
    <t>TSV05-0115</t>
  </si>
  <si>
    <t>BY TRANSFER-UPI/CR/514384435794/JATIN SA/HDFC/9999817977/Sent--</t>
  </si>
  <si>
    <t>T394</t>
  </si>
  <si>
    <t>TSV05-0116</t>
  </si>
  <si>
    <t>BY TRANSFER-UPI/CR/514384445587/JATIN SA/HDFC/9999817977/Sent--</t>
  </si>
  <si>
    <t>TSV05-0117</t>
  </si>
  <si>
    <t>BY TRANSFER-UPI/CR/183026931708/SANDEEPK/UTIB/9650799352/NO RE--</t>
  </si>
  <si>
    <t>UC567-0336</t>
  </si>
  <si>
    <t>TSV05-0118</t>
  </si>
  <si>
    <t>BY TRANSFER-UPI/CR/105286113194/ASHWANI /HDFC/ashwani.69/PAY B--</t>
  </si>
  <si>
    <t>T402</t>
  </si>
  <si>
    <t>TSV05-0119</t>
  </si>
  <si>
    <t>BY TRANSFER-UPI/CR/550994148518/BHAVESH /IBKL/iambhavesh/UPI--</t>
  </si>
  <si>
    <t>T407</t>
  </si>
  <si>
    <t>TSV05-0120</t>
  </si>
  <si>
    <t>BY TRANSFER-UPI/CR/514422401731/SEHGAL A/HSBC/anuj365@ok/UPI--</t>
  </si>
  <si>
    <t>UC610-0017,UC610-0018</t>
  </si>
  <si>
    <t>TSV05-0121</t>
  </si>
  <si>
    <t>BY TRANSFER-UPI/CR/514509754241/SHYAM SI/ICIC/9896744441/Sent--</t>
  </si>
  <si>
    <t>TSV05-0122</t>
  </si>
  <si>
    <t>BY TRANSFER-UPI/CR/551124898151/PAWAN KU/ICIC/pawanupadh/UPI--</t>
  </si>
  <si>
    <t>UC567-0303</t>
  </si>
  <si>
    <t>TSV05-0123</t>
  </si>
  <si>
    <t>TO TRANSFER-INB NDPL Payments--</t>
  </si>
  <si>
    <t>YSBI2577492399CHT5193655  TRANSFER TO 3199624162091 /</t>
  </si>
  <si>
    <t>TD KN electricity</t>
  </si>
  <si>
    <t>TSV05-0124</t>
  </si>
  <si>
    <t>BY TRANSFER-UPI/CR/514550010754/MAMTA  P/SBIN/anandpd063/UPI--</t>
  </si>
  <si>
    <t>UC567-0318</t>
  </si>
  <si>
    <t>TSV05-0125</t>
  </si>
  <si>
    <t>BY TRANSFER-UPI/CR/776107987002/HIMANI/KKBK/9315252979/Payment--</t>
  </si>
  <si>
    <t>UC610-0015</t>
  </si>
  <si>
    <t>TSV05-0126</t>
  </si>
  <si>
    <t>BY TRANSFER-NEFT*HDFC0000240*HDFCH00259503509*TUMBLEDRY SOLUTI--</t>
  </si>
  <si>
    <t>TSV05-0127</t>
  </si>
  <si>
    <t>BY TRANSFER-UPI/CR/108033165157/MOHD  SH/UTIB/mdshadab12/Payme--</t>
  </si>
  <si>
    <t>T419</t>
  </si>
  <si>
    <t>TSV05-0128</t>
  </si>
  <si>
    <t>BY TRANSFER-UPI/CR/514628969269/ABHISHEK/SBIN/sihagabhis/UPI--</t>
  </si>
  <si>
    <t>T420</t>
  </si>
  <si>
    <t>TSV05-0129</t>
  </si>
  <si>
    <t>BY TRANSFER-UPI/CR/514638390134/ISHANSHU/PUNB/bhardwajis/UPI--</t>
  </si>
  <si>
    <t>T421</t>
  </si>
  <si>
    <t>TSV05-0130</t>
  </si>
  <si>
    <t>BY TRANSFER-UPI/CR/514611987381/ABHINAV /CNRB/abhinav10k/UPI--</t>
  </si>
  <si>
    <t>UC610-0023</t>
  </si>
  <si>
    <t>TSV05-0131</t>
  </si>
  <si>
    <t>BY TRANSFER-UPI/CR/514697813122/VISHAL S/ICIC/9872401050/na--</t>
  </si>
  <si>
    <t>T427</t>
  </si>
  <si>
    <t>TSV05-0132</t>
  </si>
  <si>
    <t>BY TRANSFER-UPI/CR/551207619722/ASHUTOSH/KKBK/8750901590/Paid--</t>
  </si>
  <si>
    <t>T430</t>
  </si>
  <si>
    <t>TSV05-0133</t>
  </si>
  <si>
    <t>BY TRANSFER-UPI/CR/514621948831/JYOTHI N/SBIN/9492847514/Paid--</t>
  </si>
  <si>
    <t>T424;T425</t>
  </si>
  <si>
    <t>TSV05-0134</t>
  </si>
  <si>
    <t xml:space="preserve">TD UTTAM NAGAR Cash hand over </t>
  </si>
  <si>
    <t>TSV05-0135</t>
  </si>
  <si>
    <t>BY TRANSFER-UPI/CR/514776953074/ANUSHA  /SBIN/anusharagh/UPI--</t>
  </si>
  <si>
    <t>UC610-0022</t>
  </si>
  <si>
    <t>TSV05-0136</t>
  </si>
  <si>
    <t>BY TRANSFER-UPI/CR/514701830443/RAHUL NA/HDFC/9811909170/UPISC--</t>
  </si>
  <si>
    <t>UC610-0024</t>
  </si>
  <si>
    <t>TSV05-0137</t>
  </si>
  <si>
    <t>BY TRANSFER-UPI/CR/514752332789/MAYANK  /KKBK/9818809429/Sent--</t>
  </si>
  <si>
    <t>UC567-0330</t>
  </si>
  <si>
    <t>TSV05-0138</t>
  </si>
  <si>
    <t>BY TRANSFER-UPI/CR/614627401914/RAJAT SA/BKID/9140379161/NA--</t>
  </si>
  <si>
    <t>T428</t>
  </si>
  <si>
    <t>TSV05-0139</t>
  </si>
  <si>
    <t>BY TRANSFER-UPI/CR/551432277935/KRISHNA /KKBK/krishnajha/Laund--</t>
  </si>
  <si>
    <t>UC567-0343</t>
  </si>
  <si>
    <t>TSV05-0140</t>
  </si>
  <si>
    <t>BY TRANSFER-UPI/CR/496265370173/AMAN  KU/SBIN/9304515348/Payme--</t>
  </si>
  <si>
    <t>T432</t>
  </si>
  <si>
    <t>TSV05-0141</t>
  </si>
  <si>
    <t>by debit card-OTHPG 176541  TUMBLEDRY  NOIDA--</t>
  </si>
  <si>
    <t>TSV05-0142</t>
  </si>
  <si>
    <t>BY TRANSFER-UPI/CR/156403623595/SUNNY DA/UTIB/7978127009/Laund--</t>
  </si>
  <si>
    <t>T438</t>
  </si>
  <si>
    <t>TSV05-0143</t>
  </si>
  <si>
    <t>BY TRANSFER-UPI/CR/551589346857/ANIRUDH /UTIB/idanirudh-/UPI--</t>
  </si>
  <si>
    <t>UC567-0333</t>
  </si>
  <si>
    <t>TSV05-0144</t>
  </si>
  <si>
    <t>BY TRANSFER-UPI/CR/105621020933/PARUL AG/HDFC/parul.0188/PAY B--</t>
  </si>
  <si>
    <t>UC567-0350</t>
  </si>
  <si>
    <t>TSV05-0145</t>
  </si>
  <si>
    <t>BY TRANSFER-NEFT*HDFC0000240*HDFCH00268032759*TUMBLEDRY SOLUTI--</t>
  </si>
  <si>
    <t>TSV05-0146</t>
  </si>
  <si>
    <t>BY TRANSFER-UPI/CR/105625704463/KRISHNA /HDFC/krishnamak/UPI--</t>
  </si>
  <si>
    <t>TSV05-0147</t>
  </si>
  <si>
    <t>BY TRANSFER-UPI/CR/551692320285/SHIVAM  /SBIN/shivampath/UPI--</t>
  </si>
  <si>
    <t>TSV05-0148</t>
  </si>
  <si>
    <t>BY TRANSFER-UPI/CR/572130051505/SHWETABH/UBIN/shwetabh.4/UPI--</t>
  </si>
  <si>
    <t>T443</t>
  </si>
  <si>
    <t>TSV05-0149</t>
  </si>
  <si>
    <t>BY TRANSFER-UPI/CR/181111922311/ANKITMOH/HDFC/7489821313/NO RE--</t>
  </si>
  <si>
    <t>UC567-0359</t>
  </si>
  <si>
    <t>TSV05-0150</t>
  </si>
  <si>
    <t>BY TRANSFER-UPI/CR/551678423856/AAYUSH S/ICIC/ankit26827/UPI--</t>
  </si>
  <si>
    <t>T431</t>
  </si>
  <si>
    <t>TSV05-0151</t>
  </si>
  <si>
    <t>BY TRANSFER-UPI/CR/259346552743/RAVINDER/BARB/8559840085/Payme--</t>
  </si>
  <si>
    <t>T436</t>
  </si>
  <si>
    <t>TSV05-0152</t>
  </si>
  <si>
    <t>BY TRANSFER-UPI/CR/515036727996/AAYUSHMA/HDFC/8287626916/Sent--</t>
  </si>
  <si>
    <t>UC567-0341</t>
  </si>
  <si>
    <t>TSV05-0153</t>
  </si>
  <si>
    <t>BY TRANSFER-UPI/CR/105652186645/KESHAV H/ICIC/beswalkesh/UPI--</t>
  </si>
  <si>
    <t>TSV05-0154</t>
  </si>
  <si>
    <t>BY TRANSFER-UPI/CR/840735142611/AYAN ARIF/BARB/9208811716/Paym--</t>
  </si>
  <si>
    <t>T435</t>
  </si>
  <si>
    <t>TSV05-0155</t>
  </si>
  <si>
    <t>BY TRANSFER-UPI/CR/515120775039/CHAITANYA/FDRL/chaitanya./na--</t>
  </si>
  <si>
    <t>UC567-0346</t>
  </si>
  <si>
    <t>TSV05-0156</t>
  </si>
  <si>
    <t>BY TRANSFER-UPI/CR/515133480683/UMESH  /KKBK/umesharma@/UPI--</t>
  </si>
  <si>
    <t>UC567-0342</t>
  </si>
  <si>
    <t>TSV05-0157</t>
  </si>
  <si>
    <t>BY TRANSFER-UPI/CR/515117974987/Shivani /SBIN/9717804336/Sent--</t>
  </si>
  <si>
    <t>T422</t>
  </si>
  <si>
    <t>TSV05-0158</t>
  </si>
  <si>
    <t>BY TRANSFER-UPI/CR/105685130767/TARUN SH/HDFC/tarunsharm/UPI--</t>
  </si>
  <si>
    <t>UC567-0349</t>
  </si>
  <si>
    <t>TSV05-0159</t>
  </si>
  <si>
    <t>BY TRANSFER-UPI/CR/673337111515/AVADHUT /UTIB/8080897238/UPI--</t>
  </si>
  <si>
    <t>UC567-0344</t>
  </si>
  <si>
    <t>TSV05-0160</t>
  </si>
  <si>
    <t>BY TRANSFER-UPI/CR/614768247763/SHIBOM K/ICIC/9302777077/NA--</t>
  </si>
  <si>
    <t>UC567-0339</t>
  </si>
  <si>
    <t>TSV05-0161</t>
  </si>
  <si>
    <t>BY TRANSFER-UPI/CR/486126448889/NAKUL SH/PUNB/nakul.shar/Payme--</t>
  </si>
  <si>
    <t>TSV05-0162</t>
  </si>
  <si>
    <t>BY TRANSFER-UPI/CR/105700526245/HARSH KU/BARB/harshsingh/UPI--</t>
  </si>
  <si>
    <t>T445</t>
  </si>
  <si>
    <t>TSV06-0001</t>
  </si>
  <si>
    <t>BY TRANSFER-UPI/CR/515248732613/RIDHI SA/HDFC/7011195586/Sent--</t>
  </si>
  <si>
    <t>UC567-0365</t>
  </si>
  <si>
    <t>TSV06-0002</t>
  </si>
  <si>
    <t>TO TRANSFER-INB NEFT UTR NO: SBIN225152250632--Jitendra Singh</t>
  </si>
  <si>
    <t>NEFT INB: CNADPYHUA2  TRANSFER TO 4698147044301 / Jitendra Singh</t>
  </si>
  <si>
    <t>Advance Salary Jitender Singh</t>
  </si>
  <si>
    <t>TSV06-0003</t>
  </si>
  <si>
    <t>BY TRANSFER-UPI/CR/515227260942/Mr ROHIT/IDIB/9891208391/Sent--</t>
  </si>
  <si>
    <t>TSV06-0004</t>
  </si>
  <si>
    <t>BY TRANSFER-UPI/CR/515223275101/TANYA KU/SBIN/jaiswaltan/UPI--</t>
  </si>
  <si>
    <t>TSV06-0005</t>
  </si>
  <si>
    <t>BY TRANSFER-UPI/CR/551849878225/Nitish K/SBIN/7250674176/Paid--</t>
  </si>
  <si>
    <t>TSV06-0006</t>
  </si>
  <si>
    <t>BY TRANSFER-UPI/CR/057079516538/AVADHUT /UJVN/8080897238/Payme--</t>
  </si>
  <si>
    <t>TSV06-0007</t>
  </si>
  <si>
    <t>BY TRANSFER-UPI/CR/105760022373/ABHINAV /KKBK/vasua9@okh/UPI--</t>
  </si>
  <si>
    <t>TSV06-0008</t>
  </si>
  <si>
    <t>BY TRANSFER-UPI/CR/515221340019/AMIT CHO/AIRP/8770872384/Payme--</t>
  </si>
  <si>
    <t>TSV06-0009</t>
  </si>
  <si>
    <t>TO TRANSFER-INB NEFT UTR NO: SBIN225153728393--UCONCEPTS SOLUTIONS PVT LTD</t>
  </si>
  <si>
    <t>NEFT INB: CNADPYZXQ4  TRANSFER TO 4697157044307 / UCONCEPTS SOLUTIONS PVT LTD</t>
  </si>
  <si>
    <t>UClean for Online Advertisement</t>
  </si>
  <si>
    <t>TSV06-0010</t>
  </si>
  <si>
    <t>BY TRANSFER-UPI/CR/515375559357/SUSHANT /BKID/sushant.se/UPI--</t>
  </si>
  <si>
    <t>TSV06-0011</t>
  </si>
  <si>
    <t>BY TRANSFER-UPI/CR/515338648324/UMESH  /KKBK/umesharma@/UPI--</t>
  </si>
  <si>
    <t>TSV06-0012</t>
  </si>
  <si>
    <t>BY TRANSFER-UPI/CR/105815612365/NARENDER/KKBK/narenderch/UPI--</t>
  </si>
  <si>
    <t>TSV06-0013</t>
  </si>
  <si>
    <t>BY TRANSFER-UPI/CR/515432180069/Mr MUKES/IDIB/mukeshpasw/UPI--</t>
  </si>
  <si>
    <t>TSV06-0014</t>
  </si>
  <si>
    <t>BY TRANSFER-UPI/CR/986913161545/YATIN GA/UTIB/8178166036/UPI--</t>
  </si>
  <si>
    <t>TSV06-0015</t>
  </si>
  <si>
    <t>BY TRANSFER-UPI/CR/774247723983/SHEEBA  /SBIN/9773821756/Payme--</t>
  </si>
  <si>
    <t>TSV06-0016</t>
  </si>
  <si>
    <t>BY TRANSFER-UPI/CR/552073611981/AMAN CHA/UBIN/9682712259/UPI--</t>
  </si>
  <si>
    <t>TSV06-0017</t>
  </si>
  <si>
    <t>BY TRANSFER-UPI/CR/184342412872/SHAHIS/HSBC/7376190196/NO REMA--</t>
  </si>
  <si>
    <t>UC610-0038</t>
  </si>
  <si>
    <t>TSV06-0018</t>
  </si>
  <si>
    <t>BY TRANSFER-UPI/CR/552046536063/PRASHANT/SBIN/kingprasha/UPI--</t>
  </si>
  <si>
    <t>TSV06-0019</t>
  </si>
  <si>
    <t>BY TRANSFER-UPI/CR/515468020132/MANSI  D/SBIN/mansidhing/UPI--</t>
  </si>
  <si>
    <t>T464</t>
  </si>
  <si>
    <t>TSV06-0020</t>
  </si>
  <si>
    <t>BY TRANSFER-UPI/CR/105023600233/ANKITMOH/HDFC/7489821313/NO RE--</t>
  </si>
  <si>
    <t>UC567-0367</t>
  </si>
  <si>
    <t>TSV06-0021</t>
  </si>
  <si>
    <t>BY TRANSFER-UPI/CR/154208759924/ANKITMOH/HDFC/7489821313/NO RE--</t>
  </si>
  <si>
    <t>TSV06-0022</t>
  </si>
  <si>
    <t>BY TRANSFER-UPI/CR/515517848293/ABHISHEK/SBIN/sihagabhis/UPI--</t>
  </si>
  <si>
    <t>TSV06-0023</t>
  </si>
  <si>
    <t>BY TRANSFER-UPI/CR/515519162342/YOGESH G/ICIC/9820557160/Payme--</t>
  </si>
  <si>
    <t>UC610-0040</t>
  </si>
  <si>
    <t>TSV06-0024</t>
  </si>
  <si>
    <t>BY TRANSFER-UPI/CR/384804230647/AMMAR ZAIN/UBIN/8954047629/NA--</t>
  </si>
  <si>
    <t>TSV06-0025</t>
  </si>
  <si>
    <t>BY TRANSFER-UPI/CR/515684008905/NISHA  W/HDFC/8586873283/Sent--</t>
  </si>
  <si>
    <t>TSV06-0026</t>
  </si>
  <si>
    <t>BY TRANSFER-UPI/CR/515615311880/YOGESH G/ICIC/9820557160/Payme--</t>
  </si>
  <si>
    <t>UC610-0042</t>
  </si>
  <si>
    <t>TSV06-0027</t>
  </si>
  <si>
    <t>by debit card-OTHPG 902869  TUMBLEDRY  NOIDA--</t>
  </si>
  <si>
    <t>TD Chemicals Supplies</t>
  </si>
  <si>
    <t>TSV06-0028</t>
  </si>
  <si>
    <t>BY TRANSFER-IMPS/515715100344/ICI-XX358-ADNAN AL/IMPS Tran--</t>
  </si>
  <si>
    <t>TRANSFER FROM 4698323162097 /</t>
  </si>
  <si>
    <t>1,50,000.00</t>
  </si>
  <si>
    <t>Seed Funding</t>
  </si>
  <si>
    <t>TSV06-0029</t>
  </si>
  <si>
    <t>BY TRANSFER-UPI/CR/113514999860/RAJA IRF/UCBA/9079954715/Payme--</t>
  </si>
  <si>
    <t>T475</t>
  </si>
  <si>
    <t>TSV06-0030</t>
  </si>
  <si>
    <t>BY TRANSFER-UPI/CR/515723608202/PUJA NAG/UTIB/9899446694/Sent--</t>
  </si>
  <si>
    <t>T47</t>
  </si>
  <si>
    <t>TSV06-0031</t>
  </si>
  <si>
    <t>BY TRANSFER-UPI/CR/708633005617/SAURAV P/ICIC/saurav-ici/Payme--</t>
  </si>
  <si>
    <t>TSV06-0032</t>
  </si>
  <si>
    <t>BY TRANSFER-UPI/CR/552335241451/SUNIL  B/KKBK/sbsunilban/UPI--</t>
  </si>
  <si>
    <t>T50</t>
  </si>
  <si>
    <t>TSV06-0033</t>
  </si>
  <si>
    <t>BY TRANSFER-UPI/CR/515796302945/YACHU CH/HDFC/8744004329/Sent--</t>
  </si>
  <si>
    <t>T40</t>
  </si>
  <si>
    <t>TSV06-0034</t>
  </si>
  <si>
    <t>BY TRANSFER-UPI/CR/552323664405/AMANDEEP/KKBK/amandeepve/UPI--</t>
  </si>
  <si>
    <t>TSV06-0035</t>
  </si>
  <si>
    <t>BY TRANSFER-NEFT*HDFC0000240*HDFCH00287089119*TUMBLEDRY SOLUTI--</t>
  </si>
  <si>
    <t>TSV06-0036</t>
  </si>
  <si>
    <t>by debit card-OTHPG 157637  TUMBLEDRY  NOIDA--</t>
  </si>
  <si>
    <t>Royalty TD Uttam Nagar</t>
  </si>
  <si>
    <t>TSV06-0037</t>
  </si>
  <si>
    <t>TO TRANSFER-INB NEFT UTR NO: SBIN425157029079--Kaushalya Devi</t>
  </si>
  <si>
    <t>NEFT INB: CNADQFGSN1  TRANSFER TO 4697154044300 / Kaushalya Devi</t>
  </si>
  <si>
    <t>Rent TD Uttam Nagar</t>
  </si>
  <si>
    <t>TSV06-0038</t>
  </si>
  <si>
    <t>TO TRANSFER-INB NEFT UTR NO: SBIN425157029239--Pooja Sood</t>
  </si>
  <si>
    <t>NEFT INB: CNADQFGUJ4  TRANSFER TO 4698135044305 / Pooja Sood</t>
  </si>
  <si>
    <t>Rent UC Sector 56</t>
  </si>
  <si>
    <t>TSV06-0039</t>
  </si>
  <si>
    <t>CT00RFEDV0  TRANSFER TO 53003553903  Mr. OM PRAKASH DUHAN /</t>
  </si>
  <si>
    <t>Rent UC Sushant Lok 1</t>
  </si>
  <si>
    <t>TSV06-0040</t>
  </si>
  <si>
    <t>TO TRANSFER-INB NEFT UTR NO: SBIN425157032227--Subhash Chander</t>
  </si>
  <si>
    <t>NEFT INB: CNADQFGXZ3  TRANSFER TO 4698153044303 / Subhash Chander</t>
  </si>
  <si>
    <t>Rent TD Kirti Nagar</t>
  </si>
  <si>
    <t>TSV06-0041</t>
  </si>
  <si>
    <t>TO TRANSFER-INB NEFT UTR NO: SBIN425158163892--Piyush Tag</t>
  </si>
  <si>
    <t>NEFT INB: CNADQFNRL5  TRANSFER TO 4698149044309 / Piyush Tag</t>
  </si>
  <si>
    <t>TSV06-0042</t>
  </si>
  <si>
    <t>TO TRANSFER-INB NEFT UTR NO: SBIN425158166887--Vishal Tdun</t>
  </si>
  <si>
    <t>NEFT INB: CNADQFNSB1  TRANSFER TO 3199302044302 / Vishal Tdun</t>
  </si>
  <si>
    <t>TSV06-0043</t>
  </si>
  <si>
    <t>TO TRANSFER-INB NEFT UTR NO: SBIN425158169158--Mohsin Khan</t>
  </si>
  <si>
    <t>NEFT INB: CNADQFNUE8  TRANSFER TO 3197945044305 / Mohsin Khan</t>
  </si>
  <si>
    <t>Salary Mohsin Khan</t>
  </si>
  <si>
    <t>TSV06-0044</t>
  </si>
  <si>
    <t>TO TRANSFER-INB NEFT UTR NO: SBIN425158167827--Shubham</t>
  </si>
  <si>
    <t>NEFT INB: CNADQFNUN7  TRANSFER TO 4698134044306 / Shubham</t>
  </si>
  <si>
    <t>TSV06-0045</t>
  </si>
  <si>
    <t>TO TRANSFER-INB NEFT UTR NO: SBIN425158171539--Subodh</t>
  </si>
  <si>
    <t>NEFT INB: CNADQFNVL5  TRANSFER TO 4697163044300 / Subodh</t>
  </si>
  <si>
    <t>Salary Subodh</t>
  </si>
  <si>
    <t>TSV06-0046</t>
  </si>
  <si>
    <t>TO TRANSFER-INB NEFT UTR NO: SBIN425158177142--Jitendra Singh</t>
  </si>
  <si>
    <t>NEFT INB: CNADQFNXP6  TRANSFER TO 4698151044305 / Jitendra Singh</t>
  </si>
  <si>
    <t>Salary Jittender Singh</t>
  </si>
  <si>
    <t>TSV06-0047</t>
  </si>
  <si>
    <t>TO TRANSFER-INB NEFT UTR NO: SBIN425158178648--Vishal Salary</t>
  </si>
  <si>
    <t>NEFT INB: CNADQFNZA5  TRANSFER TO 4698135044305 / Vishal Salary</t>
  </si>
  <si>
    <t>TSV06-0048</t>
  </si>
  <si>
    <t>CT00RFOKM6  TRANSFER TO 37636897684  Mr. KAPIL  . /</t>
  </si>
  <si>
    <t>Salary Kapil Kumar</t>
  </si>
  <si>
    <t>TSV06-0049</t>
  </si>
  <si>
    <t>TO TRANSFER-INB NEFT UTR NO: SBIN425158181774--Jatin Yadav</t>
  </si>
  <si>
    <t>NEFT INB: CNADQFOEE0  TRANSFER TO 4698152044304 / Jatin Yadav</t>
  </si>
  <si>
    <t>Salary Jatin Yadav</t>
  </si>
  <si>
    <t>TSV06-0050</t>
  </si>
  <si>
    <t>TO TRANSFER-INB NEFT UTR NO: SBIN425158182205--Aakash</t>
  </si>
  <si>
    <t>NEFT INB: CNADQFODY8  TRANSFER TO 4698152044304 / Aakash</t>
  </si>
  <si>
    <t>TSV06-0051</t>
  </si>
  <si>
    <t>TO TRANSFER-INB NEFT UTR NO: SBIN425158184595--Kamal Singh</t>
  </si>
  <si>
    <t>NEFT INB: CNADQFOFZ6  TRANSFER TO 4697159044305 / Kamal Singh</t>
  </si>
  <si>
    <t>Salary Kamal Singh</t>
  </si>
  <si>
    <t>TSV06-0052</t>
  </si>
  <si>
    <t>BY TRANSFER-NEFTRRSBIN425158169158(07-06-25)Incorrect Account--</t>
  </si>
  <si>
    <t>TRANSFER FROM 99507044302 /</t>
  </si>
  <si>
    <t>Salary Reversal Mohsin Khan</t>
  </si>
  <si>
    <t>TSV06-0053</t>
  </si>
  <si>
    <t>CT00RFPGW2  TRANSFER TO 53003553903  Mr. OM PRAKASH DUHAN /</t>
  </si>
  <si>
    <t>TSV06-0054</t>
  </si>
  <si>
    <t>BY TRANSFER-UPI/CR/682014509794/ADITYA  /SBIN/9810518474/Payme--</t>
  </si>
  <si>
    <t>TSV06-0055</t>
  </si>
  <si>
    <t>BY TRANSFER-UPI/CR/515870345355/ABHYUDAY/UBIN/abhyudhoot/UPI--</t>
  </si>
  <si>
    <t>TSV06-0056</t>
  </si>
  <si>
    <t>BY TRANSFER-UPI/CR/384901212311/MRINAL N/ICIC/9643136563/NA--</t>
  </si>
  <si>
    <t>T32</t>
  </si>
  <si>
    <t>TSV06-0057</t>
  </si>
  <si>
    <t>BY TRANSFER-UPI/CR/515871049031/ABHYUDAY/UBIN/abhyudhoot/UPI--</t>
  </si>
  <si>
    <t>TSV06-0058</t>
  </si>
  <si>
    <t>BY TRANSFER-UPI/CR/515816742761/YOGESH G/ICIC/9820557160/Payme--</t>
  </si>
  <si>
    <t>UC610-0044,UC610-0048</t>
  </si>
  <si>
    <t>TSV06-0059</t>
  </si>
  <si>
    <t>BY TRANSFER-UPI/CR/686147874381/CHANCHAL/UTKS/9911956007/Sent--</t>
  </si>
  <si>
    <t>UC610-0052</t>
  </si>
  <si>
    <t>TSV06-0060</t>
  </si>
  <si>
    <t>BY TRANSFER-UPI/CR/515814823492/SUMIT CH/IDFB/9711722727/Sent--</t>
  </si>
  <si>
    <t>TSV06-0061</t>
  </si>
  <si>
    <t>BY TRANSFER-UPI/CR/515873226160/YASH  CH/YESB/yashchahar/UPI--</t>
  </si>
  <si>
    <t>T60</t>
  </si>
  <si>
    <t>TSV06-0062</t>
  </si>
  <si>
    <t>BY TRANSFER-UPI/CR/552412497233/RAMINDER/HDFC/8800845850/Paid--</t>
  </si>
  <si>
    <t>UC567-0387</t>
  </si>
  <si>
    <t>TSV06-0063</t>
  </si>
  <si>
    <t>TO TRANSFER-INB NEFT UTR NO: SBIN425158681892--Aryavart Singh</t>
  </si>
  <si>
    <t>NEFT INB: CNADQGMBN1  TRANSFER TO 4698129044303 / Aryavart Singh</t>
  </si>
  <si>
    <t>Salary Aryavrat Singh</t>
  </si>
  <si>
    <t>TSV06-0064</t>
  </si>
  <si>
    <t>TO TRANSFER-INB NEFT UTR NO: SBIN425158682532--Akram Khan</t>
  </si>
  <si>
    <t>NEFT INB: CNADQGMDF4  TRANSFER TO 4697157044307 / Akram Khan</t>
  </si>
  <si>
    <t>Salary Akram Khan</t>
  </si>
  <si>
    <t>TSV06-0065</t>
  </si>
  <si>
    <t>BY TRANSFER-UPI/CR/436903632237/SANTRA  /UBIN/9650025656/Payme--</t>
  </si>
  <si>
    <t>TSV06-0066</t>
  </si>
  <si>
    <t>BY TRANSFER-UPI/CR/024086603856/HIMANI/KKBK/9315252979/Payment--</t>
  </si>
  <si>
    <t>UC610-0047</t>
  </si>
  <si>
    <t>TSV06-0067</t>
  </si>
  <si>
    <t>BY TRANSFER-UPI/CR/904263666043/ANISH SA/HDFC/anishsahoo/Payme--</t>
  </si>
  <si>
    <t>UC567-0376</t>
  </si>
  <si>
    <t>TSV06-0068</t>
  </si>
  <si>
    <t>BY TRANSFER-UPI/CR/234786943576/VINAYAK /UBIN/7411951651/Payme--</t>
  </si>
  <si>
    <t>TSV06-0069</t>
  </si>
  <si>
    <t>BY TRANSFER-UPI/CR/686191739023/CHANCHAL/UTKS/9911956007/NA--</t>
  </si>
  <si>
    <t>UC610-0053</t>
  </si>
  <si>
    <t>TSV06-0070</t>
  </si>
  <si>
    <t>YSBI2582476910CHT6475961  TRANSFER TO 3199623162092 /</t>
  </si>
  <si>
    <t>Electricity TD Uttam Nagar</t>
  </si>
  <si>
    <t>TSV06-0071</t>
  </si>
  <si>
    <t>BY TRANSFER-UPI/CR/650977186023/AMAN SABA/UTIB/6200093697/Paym--</t>
  </si>
  <si>
    <t>TSV06-0072</t>
  </si>
  <si>
    <t>BY TRANSFER-UPI/CR/549582531631/MIHIR PR/INDB/7290868463/Payme--</t>
  </si>
  <si>
    <t>TSV06-0073</t>
  </si>
  <si>
    <t>BY TRANSFER-UPI/CR/515931131085/PRAMOD J/ICIC/pramodbura/Navi--</t>
  </si>
  <si>
    <t>T67</t>
  </si>
  <si>
    <t>TSV06-0074</t>
  </si>
  <si>
    <t>BY TRANSFER-UPI/CR/854042299074/AJAY SINGH/HDFC/ajaysingha/Pay--</t>
  </si>
  <si>
    <t>TSV06-0075</t>
  </si>
  <si>
    <t>BY TRANSFER-UPI/CR/106195108390/BRAJVALA/CNRB/abhinay.kj/UPI--</t>
  </si>
  <si>
    <t>TSV06-0076</t>
  </si>
  <si>
    <t>BY TRANSFER-UPI/CR/516006908560/ELISA  R/UTIB/7042001105/Sent--</t>
  </si>
  <si>
    <t>TSV06-0077</t>
  </si>
  <si>
    <t>BY TRANSFER-UPI/CR/762377991605/SHWETABH/UBIN/shwetabh.4/UPI--</t>
  </si>
  <si>
    <t>T62</t>
  </si>
  <si>
    <t>TSV06-0078</t>
  </si>
  <si>
    <t>BY TRANSFER-UPI/CR/552618855688/SHWETABH/UBIN/8601014311/Paid--</t>
  </si>
  <si>
    <t>TSV06-0079</t>
  </si>
  <si>
    <t>BY TRANSFER-UPI/CR/516171169076/MR AKHIL/SCBL/8971488800/Sent--</t>
  </si>
  <si>
    <t>TSV06-0080</t>
  </si>
  <si>
    <t>TO TRANSFER-INB NEFT UTR NO: SBIN125161618905--Mohsin Khan</t>
  </si>
  <si>
    <t>NEFT INB: CNADQJFEC1  TRANSFER TO 4698138044302 / Mohsin Khan</t>
  </si>
  <si>
    <t>TSV06-0081</t>
  </si>
  <si>
    <t>BY TRANSFER-UPI/CR/516192158455/ABHINAV /CNRB/abhinav10k/UPI--</t>
  </si>
  <si>
    <t>TSV06-0082</t>
  </si>
  <si>
    <t>BY TRANSFER-UPI/CR/106254560398/SACHI DH/BARB/sachikale1/UPI--</t>
  </si>
  <si>
    <t>TSV06-0083</t>
  </si>
  <si>
    <t>BY TRANSFER-UPI/CR/863103471615/YATIN GA/UTIB/8178166036/UPI--</t>
  </si>
  <si>
    <t>T488</t>
  </si>
  <si>
    <t>TSV06-0084</t>
  </si>
  <si>
    <t>BY TRANSFER-UPI/CR/516128092228/KRISHAN /UBIN/9871767912/Sent--</t>
  </si>
  <si>
    <t>TSV06-0085</t>
  </si>
  <si>
    <t>BY TRANSFER-UPI/CR/516231657212/PARAS AH/HDFC/7838377733/Sent--</t>
  </si>
  <si>
    <t>T69,T70</t>
  </si>
  <si>
    <t>TSV06-0086</t>
  </si>
  <si>
    <t>BY TRANSFER-UPI/CR/411628197197/KETAN MA/BARB/9958566392/Payme--</t>
  </si>
  <si>
    <t>T485</t>
  </si>
  <si>
    <t>TSV06-0087</t>
  </si>
  <si>
    <t>BY TRANSFER-UPI/CR/552886458485/RAGRANJA/UTIB/ragranjana/UPI--</t>
  </si>
  <si>
    <t>TSV06-0088</t>
  </si>
  <si>
    <t>BY TRANSFER-UPI/CR/075556552016/INDRAJEE/SBIN/8237634390/Payme--</t>
  </si>
  <si>
    <t>TSV06-0089</t>
  </si>
  <si>
    <t>BY TRANSFER-UPI/CR/516294052376/VASHARAN/SBIN/9906255682/Sent--</t>
  </si>
  <si>
    <t>TSV06-0090</t>
  </si>
  <si>
    <t>BY TRANSFER-UPI/CR/516280541439/RAHUL MA/UTIB/rahul.3112/na--</t>
  </si>
  <si>
    <t>TSV06-0091</t>
  </si>
  <si>
    <t>BY TRANSFER-UPI/CR/516331312154/RISHABH /UTIB/sah.rishab/UPI--</t>
  </si>
  <si>
    <t>TSV06-0092</t>
  </si>
  <si>
    <t>BY TRANSFER-UPI/CR/516384745908/JAGMOHAN/DCBL/7503914173/Navi--</t>
  </si>
  <si>
    <t>TSV06-0093</t>
  </si>
  <si>
    <t>BY TRANSFER-UPI/CR/686365855429/ABHISHEK/KKBK/9910594096/Sent--</t>
  </si>
  <si>
    <t>50 Delivery Charge Extra</t>
  </si>
  <si>
    <t>T503</t>
  </si>
  <si>
    <t>TSV06-0094</t>
  </si>
  <si>
    <t>BY TRANSFER-UPI/CR/552968565842/VIPUL AG/ICIC/v965052280/UPI--</t>
  </si>
  <si>
    <t>TSV06-0095</t>
  </si>
  <si>
    <t>TO TRANSFER-INB NEFT UTR NO: SBIN425164423037--ALH Infratech</t>
  </si>
  <si>
    <t>NEFT INB: CNADQMYUY3  TRANSFER TO 4698144044304 / ALH Infratech</t>
  </si>
  <si>
    <t>Payment made to ALH for Kirti Nagar Store Setup Work</t>
  </si>
  <si>
    <t>TSV06-0096</t>
  </si>
  <si>
    <t>BY TRANSFER-UPI/CR/802538281564/MD GHULA/HDFC/9990255878/Payme--</t>
  </si>
  <si>
    <t>T494</t>
  </si>
  <si>
    <t>TSV06-0097</t>
  </si>
  <si>
    <t>BY TRANSFER-NEFT*HDFC0000240*HDFCH00301998122*TUMBLEDRY SOLUTI--</t>
  </si>
  <si>
    <t>TSV06-0098</t>
  </si>
  <si>
    <t>BY TRANSFER-NEFT*HDFC0000240*HDFCH00302002150*TUMBLEDRY SOLUTI--</t>
  </si>
  <si>
    <t>TSV06-0099</t>
  </si>
  <si>
    <t>TO TRANSFER-INB NEFT UTR NO: SBIN425164659706--Aakash</t>
  </si>
  <si>
    <t>NEFT INB: CNADQNEFO2  TRANSFER TO 3199301044303 / Aakash</t>
  </si>
  <si>
    <t>Advance Salary Aakash</t>
  </si>
  <si>
    <t>TSV06-0100</t>
  </si>
  <si>
    <t>BY TRANSFER-UPI/CR/280284410606/AMAN SABA/UTIB/6200093697/Paym--</t>
  </si>
  <si>
    <t>TSV06-0101</t>
  </si>
  <si>
    <t>BY TRANSFER-UPI/CR/385179197755/SANJAY G/YESB/9818207081/Sent--</t>
  </si>
  <si>
    <t>TSV06-0102</t>
  </si>
  <si>
    <t>BY TRANSFER-UPI/CR/516421707745/PRACHI H/ICIC/7493990632/Sent--</t>
  </si>
  <si>
    <t>TSV06-0103</t>
  </si>
  <si>
    <t>BY TRANSFER-UPI/CR/106427729557/APOORVA /PUNB/apoorva.80/PAY B--</t>
  </si>
  <si>
    <t>TSV06-0104</t>
  </si>
  <si>
    <t>BY TRANSFER-UPI/CR/622850734655/ANURAG  /SBIN/8100110023/Payme--</t>
  </si>
  <si>
    <t>T65</t>
  </si>
  <si>
    <t>TSV06-0105</t>
  </si>
  <si>
    <t>BY TRANSFER-UPI/CR/516536137866/KRISHNA /KKBK/krishnajha/Laund--</t>
  </si>
  <si>
    <t>TSV06-0106</t>
  </si>
  <si>
    <t>BY TRANSFER-UPI/CR/415897908768/DIPENDRA/ICIC/kumar.dipe/Payme--</t>
  </si>
  <si>
    <t>T487</t>
  </si>
  <si>
    <t>TSV06-0107</t>
  </si>
  <si>
    <t>BY TRANSFER-UPI/CR/516521690536/ATUL DHI/INDB/atuldk.16@/UPI--</t>
  </si>
  <si>
    <t>T495</t>
  </si>
  <si>
    <t>TSV06-0108</t>
  </si>
  <si>
    <t>BY TRANSFER-UPI/CR/616966098663/ANKIT AN/BARB/6299199802/Payme--</t>
  </si>
  <si>
    <t>150rs discount customer</t>
  </si>
  <si>
    <t>T501</t>
  </si>
  <si>
    <t>TSV06-0109</t>
  </si>
  <si>
    <t>BY TRANSFER-UPI/CR/115746395164/ANKIT AN/BARB/6299199802/Payme--</t>
  </si>
  <si>
    <t>T502</t>
  </si>
  <si>
    <t>TSV06-0110</t>
  </si>
  <si>
    <t>BY TRANSFER-UPI/CR/516509595424/ABHINEET/PUNB/abhineetra/UPI--</t>
  </si>
  <si>
    <t>T500</t>
  </si>
  <si>
    <t>TSV06-0111</t>
  </si>
  <si>
    <t>TO TRANSFER-INB NEFT UTR NO: SBIN525165551561--Jatin Yadav</t>
  </si>
  <si>
    <t>NEFT INB: CNADQOPOL6  TRANSFER TO 4697154044300 / Jatin Yadav</t>
  </si>
  <si>
    <t>TSV06-0112</t>
  </si>
  <si>
    <t>BY TRANSFER-UPI/CR/553291029552/DHARAM S/ICIC/dharmskamb/UPI--</t>
  </si>
  <si>
    <t>TSV06-0113</t>
  </si>
  <si>
    <t>BY TRANSFER-UPI/CR/516603651178/SACHIN  /UTIB/9999754695/Sent--</t>
  </si>
  <si>
    <t>TSV06-0114</t>
  </si>
  <si>
    <t>BY TRANSFER-UPI/CR/592285352946/KUNIKA D/HDFC/8447358864/Payme--</t>
  </si>
  <si>
    <t>TSV06-0115</t>
  </si>
  <si>
    <t>BY TRANSFER-UPI/CR/553217675575/AMAN SAINI/ICIC/9971054383/Pai--</t>
  </si>
  <si>
    <t>T519</t>
  </si>
  <si>
    <t>TSV06-0116</t>
  </si>
  <si>
    <t>BY TRANSFER-UPI/CR/516664195697/AAYUSHMA/HDFC/8287626916/Sent--</t>
  </si>
  <si>
    <t>TSV06-0117</t>
  </si>
  <si>
    <t>BY TRANSFER-UPI/CR/497079261665/SANCHAY /HDFC/sanchay.v./UPI--</t>
  </si>
  <si>
    <t>T517</t>
  </si>
  <si>
    <t>TSV06-0118</t>
  </si>
  <si>
    <t>BY TRANSFER-UPI/CR/516652526417/Rahul  R/SBIN/7042175633/Sent--</t>
  </si>
  <si>
    <t>T82</t>
  </si>
  <si>
    <t>TSV06-0119</t>
  </si>
  <si>
    <t>BY TRANSFER-UPI/CR/504559621665/PRASHANT/UBIN/prashant.1/UPI--</t>
  </si>
  <si>
    <t>T79</t>
  </si>
  <si>
    <t>TSV06-0120</t>
  </si>
  <si>
    <t>BY TRANSFER-UPI/CR/553209603192/ANKIT KU/UTIB/ankit.sing/UPI--</t>
  </si>
  <si>
    <t>TSV06-0121</t>
  </si>
  <si>
    <t>TO TRANSFER-INB NEFT UTR NO: SBIN525166703101--ALH Infratech</t>
  </si>
  <si>
    <t>NEFT INB: CNADQOYIB7  TRANSFER TO 4697162044301 / ALH Infratech</t>
  </si>
  <si>
    <t>TSV06-0122</t>
  </si>
  <si>
    <t>BY TRANSFER-UPI/CR/553264682116/PUSHKAR /UBIN/pushkarary/laund--</t>
  </si>
  <si>
    <t>TSV06-0123</t>
  </si>
  <si>
    <t>BY TRANSFER-IMPS/516621810664/ICI-XX846-HABIB AL/IMPS Tran--</t>
  </si>
  <si>
    <t>TSV06-0124</t>
  </si>
  <si>
    <t>BY TRANSFER-IMPS/516621814259/ICI-XX846-HABIB AL/IMPS Tran--</t>
  </si>
  <si>
    <t>TSV06-0125</t>
  </si>
  <si>
    <t>BY TRANSFER-IMPS/516621822492/ICI-XX358-ADNAN AL/IMPS Tran--</t>
  </si>
  <si>
    <t>TSV06-0126</t>
  </si>
  <si>
    <t>TO TRANSFER-INB DAKSHIN Payments--</t>
  </si>
  <si>
    <t>BSBIDB10NLUWIWCHT7268123  TRANSFER TO 3199584162093 /</t>
  </si>
  <si>
    <t>Vyapar Kendra May 2025 Electricity bill</t>
  </si>
  <si>
    <t>TSV06-0127</t>
  </si>
  <si>
    <t>BY TRANSFER-UPI/CR/570208081675/YASH GOYAL/KKBK/9896322711/UPI--</t>
  </si>
  <si>
    <t>TSV06-0128</t>
  </si>
  <si>
    <t>BY TRANSFER-UPI/CR/516714833565/SANDEEP /UTIB/9215152222/Sent--</t>
  </si>
  <si>
    <t>TSV06-0129</t>
  </si>
  <si>
    <t>BY TRANSFER-UPI/CR/385311734647/MANISH Y/PUNB/9350364849/Sent--</t>
  </si>
  <si>
    <t>T518</t>
  </si>
  <si>
    <t>TSV06-0130</t>
  </si>
  <si>
    <t>BY TRANSFER-UPI/CR/516715236545/HARSH KO/PUNB/9785812151/Sent--</t>
  </si>
  <si>
    <t>T72</t>
  </si>
  <si>
    <t>TSV06-0131</t>
  </si>
  <si>
    <t>BY TRANSFER-UPI/CR/553300196620/Abhay Mo/IDFB/batraabhay/UPI--</t>
  </si>
  <si>
    <t>TSV06-0132</t>
  </si>
  <si>
    <t>BY TRANSFER-UPI/CR/611944471675/MR LAKSH/SCBL/8920052914/UPI--</t>
  </si>
  <si>
    <t>TSV06-0133</t>
  </si>
  <si>
    <t>BY TRANSFER-UPI/CR/106626360968/RIYA MIT/BARB/riya.mitta/UPI--</t>
  </si>
  <si>
    <t>TSV06-0134</t>
  </si>
  <si>
    <t>BY TRANSFER-UPI/CR/516819034606/Raman Ch/KKBK/7830271895/NA--</t>
  </si>
  <si>
    <t>T514</t>
  </si>
  <si>
    <t>TSV06-0135</t>
  </si>
  <si>
    <t>BY TRANSFER-UPI/CR/593158563797/SADHVI/SBIN/6204539159/Payment--</t>
  </si>
  <si>
    <t>T515</t>
  </si>
  <si>
    <t>TSV06-0136</t>
  </si>
  <si>
    <t>TO TRANSFER-INB NEFT UTR NO: SBIN225169966578--Vishal Tdun</t>
  </si>
  <si>
    <t>NEFT INB: CNADQSDCL0  TRANSFER TO 4698148044300 / Vishal Tdun</t>
  </si>
  <si>
    <t>Fuel Reimbursement</t>
  </si>
  <si>
    <t>TSV06-0137</t>
  </si>
  <si>
    <t>TO TRANSFER-INB NEFT UTR NO: SBIN225169967102--Aakash</t>
  </si>
  <si>
    <t>NEFT INB: CNADQSDDJ9  TRANSFER TO 4697164044309 / Aakash</t>
  </si>
  <si>
    <t>TSV06-0138</t>
  </si>
  <si>
    <t>TO TRANSFER-INB NEFT UTR NO: SBIN225169967471--Subodh</t>
  </si>
  <si>
    <t>NEFT INB: CNADQSDEW6  TRANSFER TO 4698133044307 / Subodh</t>
  </si>
  <si>
    <t>TSV06-0139</t>
  </si>
  <si>
    <t>TO TRANSFER-INB NEFT UTR NO: SBIN225169968631--Jatin Yadav</t>
  </si>
  <si>
    <t>NEFT INB: CNADQSDGW6  TRANSFER TO 4698152044304 / Jatin Yadav</t>
  </si>
  <si>
    <t>TSV06-0140</t>
  </si>
  <si>
    <t>BY TRANSFER-UPI/CR/137596909365/AMAN  SH/SBIN/7049267769/Payme--</t>
  </si>
  <si>
    <t>TSV06-0141</t>
  </si>
  <si>
    <t>BY TRANSFER-UPI/CR/553507068371/HIMANSHU/ICIC/9643094546/Paid--</t>
  </si>
  <si>
    <t>TSV06-0142</t>
  </si>
  <si>
    <t>BY TRANSFER-UPI/CR/553526071835/HIMANSHU/ICIC/9643094546/Paid--</t>
  </si>
  <si>
    <t>TSV06-0143</t>
  </si>
  <si>
    <t>BY TRANSFER-UPI/CR/222949087175/KRISHAN /PUNB/9560597325/Payme--</t>
  </si>
  <si>
    <t>T528</t>
  </si>
  <si>
    <t>TSV06-0144</t>
  </si>
  <si>
    <t>BY TRANSFER-UPI/CR/553575427812/SARAN JE/UTIB/saranjeetc/UPI--</t>
  </si>
  <si>
    <t>TSV06-0145</t>
  </si>
  <si>
    <t>BY TRANSFER-UPI/CR/516985539917/SHASHWAT/HDFC/6394120755/Sent--</t>
  </si>
  <si>
    <t>TSV06-0146</t>
  </si>
  <si>
    <t>TO TRANSFER-INB NEFT UTR NO: SBIN325169326286--Meena Rani</t>
  </si>
  <si>
    <t>NEFT INB: CNADQSTEY8  TRANSFER TO 4698129044303 / Meena Rani</t>
  </si>
  <si>
    <t>CA Services Fee</t>
  </si>
  <si>
    <t>Book Keeping</t>
  </si>
  <si>
    <t>TSV06-0147</t>
  </si>
  <si>
    <t>BY TRANSFER-UPI/CR/553572167052/VIPUL AG/ICIC/v965052280/UPI--</t>
  </si>
  <si>
    <t>TSV06-0148</t>
  </si>
  <si>
    <t>BY TRANSFER-UPI/CR/836809501695/RAJ KISH/UTIB/9939049797/UPI--</t>
  </si>
  <si>
    <t>T521</t>
  </si>
  <si>
    <t>TSV06-0149</t>
  </si>
  <si>
    <t>BY TRANSFER-UPI/CR/516901354177/EESHAAN /FDRL/eeshaanpad/UPI--</t>
  </si>
  <si>
    <t>T91</t>
  </si>
  <si>
    <t>TSV06-0150</t>
  </si>
  <si>
    <t>BY TRANSFER-UPI/CR/115139550499/ANURAG  /SBIN/8100110023/Payme--</t>
  </si>
  <si>
    <t>T83</t>
  </si>
  <si>
    <t>TSV06-0151</t>
  </si>
  <si>
    <t>BY TRANSFER-UPI/CR/553530130854/AKANSHI/INDB/9958253167/Paid v--</t>
  </si>
  <si>
    <t>T87</t>
  </si>
  <si>
    <t>TSV06-0152</t>
  </si>
  <si>
    <t>BY TRANSFER-UPI/CR/106687644737/ROGHAN R B/HDFC/r.b.roghan/UPI--</t>
  </si>
  <si>
    <t>TSV06-0153</t>
  </si>
  <si>
    <t>BY TRANSFER-UPI/CR/171804249637/VIVEK  T/SBIN/6390521078/Payme--</t>
  </si>
  <si>
    <t>TSV06-0154</t>
  </si>
  <si>
    <t>BY TRANSFER-UPI/CR/686647120123/ANURAG  /KKBK/6350532879/Sent--</t>
  </si>
  <si>
    <t>T526</t>
  </si>
  <si>
    <t>TSV06-0155</t>
  </si>
  <si>
    <t>BY TRANSFER-UPI/CR/517091273108/MD IMRAN/HDFC/8527549893/Sent--</t>
  </si>
  <si>
    <t>TSV06-0156</t>
  </si>
  <si>
    <t>BY TRANSFER-UPI/CR/517037830754/SHUBHAM /SBIN/shubhamk26/UPI--</t>
  </si>
  <si>
    <t>T523</t>
  </si>
  <si>
    <t>TSV06-0157</t>
  </si>
  <si>
    <t>BY TRANSFER-UPI/CR/517018992900/MOHIT NA/ICIC/mohitnanda/NA--</t>
  </si>
  <si>
    <t>T84</t>
  </si>
  <si>
    <t>TSV06-0158</t>
  </si>
  <si>
    <t>BY TRANSFER-UPI/CR/686667411887/JASMINE /CNRB/9667072869/Sent--</t>
  </si>
  <si>
    <t>T511</t>
  </si>
  <si>
    <t>TSV06-0159</t>
  </si>
  <si>
    <t>BY TRANSFER-UPI/CR/517019716846/KUMAR GA/UTIB/kumar.gaur/dry c--</t>
  </si>
  <si>
    <t>TSV06-0160</t>
  </si>
  <si>
    <t>BY TRANSFER-UPI/CR/106724009163/ARPIT PR/HDFC/arpit.p.62/UPI--</t>
  </si>
  <si>
    <t>TSV06-0161</t>
  </si>
  <si>
    <t>BY TRANSFER-UPI/CR/517054412605/Mr. Sury/ALLA/suryansh03/UPI--</t>
  </si>
  <si>
    <t>TSV06-0162</t>
  </si>
  <si>
    <t>YSBI2587273939CHT7740635  TRANSFER TO 3199603162095 /</t>
  </si>
  <si>
    <t>Electricity Charges - TD Kirti Nagar</t>
  </si>
  <si>
    <t>TSV06-0163</t>
  </si>
  <si>
    <t>BY TRANSFER-UPI/CR/517020176207/ADITYA S/SBIN/aditya.847/na--</t>
  </si>
  <si>
    <t>TSV06-0164</t>
  </si>
  <si>
    <t>BY TRANSFER-UPI/CR/517055695063/INDRA DE/IPOS/amritrajya/UPI--</t>
  </si>
  <si>
    <t>T535</t>
  </si>
  <si>
    <t>TSV06-0165</t>
  </si>
  <si>
    <t>BY TRANSFER-UPI/CR/517055325032/MR SUJAY/SCBL/sujay.kota/UPI--</t>
  </si>
  <si>
    <t>TSV06-0166</t>
  </si>
  <si>
    <t>BY TRANSFER-UPI/CR/517016632687/RAHUL MA/UTIB/maheshwari/UPI--</t>
  </si>
  <si>
    <t>TSV06-0167</t>
  </si>
  <si>
    <t>BY TRANSFER-UPI/CR/517058691585/Navish B/IDFB/8800809692/Sent--</t>
  </si>
  <si>
    <t>TSV06-0168</t>
  </si>
  <si>
    <t>BY TRANSFER-UPI/CR/517087934459/VAIBHAV /FDRL/vaibhavv.p/UPI--</t>
  </si>
  <si>
    <t>TSV06-0169</t>
  </si>
  <si>
    <t>TO TRANSFER-IMPS/517109608346/IOBA-xx211-/--</t>
  </si>
  <si>
    <t>TSV06-0170</t>
  </si>
  <si>
    <t>by debit card-OTHPG 281129  TUMBLEDRY  NOIDA--</t>
  </si>
  <si>
    <t>Royalty Kirti Nagar</t>
  </si>
  <si>
    <t>TSV06-0171</t>
  </si>
  <si>
    <t>by debit card-OTHPG 282615  TUMBLEDRY  NOIDA--</t>
  </si>
  <si>
    <t>Royalty Uttam Nagar</t>
  </si>
  <si>
    <t>TSV06-0172</t>
  </si>
  <si>
    <t>BY TRANSFER-UPI/CR/517122816790/Sangeeta/SBIN/7091475100/Sent--</t>
  </si>
  <si>
    <t>T533</t>
  </si>
  <si>
    <t>TSV06-0173</t>
  </si>
  <si>
    <t>BY TRANSFER-UPI/CR/889134078732/ADITYA/PUNB/adityapraj/Payment--</t>
  </si>
  <si>
    <t>T539</t>
  </si>
  <si>
    <t>TSV06-0174</t>
  </si>
  <si>
    <t>BY TRANSFER-UPI/CR/686720586301/VARANASI/ICIC/9717338349/Sent--</t>
  </si>
  <si>
    <t>TSV06-0175</t>
  </si>
  <si>
    <t>BY TRANSFER-UPI/CR/517124329925/RITIK SI/SBIN/8107600630/Sent--</t>
  </si>
  <si>
    <t>TSV06-0176</t>
  </si>
  <si>
    <t>TO TRANSFER-INB NEFT UTR NO: SBIN525171604037--Akram Khan</t>
  </si>
  <si>
    <t>NEFT INB: CNADQXLGN7  TRANSFER TO 4698131044309 / Akram Khan</t>
  </si>
  <si>
    <t>Advance Salary Akram Khan</t>
  </si>
  <si>
    <t>TSV06-0177</t>
  </si>
  <si>
    <t>BY TRANSFER-UPI/CR/553809747840/AARADHYA/KKBK/rishu.arad/UPI--</t>
  </si>
  <si>
    <t>TSV06-0178</t>
  </si>
  <si>
    <t>BY TRANSFER-UPI/CR/517230595645/HITEN GU/SBIN/hiten.2570/na--</t>
  </si>
  <si>
    <t>T546</t>
  </si>
  <si>
    <t>TSV06-0179</t>
  </si>
  <si>
    <t>BY TRANSFER-UPI/CR/517312921093/KRITI KH/HDFC/9845767183/Sent--</t>
  </si>
  <si>
    <t>TSV06-0180</t>
  </si>
  <si>
    <t>BY TRANSFER-UPI/CR/517312923430/KRITI KH/HDFC/9845767183/Sent--</t>
  </si>
  <si>
    <t>TSV06-0181</t>
  </si>
  <si>
    <t>BY TRANSFER-UPI/CR/517312930896/KRITI KH/HDFC/9845767183/Sent--</t>
  </si>
  <si>
    <t>TSV06-0182</t>
  </si>
  <si>
    <t>BY TRANSFER-UPI/CR/297193812746/AMAN SABA/UTIB/6200093697/Paym--</t>
  </si>
  <si>
    <t>UC610-0082</t>
  </si>
  <si>
    <t>TSV06-0183</t>
  </si>
  <si>
    <t>BY TRANSFER-UPI/CR/106868788814/SAPTARSH/HDFC/2001saptar/UPI--</t>
  </si>
  <si>
    <t>TSV06-0184</t>
  </si>
  <si>
    <t>BY TRANSFER-UPI/CR/869320113009/RANODEEP/HDFC/7688055417/Payme--</t>
  </si>
  <si>
    <t>TSV06-0185</t>
  </si>
  <si>
    <t>BY TRANSFER-UPI/CR/641767067033/ANADI SH/ICIC/7011109621/Laund--</t>
  </si>
  <si>
    <t>T-543,509,510 Order Id</t>
  </si>
  <si>
    <t>T543</t>
  </si>
  <si>
    <t>TSV06-0186</t>
  </si>
  <si>
    <t>BY TRANSFER-UPI/CR/517364520343/SUKHPREE/ICIC/princesssu/UPI--</t>
  </si>
  <si>
    <t>TSV06-0187</t>
  </si>
  <si>
    <t>BY TRANSFER-UPI/CR/553931622348/PRABHAT /SBIN/8989118348/Paid--</t>
  </si>
  <si>
    <t>T554</t>
  </si>
  <si>
    <t>TSV06-0188</t>
  </si>
  <si>
    <t>BY TRANSFER-UPI/CR/106879967415/ASHRUT K/HDFC/ashrutkaus/UPI--</t>
  </si>
  <si>
    <t>T545</t>
  </si>
  <si>
    <t>TSV06-0189</t>
  </si>
  <si>
    <t>BY TRANSFER-UPI/CR/106881306176/PRATHIKS/HDFC/prathiksha/UPI--</t>
  </si>
  <si>
    <t>TSV06-0190</t>
  </si>
  <si>
    <t>BY TRANSFER-UPI/CR/517351143514/TANWIR  /SBIN/7979925015/Sent--</t>
  </si>
  <si>
    <t>TSV06-0191</t>
  </si>
  <si>
    <t>BY TRANSFER-UPI/CR/517383027867/MUHAMMED/PUNB/irfankt555/UPI--</t>
  </si>
  <si>
    <t>T549</t>
  </si>
  <si>
    <t>TSV06-0192</t>
  </si>
  <si>
    <t>BY TRANSFER-UPI/CR/686808763553/AMMAR ZAIN/UBIN/8954047629/Sen--</t>
  </si>
  <si>
    <t>TSV06-0193</t>
  </si>
  <si>
    <t>BY TRANSFER-UPI/CR/553907648475/AISHWARY/HDFC/9930286283/Paid--</t>
  </si>
  <si>
    <t>TSV06-0194</t>
  </si>
  <si>
    <t>BY TRANSFER-UPI/CR/613956692312/AVINASH /PUNB/9708881199/Payme--</t>
  </si>
  <si>
    <t>T116</t>
  </si>
  <si>
    <t>TSV06-0195</t>
  </si>
  <si>
    <t>BY TRANSFER-UPI/CR/554009612193/USHA MALIK/KVBL/vaishalipa/bla--</t>
  </si>
  <si>
    <t>TSV06-0196</t>
  </si>
  <si>
    <t>BY TRANSFER-UPI/CR/554080617424/USHA MALIK/KVBL/vaishalipa/bla--</t>
  </si>
  <si>
    <t>TSV06-0197</t>
  </si>
  <si>
    <t>BY TRANSFER-UPI/CR/106932697394/PRABHAT /SBIN/rishuraj.r/UPI--</t>
  </si>
  <si>
    <t>T555</t>
  </si>
  <si>
    <t>TSV06-0198</t>
  </si>
  <si>
    <t>BY TRANSFER-UPI/CR/517471692905/ALTHAF K/FDRL/althafkahm/UPI--</t>
  </si>
  <si>
    <t>T560</t>
  </si>
  <si>
    <t>TSV06-0199</t>
  </si>
  <si>
    <t>BY TRANSFER-UPI/CR/517422994838/AAYUSHMA/HDFC/8287626916/Sent--</t>
  </si>
  <si>
    <t>TSV06-0200</t>
  </si>
  <si>
    <t>BY TRANSFER-UPI/CR/517449786459/ABHINAV /CNRB/abhinav10k/UPI--</t>
  </si>
  <si>
    <t>TSV06-0201</t>
  </si>
  <si>
    <t>BY TRANSFER-UPI/CR/554020227044/NARESH K/UTIB/nareshchug/Dry c--</t>
  </si>
  <si>
    <t>TSV06-0202</t>
  </si>
  <si>
    <t>BY TRANSFER-UPI/CR/517440645452/RAJNI PA/ICIC/9599668689/Food--</t>
  </si>
  <si>
    <t>TSV06-0203</t>
  </si>
  <si>
    <t>BY TRANSFER-UPI/CR/517451105648/VIKASH D/RATN/7869112036/Paid--</t>
  </si>
  <si>
    <t>T574</t>
  </si>
  <si>
    <t>TSV06-0204</t>
  </si>
  <si>
    <t>BY TRANSFER-UPI/CR/517544044375/NARENDER/KKBK/8700466418/Sent--</t>
  </si>
  <si>
    <t>TSV06-0205</t>
  </si>
  <si>
    <t>BY TRANSFER-UPI/CR/106976141675/MAMTA SA/HDFC/mamtasapra/dry c--</t>
  </si>
  <si>
    <t>T568</t>
  </si>
  <si>
    <t>TSV06-0206</t>
  </si>
  <si>
    <t>BY TRANSFER-UPI/CR/517529108720/FAIJAL/KKBK/8448415030/Sent us--</t>
  </si>
  <si>
    <t>T572</t>
  </si>
  <si>
    <t>TSV06-0207</t>
  </si>
  <si>
    <t>BY TRANSFER-UPI/CR/517514775292/VIPIN/BARB/9729186656/Loudless--</t>
  </si>
  <si>
    <t>T122</t>
  </si>
  <si>
    <t>TSV06-0208</t>
  </si>
  <si>
    <t>BY TRANSFER-UPI/CR/943141986683/ANIL PAL/BARB/8953439668/Payme--</t>
  </si>
  <si>
    <t>TSV06-0209</t>
  </si>
  <si>
    <t>BY TRANSFER-UPI/CR/797422976927/AMAN SABA/UTIB/6200093697/Paym--</t>
  </si>
  <si>
    <t>TSV06-0210</t>
  </si>
  <si>
    <t>BY TRANSFER-UPI/CR/554129399137/MR PAWAN/SCBL/pawan140@o/UPI--</t>
  </si>
  <si>
    <t>TSV06-0211</t>
  </si>
  <si>
    <t>BY TRANSFER-UPI/CR/517574420950/SETHI S/HSBC/9810950094/Sent u--</t>
  </si>
  <si>
    <t>TSV06-0212</t>
  </si>
  <si>
    <t>BY TRANSFER-UPI/CR/106993413220/APOORVA /PUNB/apoorva.80/PAY B--</t>
  </si>
  <si>
    <t>TSV06-0213</t>
  </si>
  <si>
    <t>BY TRANSFER-UPI/CR/106995608397/AYUSH KU/BARB/ayushpps12/UPI--</t>
  </si>
  <si>
    <t>TSV06-0214</t>
  </si>
  <si>
    <t>BY TRANSFER-UPI/CR/517526905514/PRASHANT/SBIN/kingprasha/UPI--</t>
  </si>
  <si>
    <t>TSV06-0215</t>
  </si>
  <si>
    <t>BY TRANSFER-UPI/CR/554163463473/AMIT KUMAR/PUNB/akaggarwal/UPI--</t>
  </si>
  <si>
    <t>TSV06-0216</t>
  </si>
  <si>
    <t>BY TRANSFER-UPI/CR/107001090643/MEHAK AS/HDFC/ashranimeh/UPI--</t>
  </si>
  <si>
    <t>TSV06-0217</t>
  </si>
  <si>
    <t>BY TRANSFER-UPI/CR/554118934320/AMAN SAINI/ICIC/9971054383/Pai--</t>
  </si>
  <si>
    <t>TSV06-0218</t>
  </si>
  <si>
    <t>BY TRANSFER-UPI/CR/385673839507/MANISH Y/PUNB/9350364849/Sent--</t>
  </si>
  <si>
    <t>TSV06-0219</t>
  </si>
  <si>
    <t>BY TRANSFER-UPI/CR/710505239468/Aman  Ku/SBIN/amankr5964/Payme--</t>
  </si>
  <si>
    <t>TSV06-0220</t>
  </si>
  <si>
    <t>BY TRANSFER-UPI/CR/517688175605/Sangeeta/SBIN/7091475100/Sent--</t>
  </si>
  <si>
    <t>TSV06-0221</t>
  </si>
  <si>
    <t>BY TRANSFER-UPI/CR/554203983720/YASH GAM/HDFC/gambhir200/Paid--</t>
  </si>
  <si>
    <t>TSV06-0222</t>
  </si>
  <si>
    <t>TO CLEARING-Chq No. 574557 The Shaw Ventures--574557</t>
  </si>
  <si>
    <t>/ 574557</t>
  </si>
  <si>
    <t>New Account Opening with IDFC Bank</t>
  </si>
  <si>
    <t>TSV06-0223</t>
  </si>
  <si>
    <t>BY TRANSFER-UPI/CR/591599709801/MUKESH  /YESB/8448489869/Payme--</t>
  </si>
  <si>
    <t>TSV06-0224</t>
  </si>
  <si>
    <t>BY TRANSFER-UPI/CR/385732787300/CHANCHAL/UTKS/9911956007/Sent--</t>
  </si>
  <si>
    <t>TSV06-0225</t>
  </si>
  <si>
    <t>BY TRANSFER-UPI/CR/517714945122/Divyansh/PPIW/8377916645/NA--</t>
  </si>
  <si>
    <t>TSV06-0226</t>
  </si>
  <si>
    <t>BY TRANSFER-UPI/CR/107087422065/TARANDEE/HDFC/taranmakka/UPI--</t>
  </si>
  <si>
    <t>TSV06-0227</t>
  </si>
  <si>
    <t>BY TRANSFER-UPI/CR/107088576505/SUYASH M/HDFC/s.malhotra/UPI--</t>
  </si>
  <si>
    <t>TSV06-0228</t>
  </si>
  <si>
    <t>BY TRANSFER-UPI/CR/107088879512/ASHRUT K/HDFC/ashrutkaus/UPI--</t>
  </si>
  <si>
    <t>TSV06-0229</t>
  </si>
  <si>
    <t>BY TRANSFER-UPI/CR/517746704993/MR HARPR/SCBL/9999914674/Sent--</t>
  </si>
  <si>
    <t>TSV06-0230</t>
  </si>
  <si>
    <t>BY TRANSFER-UPI/CR/440993747369/AADIL AH/HDFC/aadilahmad/Payme--</t>
  </si>
  <si>
    <t>TSV06-0231</t>
  </si>
  <si>
    <t>BY TRANSFER-UPI/CR/686978604576/MR SUMIT/SCBL/8882088803/Sent--</t>
  </si>
  <si>
    <t>TSV06-0232</t>
  </si>
  <si>
    <t>BY TRANSFER-UPI/CR/281360406410/ROHIT SH/ICIC/errohitsha/Payme--</t>
  </si>
  <si>
    <t>TSV06-0233</t>
  </si>
  <si>
    <t>by debit card-OTHPG 450321  TUMBLEDRY  NOIDA--</t>
  </si>
  <si>
    <t>Royalty Payment Kirti Nagar</t>
  </si>
  <si>
    <t>TSV06-0234</t>
  </si>
  <si>
    <t>by debit card-OTHPG 451165  TUMBLEDRY  NOIDA--</t>
  </si>
  <si>
    <t>Royalty Payment Uttam Nagar</t>
  </si>
  <si>
    <t>TSV06-0235</t>
  </si>
  <si>
    <t>BY TRANSFER-UPI/CR/517847123399/NIKHIL C/UBIN/9592944231/Sent--</t>
  </si>
  <si>
    <t>TSV06-0236</t>
  </si>
  <si>
    <t>BY TRANSFER-UPI/CR/107127307866/RAHUL PA/HDFC/pareek2020/UPI--</t>
  </si>
  <si>
    <t>TSV06-0237</t>
  </si>
  <si>
    <t>BY TRANSFER-UPI/CR/517857443987/SHANTANU/UTIB/9639962697/Sent--</t>
  </si>
  <si>
    <t>TSV06-0238</t>
  </si>
  <si>
    <t>BY TRANSFER-UPI/CR/517869046895/SANJAY  /SBIN/meenakshig/UPI--</t>
  </si>
  <si>
    <t>TSV06-0239</t>
  </si>
  <si>
    <t>BY TRANSFER-UPI/CR/156474171785/MOHIT KE/IPOS/7970846155/UPI--</t>
  </si>
  <si>
    <t>TSV06-0240</t>
  </si>
  <si>
    <t>BY TRANSFER-UPI/CR/554431736151/ABHYUDAY/UBIN/abhyudhoot/UPI--</t>
  </si>
  <si>
    <t>TSV06-0241</t>
  </si>
  <si>
    <t>BY TRANSFER-UPI/CR/517807957460/JASMINE /UTIB/9205853453/Sent--</t>
  </si>
  <si>
    <t>TSV06-0242</t>
  </si>
  <si>
    <t>BY TRANSFER-UPI/CR/554584063796/PAWAN KU/ICIC/pawanupadh/UPI--</t>
  </si>
  <si>
    <t>TSV06-0243</t>
  </si>
  <si>
    <t>BY TRANSFER-UPI/CR/107175439830/RAUNAK K/HDFC/kondarauna/UPI--</t>
  </si>
  <si>
    <t>TSV06-0244</t>
  </si>
  <si>
    <t>BY TRANSFER-UPI/CR/517901264173/INDER MO/UTIB/indermohan/UPI--</t>
  </si>
  <si>
    <t>TSV06-0245</t>
  </si>
  <si>
    <t>BY TRANSFER-UPI/CR/517964494694/AKASH DEV/HDFC/9667715133/Sent--</t>
  </si>
  <si>
    <t>TSV06-0246</t>
  </si>
  <si>
    <t>BY TRANSFER-UPI/CR/279660981795/SIYAS M/UTIB/siyas.7206/UPI--</t>
  </si>
  <si>
    <t>TSV06-0247</t>
  </si>
  <si>
    <t>BY TRANSFER-UPI/CR/517978913337/RADHA GI/UTIB/9873514541/Sent--</t>
  </si>
  <si>
    <t>TSV06-0248</t>
  </si>
  <si>
    <t>BY TRANSFER-UPI/CR/517967318885/JASMINE /HDFC/8077002142/Sent--</t>
  </si>
  <si>
    <t>TSV06-0249</t>
  </si>
  <si>
    <t>BY TRANSFER-UPI/CR/518057589015/KRISHNA /KKBK/krishnajha/Uclea--</t>
  </si>
  <si>
    <t>TSV06-0250</t>
  </si>
  <si>
    <t>BY TRANSFER-UPI/CR/518066566500/SHAILEND/SBIN/shailendra/UPI--</t>
  </si>
  <si>
    <t>TSV06-0251</t>
  </si>
  <si>
    <t>BY TRANSFER-UPI/CR/386038821805/PAWAN KU/HDFC/pawan.3277/UPI--</t>
  </si>
  <si>
    <t>TSV06-0252</t>
  </si>
  <si>
    <t>BY TRANSFER-UPI/CR/554682351205/SATISH G/PUNB/satishgoel/UPI--</t>
  </si>
  <si>
    <t>TSV06-0253</t>
  </si>
  <si>
    <t>BY TRANSFER-UPI/CR/385875126115/ARCHIT B/UCBA/8447340776/Sent--</t>
  </si>
  <si>
    <t>TSV06-0254</t>
  </si>
  <si>
    <t>BY TRANSFER-UPI/CR/107247334488/ABHIMANY/HDFC/abhimanyud/dry c--</t>
  </si>
  <si>
    <t>TSV06-0255</t>
  </si>
  <si>
    <t>BY TRANSFER-UPI/CR/687104155983/YATIN GA/JIOP/8178166036/Sent--</t>
  </si>
  <si>
    <t>TSV06-0256</t>
  </si>
  <si>
    <t>BY TRANSFER-UPI/CR/323818573075/Jitendra/IOBA/7011455758/Payme--</t>
  </si>
  <si>
    <t>TSV06-0257</t>
  </si>
  <si>
    <t>BY TRANSFER-UPI/CR/518050144501/AYUSH  G/SBIN/9670987015/Sent--</t>
  </si>
  <si>
    <t>TSV06-0258</t>
  </si>
  <si>
    <t>BY TRANSFER-UPI/CR/100858683718/NEHA SHA/HDFC/0813049021/Cloth--</t>
  </si>
  <si>
    <t>TSV06-0259</t>
  </si>
  <si>
    <t>BY TRANSFER-UPI/CR/554759499296/HITEN RA/BARB/senr19819@/UPI--</t>
  </si>
  <si>
    <t>TSV06-0260</t>
  </si>
  <si>
    <t>BY TRANSFER-UPI/CR/941277053574/ADITYA V/SBIN/7770966069/Payme--</t>
  </si>
  <si>
    <t>TSV06-0261</t>
  </si>
  <si>
    <t>BY TRANSFER-UPI/CR/518174277678/RATAN KU/SBIN/ratan.5094/na--</t>
  </si>
  <si>
    <t>TSV06-0262</t>
  </si>
  <si>
    <t>BY TRANSFER-UPI/CR/384586909219/ROHIT YA/HDFC/rohitrao01/Payme--</t>
  </si>
  <si>
    <t>TSV06-0263</t>
  </si>
  <si>
    <t>BY TRANSFER-UPI/CR/518120617726/REUBEN N/UTIB/9810624980/Sent--</t>
  </si>
  <si>
    <t>TSV06-0264</t>
  </si>
  <si>
    <t>BY TRANSFER-UPI/CR/097514794467/SUMIT  G/SBIN/9040714144/Payme--</t>
  </si>
  <si>
    <t>TSV06-0265</t>
  </si>
  <si>
    <t>BY TRANSFER-UPI/CR/286920837879/ROHIT KU/BARB/7250629112/Payme--</t>
  </si>
  <si>
    <t>TSV07-0001</t>
  </si>
  <si>
    <t>YSBI2591671833CHT8782680  TRANSFER TO 3199589162098 /</t>
  </si>
  <si>
    <t>1,53,930.78</t>
  </si>
  <si>
    <t>TSV07-0002</t>
  </si>
  <si>
    <t>BY TRANSFER-UPI/CR/315344172880/AMAN SABA/UTIB/6200093697/Paym--</t>
  </si>
  <si>
    <t>1,54,057.50</t>
  </si>
  <si>
    <t>UC567-0440</t>
  </si>
  <si>
    <t>TSV07-0003</t>
  </si>
  <si>
    <t>TO TRANSFER-IMPS/518215613577/IOBA-xx211-/--</t>
  </si>
  <si>
    <t>1,41,557.50</t>
  </si>
  <si>
    <t>TSV07-0004</t>
  </si>
  <si>
    <t>BY TRANSFER-UPI/CR/850336618961/AKHILESH/UBIN/8178813791/Payme--</t>
  </si>
  <si>
    <t>1,41,666.50</t>
  </si>
  <si>
    <t>TSV07-0005</t>
  </si>
  <si>
    <t>BY TRANSFER-UPI/CR/687189858727/LAKSHYA /KKBK/9529103613/Sent--</t>
  </si>
  <si>
    <t>1,42,065.50</t>
  </si>
  <si>
    <t>UC610-0099</t>
  </si>
  <si>
    <t>TSV07-0006</t>
  </si>
  <si>
    <t>BY TRANSFER-UPI/CR/190411843169/PRASHANT/ICIC/9004604032/NO RE--</t>
  </si>
  <si>
    <t>1,42,392.50</t>
  </si>
  <si>
    <t>UC610-0112</t>
  </si>
  <si>
    <t>TSV07-0007</t>
  </si>
  <si>
    <t>BY TRANSFER-UPI/CR/107401289488/Parv  Goel/SBIN/parv142006/UPI--</t>
  </si>
  <si>
    <t>1,42,837.50</t>
  </si>
  <si>
    <t>T586</t>
  </si>
  <si>
    <t>TSV07-0008</t>
  </si>
  <si>
    <t>BY TRANSFER-UPI/CR/540813594948/ANURAG  /SBIN/8100110023/Payme--</t>
  </si>
  <si>
    <t>1,43,377.50</t>
  </si>
  <si>
    <t>TSV07-0009</t>
  </si>
  <si>
    <t>BY TRANSFER-UPI/CR/687221674948/ASHUTOSH/BARB/7042720310/Sent--</t>
  </si>
  <si>
    <t>1,43,713.50</t>
  </si>
  <si>
    <t>TSV07-0010</t>
  </si>
  <si>
    <t>BY TRANSFER-UPI/CR/769564498423/Sonu/SBIN/7082690722/Payment--</t>
  </si>
  <si>
    <t>1,44,027.50</t>
  </si>
  <si>
    <t>TSV07-0011</t>
  </si>
  <si>
    <t>BY TRANSFER-UPI/CR/554918284721/SHIVI SH/UTIB/sharmabsh-/UPI--</t>
  </si>
  <si>
    <t>1,44,127.50</t>
  </si>
  <si>
    <t>UC567-0469</t>
  </si>
  <si>
    <t>TSV07-0012</t>
  </si>
  <si>
    <t>BY TRANSFER-UPI/CR/634028914999/AKARSH/ICIC/8083686013/Payment--</t>
  </si>
  <si>
    <t>1,44,747.50</t>
  </si>
  <si>
    <t>T597</t>
  </si>
  <si>
    <t>TSV07-0013</t>
  </si>
  <si>
    <t>BY TRANSFER-UPI/CR/518333284288/VENKAT M/UTIB/9004514368/Sent--</t>
  </si>
  <si>
    <t>1,45,433.50</t>
  </si>
  <si>
    <t>TSV07-0014</t>
  </si>
  <si>
    <t>TO TRANSFER-IMPS/518319635791/UTIB-xx341-/--</t>
  </si>
  <si>
    <t>TRANSFER TO 4698290162099 /</t>
  </si>
  <si>
    <t>1,21,376.50</t>
  </si>
  <si>
    <t>TSV07-0015</t>
  </si>
  <si>
    <t>TO TRANSFER-IMPS/518320637504/UTIB-xx341-/--</t>
  </si>
  <si>
    <t>1,01,376.50</t>
  </si>
  <si>
    <t>TSV07-0016</t>
  </si>
  <si>
    <t>TO TRANSFER-IMPS/518320640806/UTIB-xx341-/--</t>
  </si>
  <si>
    <t>TSV07-0017</t>
  </si>
  <si>
    <t>BY TRANSFER-UPI/CR/518346831006/Khumson /SBIN/khumsonmos/UPI--</t>
  </si>
  <si>
    <t>TSV07-0018</t>
  </si>
  <si>
    <t>TO TRANSFER-INB NEFT UTR NO: SBIN125183616564--Kapoor Arts</t>
  </si>
  <si>
    <t>NEFT INB: CNADRMWNA2  TRANSFER TO 3199301044303 / Kapoor Arts</t>
  </si>
  <si>
    <t>TSV07-0019</t>
  </si>
  <si>
    <t>BY TRANSFER-UPI/CR/518313380192/AMIT KUMAR/PUNB/akaggarwal/UPI--</t>
  </si>
  <si>
    <t>T599</t>
  </si>
  <si>
    <t>TSV07-0020</t>
  </si>
  <si>
    <t>BY TRANSFER-UPI/CR/518413955129/KAPIL/UTIB/9873267575/Sent usi--</t>
  </si>
  <si>
    <t>UC567-0461</t>
  </si>
  <si>
    <t>TSV07-0021</t>
  </si>
  <si>
    <t>BY TRANSFER-UPI/CR/518416065715/ANAMITA /KKBK/anamikatiw/UPI--</t>
  </si>
  <si>
    <t>T578</t>
  </si>
  <si>
    <t>TSV07-0022</t>
  </si>
  <si>
    <t>BY TRANSFER-UPI/CR/420828164826/AMAN SABA/UTIB/6200093697/Paym--</t>
  </si>
  <si>
    <t>TSV07-0023</t>
  </si>
  <si>
    <t>BY TRANSFER-UPI/CR/518402982085/Sangeeta/SBIN/7091475100/Sent--</t>
  </si>
  <si>
    <t>T612</t>
  </si>
  <si>
    <t>TSV07-0024</t>
  </si>
  <si>
    <t>BY TRANSFER-UPI/CR/518489498222/MANMEET /SBIN/manmeetkau/dry c--</t>
  </si>
  <si>
    <t>TSV07-0025</t>
  </si>
  <si>
    <t>BY TRANSFER-UPI/CR/518444196863/RAHUL MA/UTIB/maheshwari/UPI--</t>
  </si>
  <si>
    <t>UC567-0463</t>
  </si>
  <si>
    <t>TSV07-0026</t>
  </si>
  <si>
    <t>BY TRANSFER-UPI/CR/687280531368/RANJU KU/BARB/7878412147/Sent--</t>
  </si>
  <si>
    <t>TSV07-0027</t>
  </si>
  <si>
    <t>BY TRANSFER-UPI/CR/107480992888/ROGHAN R B/HDFC/r.b.roghan/UPI--</t>
  </si>
  <si>
    <t>UC610-0101</t>
  </si>
  <si>
    <t>TSV07-0028</t>
  </si>
  <si>
    <t>BY TRANSFER-UPI/CR/708671266173/SANKET  /KKBK/9711166454/Payme--</t>
  </si>
  <si>
    <t>UC567-0449</t>
  </si>
  <si>
    <t>TSV07-0029</t>
  </si>
  <si>
    <t>TO TRANSFER-IMPS/518514755649/UTIB-xx891-/--</t>
  </si>
  <si>
    <t>Payments for QR Code acrylic sheet and sticker, kapoort arts</t>
  </si>
  <si>
    <t>TSV07-0030</t>
  </si>
  <si>
    <t>by debit card-OTHPG 856047  TUMBLEDRY  NOIDA--</t>
  </si>
  <si>
    <t>TSV07-0031</t>
  </si>
  <si>
    <t>BY TRANSFER-UPI/CR/555181586368/MR PAWAN/SCBL/pawan140@o/UPI--</t>
  </si>
  <si>
    <t>TSV07-0032</t>
  </si>
  <si>
    <t>BY TRANSFER-UPI/CR/555186182776/MR SUJAY/SCBL/sujay.kota/UPI--</t>
  </si>
  <si>
    <t>UC610-0106</t>
  </si>
  <si>
    <t>TSV07-0033</t>
  </si>
  <si>
    <t>BY TRANSFER-UPI/CR/386102803446/ASHUTOSH/BARB/7042720310/Sent--</t>
  </si>
  <si>
    <t>TSV07-0034</t>
  </si>
  <si>
    <t>BY TRANSFER-UPI/CR/555182290229/NEHA CHA/UTIB/nehachauha/UPI--</t>
  </si>
  <si>
    <t>TSV07-0035</t>
  </si>
  <si>
    <t>BY TRANSFER-NEFT*HDFC0000240*HDFCH00346207174*TUMBLEDRY SOLUTI--</t>
  </si>
  <si>
    <t>Mixed Orders</t>
  </si>
  <si>
    <t>TSV07-0036</t>
  </si>
  <si>
    <t>TO TRANSFER-IMPS/519100713947/UCBA-xx884-/--</t>
  </si>
  <si>
    <t>TRANSFER TO 4698292162098 /</t>
  </si>
  <si>
    <t>TSV07-0037</t>
  </si>
  <si>
    <t>TO TRANSFER-IMPS/519100714557/KKBK-xx690-/--</t>
  </si>
  <si>
    <t>TSV07-0038</t>
  </si>
  <si>
    <t>CT00SLRKK1  TRANSFER TO 37636897684  Mr. KAPIL  . /</t>
  </si>
  <si>
    <t>TSV07-0039</t>
  </si>
  <si>
    <t>TO TRANSFER-IMPS/519220793802/BARB-xx310-/--</t>
  </si>
  <si>
    <t>Salary Akram</t>
  </si>
  <si>
    <t>TSV07-0040</t>
  </si>
  <si>
    <t>TO TRANSFER-IMPS/519311564803/UTIB-xx891-/--</t>
  </si>
  <si>
    <t>TRANSFER TO 4698296162094 /</t>
  </si>
  <si>
    <t>Kapoor Arts Balance Payment for Pamphlets Printing</t>
  </si>
  <si>
    <t>Advertising Materials</t>
  </si>
  <si>
    <t>TSV07-0041</t>
  </si>
  <si>
    <t>TO TRANSFER-INB NEFT UTR NO: SBIN325209426002--TSV Kirti Nagar</t>
  </si>
  <si>
    <t>NEFT INB: CNADTGAJX2  TRANSFER TO 3199301044303 / TSV Kirti Nagar</t>
  </si>
  <si>
    <t>Test UPI Transfer to Self IDFC Virtual Account</t>
  </si>
  <si>
    <t>Test</t>
  </si>
  <si>
    <t>TSV07-0042</t>
  </si>
  <si>
    <t>TO TRANSFER-INB NEFT UTR NO: SBIN325209426271--TSV Sector56</t>
  </si>
  <si>
    <t>NEFT INB: CNADTGAUL4  TRANSFER TO 4697158044306 / TSV Sector56</t>
  </si>
  <si>
    <t>TSV07-0043</t>
  </si>
  <si>
    <t>TO TRANSFER-INB NEFT UTR NO: SBIN325209427076--TSV SL1</t>
  </si>
  <si>
    <t>NEFT INB: CNADTGBBL4  TRANSFER TO 4698149044309 / TSV SL1</t>
  </si>
  <si>
    <t>TSV07-0044</t>
  </si>
  <si>
    <t>TO TRANSFER-INB NEFT UTR NO: SBIN325209424456--TSV UTTAM NAGAR</t>
  </si>
  <si>
    <t>NEFT INB: CNADTGBCP5  TRANSFER TO 4697164044309 / TSV UTTAM NAGAR</t>
  </si>
  <si>
    <t>TSV08-0001</t>
  </si>
  <si>
    <t>BY TRANSFER-NEFT*HDFC0000240*HDFCH00414703269*TUMBLEDRY SOLUTI--</t>
  </si>
  <si>
    <t>Royalty Refund from TD</t>
  </si>
  <si>
    <t>TSV08-0002</t>
  </si>
  <si>
    <t>BY TRANSFER-NEFT*HDFC0000240*HDFCH00427532489*TUMBLEDRY SOLUTI--</t>
  </si>
  <si>
    <t>TSV09-0001</t>
  </si>
  <si>
    <t>BY TRANSFER-NEFT*HDFC0000240*HDFCH00482392382*TUMBLEDRY SOLUTI--</t>
  </si>
  <si>
    <t>TSV09-0002</t>
  </si>
  <si>
    <t>BY TRANSFER-UPI/CR/962074878428/HIMANSHU/HDFC/6203048140/Payme--</t>
  </si>
  <si>
    <t>TSV09-0003</t>
  </si>
  <si>
    <t>BY TRANSFER-UPI/CR/563329665548/NEETHU J/SIBL/neethujose/UPI--</t>
  </si>
  <si>
    <t>TSV09-0004</t>
  </si>
  <si>
    <t>MIN BAL CHGS---</t>
  </si>
  <si>
    <t>TSV10-0001</t>
  </si>
  <si>
    <t>BY TRANSFER-NEFT*HDFC0000240*HDFCH00569216479*TUMBLEDRY SOLUTI--</t>
  </si>
  <si>
    <t>TSV10-0002</t>
  </si>
  <si>
    <t>BY TRANSFER-NEFT*HDFC0000240*HDFCH00569216715*TUMBLEDRY SOLUTI--</t>
  </si>
  <si>
    <t>TSV10-0003</t>
  </si>
  <si>
    <t>BY TRANSFER-NEFT*HDFC0000240*HDFCH00581012160*TUMBLEDRY SOLUTI--</t>
  </si>
  <si>
    <t>TSV10-0004</t>
  </si>
  <si>
    <t>BY TRANSFER-NEFT*HDFC0000240*HDFCH00581017454*TUMBLEDRY SOLUTI--</t>
  </si>
  <si>
    <t>TSV10-0005</t>
  </si>
  <si>
    <t>TSV11-0001</t>
  </si>
  <si>
    <t>BY TRANSFER-NEFT*HDFC0000240*HDFCH00598928017*TUMBLEDRY SOLUTI--</t>
  </si>
  <si>
    <t>TSV11-0002</t>
  </si>
  <si>
    <t>BY TRANSFER-NEFT*HDFC0000240*HDFCH00599023370*TUMBLEDRY SOLUTI--</t>
  </si>
  <si>
    <t>TSV11-0003</t>
  </si>
  <si>
    <t>BY TRANSFER-NEFT*HDFC0000240*HDFCH00614449026*TUMBLEDRY SOLUTI--</t>
  </si>
  <si>
    <t>TSV11-0004</t>
  </si>
  <si>
    <t>BY TRANSFER-NEFT*HDFC0000240*HDFCH00626263367*TUMBLEDRY SOLUTI--</t>
  </si>
  <si>
    <t>TSV11-0005</t>
  </si>
  <si>
    <t>BY TRANSFER-NEFT*HDFC0000240*HDFCH00637906363*TUMBLEDRY SOLUTI--</t>
  </si>
  <si>
    <t>TSV11-0006</t>
  </si>
  <si>
    <t>BY TRANSFER-NEFT*HDFC0000240*HDFCH00637923665*TUMBLEDRY SOLUTI--</t>
  </si>
  <si>
    <t>1,13,750.64</t>
  </si>
  <si>
    <t>TSV11-0007</t>
  </si>
  <si>
    <t>1,11,390.64</t>
  </si>
  <si>
    <t>TSV12-0001</t>
  </si>
  <si>
    <t>BY TRANSFER-NEFT*HDFC0000240*HDFCH00655177577*TUMBLEDRY SOLUTI--</t>
  </si>
  <si>
    <t>1,12,224.64</t>
  </si>
  <si>
    <t>TSV12-0002</t>
  </si>
  <si>
    <t>BY TRANSFER-NEFT*HDFC0000240*HDFCH00655231396*TUMBLEDRY SOLUTI--</t>
  </si>
  <si>
    <t>1,22,934.64</t>
  </si>
  <si>
    <t>TSV12-0003</t>
  </si>
  <si>
    <t>TO TRANSFER-IMPS/534320627052/IDFB-xx806-/--</t>
  </si>
  <si>
    <t>TSV12-0004</t>
  </si>
  <si>
    <t>TO TRANSFER-IMPS/534421767097/IDFB-xx806-/--</t>
  </si>
  <si>
    <t>TSV12-0005</t>
  </si>
  <si>
    <t>BY TRANSFER-NEFT*HDFC0000240*HDFCH00673119525*TUMBLEDRY SOLUTI--</t>
  </si>
  <si>
    <t>TSV12-0006</t>
  </si>
  <si>
    <t>BY TRANSFER-NEFT*HDFC0000240*HDFCH00684430235*TUMBLEDRY SOLUTI--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</si>
</sst>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mm-yyyy"/>
    <numFmt numFmtId="165" formatCode="dd-mmm-yyyy"/>
    <numFmt numFmtId="166" formatCode="###0"/>
    <numFmt numFmtId="167" formatCode="d-mmm-yy"/>
    <numFmt numFmtId="168" formatCode="dd-mmm-yy"/>
    <numFmt numFmtId="169" formatCode="dd-mmmm-yy"/>
    <numFmt numFmtId="170" formatCode="d-mmmm-yy"/>
  </numFmts>
  <fonts count="1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b/>
      <sz val="11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rgb="FF0F5132"/>
      <name val="Poppins"/>
    </font>
    <font>
      <sz val="11.0"/>
      <color theme="1"/>
      <name val="Poppins"/>
    </font>
    <font>
      <color theme="1"/>
      <name val="Lora"/>
    </font>
    <font>
      <sz val="11.0"/>
      <color theme="1"/>
      <name val="Helvetica Neue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</fills>
  <borders count="2">
    <border/>
    <border>
      <left style="medium">
        <color rgb="FFCCCCCC"/>
      </lef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39" xfId="0" applyAlignment="1" applyFont="1" applyNumberFormat="1">
      <alignment horizontal="right" vertical="bottom"/>
    </xf>
    <xf borderId="0" fillId="0" fontId="1" numFmtId="39" xfId="0" applyAlignment="1" applyFont="1" applyNumberFormat="1">
      <alignment vertical="bottom"/>
    </xf>
    <xf borderId="0" fillId="0" fontId="4" numFmtId="0" xfId="0" applyAlignment="1" applyFont="1">
      <alignment shrinkToFit="0" vertical="bottom" wrapText="0"/>
    </xf>
    <xf borderId="0" fillId="0" fontId="6" numFmtId="164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166" xfId="0" applyAlignment="1" applyFont="1" applyNumberFormat="1">
      <alignment vertical="bottom"/>
    </xf>
    <xf borderId="0" fillId="0" fontId="8" numFmtId="167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5" numFmtId="166" xfId="0" applyAlignment="1" applyFont="1" applyNumberFormat="1">
      <alignment vertical="bottom"/>
    </xf>
    <xf borderId="0" fillId="0" fontId="8" numFmtId="166" xfId="0" applyAlignment="1" applyFont="1" applyNumberFormat="1">
      <alignment horizontal="right" readingOrder="0" vertical="bottom"/>
    </xf>
    <xf borderId="0" fillId="0" fontId="8" numFmtId="166" xfId="0" applyAlignment="1" applyFont="1" applyNumberFormat="1">
      <alignment horizontal="right" vertical="bottom"/>
    </xf>
    <xf borderId="0" fillId="0" fontId="8" numFmtId="168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8" numFmtId="4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8" numFmtId="4" xfId="0" applyAlignment="1" applyFont="1" applyNumberFormat="1">
      <alignment horizontal="center" vertical="bottom"/>
    </xf>
    <xf borderId="0" fillId="0" fontId="8" numFmtId="169" xfId="0" applyAlignment="1" applyFont="1" applyNumberFormat="1">
      <alignment horizontal="right" vertical="bottom"/>
    </xf>
    <xf borderId="0" fillId="3" fontId="9" numFmtId="0" xfId="0" applyAlignment="1" applyFill="1" applyFont="1">
      <alignment horizontal="center" vertical="bottom"/>
    </xf>
    <xf borderId="0" fillId="0" fontId="8" numFmtId="0" xfId="0" applyAlignment="1" applyFont="1">
      <alignment horizontal="right" readingOrder="0" vertical="bottom"/>
    </xf>
    <xf borderId="0" fillId="4" fontId="10" numFmtId="0" xfId="0" applyAlignment="1" applyFill="1" applyFont="1">
      <alignment horizontal="center" vertical="bottom"/>
    </xf>
    <xf borderId="0" fillId="0" fontId="8" numFmtId="170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5" fontId="12" numFmtId="0" xfId="0" applyAlignment="1" applyFill="1" applyFont="1">
      <alignment vertical="bottom"/>
    </xf>
    <xf borderId="0" fillId="6" fontId="5" numFmtId="0" xfId="0" applyAlignment="1" applyFill="1" applyFont="1">
      <alignment vertical="bottom"/>
    </xf>
    <xf borderId="0" fillId="6" fontId="8" numFmtId="167" xfId="0" applyAlignment="1" applyFont="1" applyNumberFormat="1">
      <alignment horizontal="right" vertical="bottom"/>
    </xf>
    <xf borderId="0" fillId="6" fontId="8" numFmtId="0" xfId="0" applyAlignment="1" applyFont="1">
      <alignment vertical="bottom"/>
    </xf>
    <xf borderId="0" fillId="6" fontId="8" numFmtId="0" xfId="0" applyAlignment="1" applyFont="1">
      <alignment horizontal="right" vertical="bottom"/>
    </xf>
    <xf borderId="0" fillId="6" fontId="5" numFmtId="166" xfId="0" applyAlignment="1" applyFont="1" applyNumberFormat="1">
      <alignment vertical="bottom"/>
    </xf>
    <xf borderId="0" fillId="6" fontId="8" numFmtId="166" xfId="0" applyAlignment="1" applyFont="1" applyNumberFormat="1">
      <alignment horizontal="right" vertical="bottom"/>
    </xf>
    <xf borderId="0" fillId="6" fontId="5" numFmtId="0" xfId="0" applyAlignment="1" applyFont="1">
      <alignment horizontal="right" vertical="bottom"/>
    </xf>
    <xf borderId="0" fillId="0" fontId="13" numFmtId="167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166" xfId="0" applyAlignment="1" applyFont="1" applyNumberFormat="1">
      <alignment shrinkToFit="0" vertical="bottom" wrapText="0"/>
    </xf>
    <xf borderId="0" fillId="0" fontId="13" numFmtId="166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8" xfId="0" applyAlignment="1" applyFont="1" applyNumberFormat="1">
      <alignment horizontal="right" readingOrder="0" shrinkToFit="0" vertical="bottom" wrapText="0"/>
    </xf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75"/>
    <col customWidth="1" min="2" max="2" width="12.38"/>
    <col customWidth="1" min="3" max="3" width="14.0"/>
    <col customWidth="1" min="5" max="5" width="88.5"/>
    <col customWidth="1" min="6" max="6" width="10.13"/>
    <col customWidth="1" min="16" max="16" width="7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>
      <c r="A2" s="4" t="s">
        <v>18</v>
      </c>
      <c r="B2" s="4" t="s">
        <v>19</v>
      </c>
      <c r="C2" s="5">
        <v>45833.0</v>
      </c>
      <c r="D2" s="5">
        <v>45834.0</v>
      </c>
      <c r="E2" s="4" t="s">
        <v>20</v>
      </c>
      <c r="F2" s="4">
        <v>574557.0</v>
      </c>
      <c r="G2" s="6"/>
      <c r="H2" s="7" t="s">
        <v>21</v>
      </c>
      <c r="I2" s="7" t="s">
        <v>21</v>
      </c>
      <c r="J2" s="1" t="s">
        <v>22</v>
      </c>
      <c r="K2" s="1" t="s">
        <v>23</v>
      </c>
      <c r="M2" s="2" t="s">
        <v>24</v>
      </c>
      <c r="N2" s="2" t="s">
        <v>25</v>
      </c>
      <c r="O2" s="2">
        <v>1.10751038E8</v>
      </c>
      <c r="Q2" s="8">
        <f t="array" ref="Q2:Q3027">IF(C2:C3027="",,YEAR(C2:C3027))</f>
        <v>2025</v>
      </c>
      <c r="R2" s="8" t="str">
        <f t="array" ref="R2:R3027">IF(C2:C3027="",,TEXT(C2:C3027,"MM"))</f>
        <v>06</v>
      </c>
    </row>
    <row r="3">
      <c r="A3" s="4" t="s">
        <v>18</v>
      </c>
      <c r="B3" s="4" t="s">
        <v>26</v>
      </c>
      <c r="C3" s="5">
        <v>45835.0</v>
      </c>
      <c r="D3" s="5">
        <v>45835.0</v>
      </c>
      <c r="E3" s="4" t="s">
        <v>27</v>
      </c>
      <c r="F3" s="9"/>
      <c r="G3" s="6"/>
      <c r="H3" s="7">
        <v>100.0</v>
      </c>
      <c r="I3" s="7" t="s">
        <v>28</v>
      </c>
      <c r="J3" s="1" t="s">
        <v>29</v>
      </c>
      <c r="K3" s="1" t="s">
        <v>23</v>
      </c>
      <c r="M3" s="2" t="s">
        <v>24</v>
      </c>
      <c r="N3" s="2" t="s">
        <v>25</v>
      </c>
      <c r="O3" s="2">
        <v>1.10751038E8</v>
      </c>
      <c r="Q3" s="8">
        <v>2025.0</v>
      </c>
      <c r="R3" s="8" t="s">
        <v>30</v>
      </c>
    </row>
    <row r="4">
      <c r="A4" s="4" t="s">
        <v>18</v>
      </c>
      <c r="B4" s="4" t="s">
        <v>31</v>
      </c>
      <c r="C4" s="10">
        <v>45840.0</v>
      </c>
      <c r="D4" s="10">
        <v>45840.0</v>
      </c>
      <c r="E4" s="4" t="s">
        <v>32</v>
      </c>
      <c r="F4" s="9"/>
      <c r="G4" s="6"/>
      <c r="H4" s="7">
        <v>50.0</v>
      </c>
      <c r="I4" s="7" t="s">
        <v>33</v>
      </c>
      <c r="J4" s="1" t="s">
        <v>29</v>
      </c>
      <c r="K4" s="1" t="s">
        <v>23</v>
      </c>
      <c r="M4" s="2" t="s">
        <v>24</v>
      </c>
      <c r="N4" s="2" t="s">
        <v>25</v>
      </c>
      <c r="O4" s="2">
        <v>1.10751038E8</v>
      </c>
      <c r="Q4" s="8">
        <v>2025.0</v>
      </c>
      <c r="R4" s="8" t="s">
        <v>34</v>
      </c>
    </row>
    <row r="5">
      <c r="A5" s="4" t="s">
        <v>18</v>
      </c>
      <c r="B5" s="4" t="s">
        <v>35</v>
      </c>
      <c r="C5" s="10">
        <v>45840.0</v>
      </c>
      <c r="D5" s="10">
        <v>45840.0</v>
      </c>
      <c r="E5" s="4" t="s">
        <v>36</v>
      </c>
      <c r="F5" s="9"/>
      <c r="G5" s="6"/>
      <c r="H5" s="7">
        <v>60.0</v>
      </c>
      <c r="I5" s="7" t="s">
        <v>37</v>
      </c>
      <c r="J5" s="1" t="s">
        <v>29</v>
      </c>
      <c r="K5" s="1" t="s">
        <v>23</v>
      </c>
      <c r="M5" s="2" t="s">
        <v>24</v>
      </c>
      <c r="N5" s="2" t="s">
        <v>25</v>
      </c>
      <c r="O5" s="2">
        <v>1.10751038E8</v>
      </c>
      <c r="Q5" s="8">
        <v>2025.0</v>
      </c>
      <c r="R5" s="8" t="s">
        <v>34</v>
      </c>
    </row>
    <row r="6">
      <c r="A6" s="4" t="s">
        <v>18</v>
      </c>
      <c r="B6" s="4" t="s">
        <v>38</v>
      </c>
      <c r="C6" s="10">
        <v>45840.0</v>
      </c>
      <c r="D6" s="10">
        <v>45840.0</v>
      </c>
      <c r="E6" s="4" t="s">
        <v>39</v>
      </c>
      <c r="F6" s="9"/>
      <c r="G6" s="6"/>
      <c r="H6" s="7">
        <v>70.0</v>
      </c>
      <c r="I6" s="7" t="s">
        <v>40</v>
      </c>
      <c r="J6" s="1" t="s">
        <v>29</v>
      </c>
      <c r="K6" s="1" t="s">
        <v>23</v>
      </c>
      <c r="M6" s="2" t="s">
        <v>24</v>
      </c>
      <c r="N6" s="2" t="s">
        <v>25</v>
      </c>
      <c r="O6" s="2">
        <v>1.10751038E8</v>
      </c>
      <c r="Q6" s="8">
        <v>2025.0</v>
      </c>
      <c r="R6" s="8" t="s">
        <v>34</v>
      </c>
    </row>
    <row r="7">
      <c r="A7" s="4" t="s">
        <v>18</v>
      </c>
      <c r="B7" s="4" t="s">
        <v>41</v>
      </c>
      <c r="C7" s="10">
        <v>45840.0</v>
      </c>
      <c r="D7" s="10">
        <v>45840.0</v>
      </c>
      <c r="E7" s="4" t="s">
        <v>42</v>
      </c>
      <c r="F7" s="9"/>
      <c r="G7" s="6"/>
      <c r="H7" s="7">
        <v>1.0</v>
      </c>
      <c r="I7" s="7" t="s">
        <v>43</v>
      </c>
      <c r="J7" s="1" t="s">
        <v>29</v>
      </c>
      <c r="K7" s="1" t="s">
        <v>23</v>
      </c>
      <c r="M7" s="2" t="s">
        <v>24</v>
      </c>
      <c r="N7" s="2" t="s">
        <v>25</v>
      </c>
      <c r="O7" s="2">
        <v>1.10751038E8</v>
      </c>
      <c r="Q7" s="8">
        <v>2025.0</v>
      </c>
      <c r="R7" s="8" t="s">
        <v>34</v>
      </c>
    </row>
    <row r="8">
      <c r="A8" s="4" t="s">
        <v>18</v>
      </c>
      <c r="B8" s="4" t="s">
        <v>44</v>
      </c>
      <c r="C8" s="10">
        <v>45841.0</v>
      </c>
      <c r="D8" s="10">
        <v>45841.0</v>
      </c>
      <c r="E8" s="4" t="s">
        <v>45</v>
      </c>
      <c r="F8" s="9"/>
      <c r="G8" s="6"/>
      <c r="H8" s="7">
        <v>10.0</v>
      </c>
      <c r="I8" s="7" t="s">
        <v>46</v>
      </c>
      <c r="J8" s="1" t="s">
        <v>29</v>
      </c>
      <c r="K8" s="1" t="s">
        <v>23</v>
      </c>
      <c r="M8" s="2" t="s">
        <v>24</v>
      </c>
      <c r="N8" s="2" t="s">
        <v>25</v>
      </c>
      <c r="O8" s="2">
        <v>1.10751038E8</v>
      </c>
      <c r="Q8" s="8">
        <v>2025.0</v>
      </c>
      <c r="R8" s="8" t="s">
        <v>34</v>
      </c>
    </row>
    <row r="9">
      <c r="A9" s="4" t="s">
        <v>18</v>
      </c>
      <c r="B9" s="4" t="s">
        <v>47</v>
      </c>
      <c r="C9" s="10">
        <v>45841.0</v>
      </c>
      <c r="D9" s="10">
        <v>45841.0</v>
      </c>
      <c r="E9" s="4" t="s">
        <v>48</v>
      </c>
      <c r="F9" s="9"/>
      <c r="G9" s="6"/>
      <c r="H9" s="7">
        <v>10.0</v>
      </c>
      <c r="I9" s="7" t="s">
        <v>49</v>
      </c>
      <c r="J9" s="1" t="s">
        <v>29</v>
      </c>
      <c r="K9" s="1" t="s">
        <v>23</v>
      </c>
      <c r="M9" s="2" t="s">
        <v>24</v>
      </c>
      <c r="N9" s="2" t="s">
        <v>25</v>
      </c>
      <c r="O9" s="2">
        <v>1.10751038E8</v>
      </c>
      <c r="Q9" s="8">
        <v>2025.0</v>
      </c>
      <c r="R9" s="8" t="s">
        <v>34</v>
      </c>
    </row>
    <row r="10">
      <c r="A10" s="4" t="s">
        <v>18</v>
      </c>
      <c r="B10" s="4" t="s">
        <v>50</v>
      </c>
      <c r="C10" s="10">
        <v>45841.0</v>
      </c>
      <c r="D10" s="10">
        <v>45841.0</v>
      </c>
      <c r="E10" s="4" t="s">
        <v>51</v>
      </c>
      <c r="F10" s="9"/>
      <c r="G10" s="6"/>
      <c r="H10" s="7">
        <v>10.0</v>
      </c>
      <c r="I10" s="7" t="s">
        <v>52</v>
      </c>
      <c r="J10" s="1" t="s">
        <v>29</v>
      </c>
      <c r="K10" s="1" t="s">
        <v>23</v>
      </c>
      <c r="M10" s="2" t="s">
        <v>24</v>
      </c>
      <c r="N10" s="2" t="s">
        <v>25</v>
      </c>
      <c r="O10" s="2">
        <v>1.10751038E8</v>
      </c>
      <c r="Q10" s="8">
        <v>2025.0</v>
      </c>
      <c r="R10" s="8" t="s">
        <v>34</v>
      </c>
    </row>
    <row r="11">
      <c r="A11" s="4" t="s">
        <v>18</v>
      </c>
      <c r="B11" s="4" t="s">
        <v>53</v>
      </c>
      <c r="C11" s="10">
        <v>45841.0</v>
      </c>
      <c r="D11" s="10">
        <v>45841.0</v>
      </c>
      <c r="E11" s="4" t="s">
        <v>54</v>
      </c>
      <c r="F11" s="9"/>
      <c r="G11" s="6"/>
      <c r="H11" s="7">
        <v>10.0</v>
      </c>
      <c r="I11" s="7" t="s">
        <v>55</v>
      </c>
      <c r="J11" s="1" t="s">
        <v>29</v>
      </c>
      <c r="K11" s="1" t="s">
        <v>23</v>
      </c>
      <c r="M11" s="2" t="s">
        <v>24</v>
      </c>
      <c r="N11" s="2" t="s">
        <v>25</v>
      </c>
      <c r="O11" s="2">
        <v>1.10751038E8</v>
      </c>
      <c r="Q11" s="8">
        <v>2025.0</v>
      </c>
      <c r="R11" s="8" t="s">
        <v>34</v>
      </c>
    </row>
    <row r="12">
      <c r="A12" s="4" t="s">
        <v>18</v>
      </c>
      <c r="B12" s="4" t="s">
        <v>56</v>
      </c>
      <c r="C12" s="10">
        <v>45842.0</v>
      </c>
      <c r="D12" s="10">
        <v>45842.0</v>
      </c>
      <c r="E12" s="4" t="s">
        <v>57</v>
      </c>
      <c r="F12" s="9"/>
      <c r="G12" s="6"/>
      <c r="H12" s="11">
        <v>1001.0</v>
      </c>
      <c r="I12" s="7" t="s">
        <v>58</v>
      </c>
      <c r="J12" s="1"/>
      <c r="K12" s="1" t="str">
        <f t="shared" ref="K12:K24" si="1">RIGHT(E12,6)</f>
        <v>UN3668</v>
      </c>
      <c r="L12" s="2" t="s">
        <v>59</v>
      </c>
      <c r="M12" s="2" t="s">
        <v>24</v>
      </c>
      <c r="N12" s="2" t="s">
        <v>60</v>
      </c>
      <c r="O12" s="2">
        <v>1.10751038E8</v>
      </c>
      <c r="Q12" s="8">
        <v>2025.0</v>
      </c>
      <c r="R12" s="8" t="s">
        <v>34</v>
      </c>
    </row>
    <row r="13">
      <c r="A13" s="4" t="s">
        <v>18</v>
      </c>
      <c r="B13" s="4" t="s">
        <v>61</v>
      </c>
      <c r="C13" s="10">
        <v>45842.0</v>
      </c>
      <c r="D13" s="10">
        <v>45842.0</v>
      </c>
      <c r="E13" s="4" t="s">
        <v>62</v>
      </c>
      <c r="F13" s="9"/>
      <c r="G13" s="6"/>
      <c r="H13" s="7">
        <v>832.0</v>
      </c>
      <c r="I13" s="7" t="s">
        <v>63</v>
      </c>
      <c r="J13" s="1"/>
      <c r="K13" s="1" t="str">
        <f t="shared" si="1"/>
        <v>SL1610</v>
      </c>
      <c r="L13" s="2" t="s">
        <v>64</v>
      </c>
      <c r="M13" s="2" t="s">
        <v>24</v>
      </c>
      <c r="N13" s="2" t="s">
        <v>60</v>
      </c>
      <c r="O13" s="2">
        <v>1.10751038E8</v>
      </c>
      <c r="Q13" s="8">
        <v>2025.0</v>
      </c>
      <c r="R13" s="8" t="s">
        <v>34</v>
      </c>
    </row>
    <row r="14">
      <c r="A14" s="4" t="s">
        <v>18</v>
      </c>
      <c r="B14" s="4" t="s">
        <v>65</v>
      </c>
      <c r="C14" s="10">
        <v>45842.0</v>
      </c>
      <c r="D14" s="10">
        <v>45842.0</v>
      </c>
      <c r="E14" s="4" t="s">
        <v>66</v>
      </c>
      <c r="F14" s="9"/>
      <c r="G14" s="6"/>
      <c r="H14" s="7">
        <v>746.0</v>
      </c>
      <c r="I14" s="7" t="s">
        <v>67</v>
      </c>
      <c r="J14" s="1"/>
      <c r="K14" s="1" t="str">
        <f t="shared" si="1"/>
        <v>SL1610</v>
      </c>
      <c r="L14" s="2" t="s">
        <v>68</v>
      </c>
      <c r="M14" s="2" t="s">
        <v>24</v>
      </c>
      <c r="N14" s="2" t="s">
        <v>60</v>
      </c>
      <c r="O14" s="2">
        <v>1.10751038E8</v>
      </c>
      <c r="Q14" s="8">
        <v>2025.0</v>
      </c>
      <c r="R14" s="8" t="s">
        <v>34</v>
      </c>
    </row>
    <row r="15">
      <c r="A15" s="4" t="s">
        <v>18</v>
      </c>
      <c r="B15" s="4" t="s">
        <v>69</v>
      </c>
      <c r="C15" s="10">
        <v>45842.0</v>
      </c>
      <c r="D15" s="10">
        <v>45842.0</v>
      </c>
      <c r="E15" s="4" t="s">
        <v>70</v>
      </c>
      <c r="F15" s="9"/>
      <c r="G15" s="6"/>
      <c r="H15" s="7">
        <v>109.0</v>
      </c>
      <c r="I15" s="7" t="s">
        <v>71</v>
      </c>
      <c r="J15" s="1"/>
      <c r="K15" s="1" t="str">
        <f t="shared" si="1"/>
        <v>SC3567</v>
      </c>
      <c r="L15" s="2" t="s">
        <v>72</v>
      </c>
      <c r="M15" s="2" t="s">
        <v>24</v>
      </c>
      <c r="N15" s="2" t="s">
        <v>60</v>
      </c>
      <c r="O15" s="2">
        <v>1.10751038E8</v>
      </c>
      <c r="Q15" s="8">
        <v>2025.0</v>
      </c>
      <c r="R15" s="8" t="s">
        <v>34</v>
      </c>
    </row>
    <row r="16">
      <c r="A16" s="4" t="s">
        <v>18</v>
      </c>
      <c r="B16" s="4" t="s">
        <v>73</v>
      </c>
      <c r="C16" s="10">
        <v>45842.0</v>
      </c>
      <c r="D16" s="10">
        <v>45842.0</v>
      </c>
      <c r="E16" s="4" t="s">
        <v>74</v>
      </c>
      <c r="F16" s="9"/>
      <c r="G16" s="6"/>
      <c r="H16" s="7">
        <v>274.0</v>
      </c>
      <c r="I16" s="7" t="s">
        <v>75</v>
      </c>
      <c r="J16" s="1"/>
      <c r="K16" s="1" t="str">
        <f t="shared" si="1"/>
        <v>SC3567</v>
      </c>
      <c r="L16" s="2" t="s">
        <v>76</v>
      </c>
      <c r="M16" s="2" t="s">
        <v>24</v>
      </c>
      <c r="N16" s="2" t="s">
        <v>60</v>
      </c>
      <c r="O16" s="2">
        <v>1.10751038E8</v>
      </c>
      <c r="Q16" s="8">
        <v>2025.0</v>
      </c>
      <c r="R16" s="8" t="s">
        <v>34</v>
      </c>
    </row>
    <row r="17">
      <c r="A17" s="4" t="s">
        <v>18</v>
      </c>
      <c r="B17" s="4" t="s">
        <v>77</v>
      </c>
      <c r="C17" s="10">
        <v>45842.0</v>
      </c>
      <c r="D17" s="10">
        <v>45842.0</v>
      </c>
      <c r="E17" s="4" t="s">
        <v>78</v>
      </c>
      <c r="F17" s="9"/>
      <c r="G17" s="6"/>
      <c r="H17" s="7">
        <v>439.0</v>
      </c>
      <c r="I17" s="7" t="s">
        <v>79</v>
      </c>
      <c r="J17" s="1"/>
      <c r="K17" s="1" t="str">
        <f t="shared" si="1"/>
        <v>SC3567</v>
      </c>
      <c r="L17" s="2" t="s">
        <v>80</v>
      </c>
      <c r="M17" s="2" t="s">
        <v>24</v>
      </c>
      <c r="N17" s="2" t="s">
        <v>60</v>
      </c>
      <c r="O17" s="2">
        <v>1.10751038E8</v>
      </c>
      <c r="Q17" s="8">
        <v>2025.0</v>
      </c>
      <c r="R17" s="8" t="s">
        <v>34</v>
      </c>
    </row>
    <row r="18">
      <c r="A18" s="4" t="s">
        <v>18</v>
      </c>
      <c r="B18" s="4" t="s">
        <v>81</v>
      </c>
      <c r="C18" s="10">
        <v>45842.0</v>
      </c>
      <c r="D18" s="10">
        <v>45842.0</v>
      </c>
      <c r="E18" s="4" t="s">
        <v>82</v>
      </c>
      <c r="F18" s="9"/>
      <c r="G18" s="6"/>
      <c r="H18" s="7">
        <v>520.0</v>
      </c>
      <c r="I18" s="7" t="s">
        <v>83</v>
      </c>
      <c r="J18" s="1"/>
      <c r="K18" s="1" t="str">
        <f t="shared" si="1"/>
        <v>UN3668</v>
      </c>
      <c r="L18" s="2" t="s">
        <v>84</v>
      </c>
      <c r="M18" s="2" t="s">
        <v>24</v>
      </c>
      <c r="N18" s="2" t="s">
        <v>60</v>
      </c>
      <c r="O18" s="2">
        <v>1.10751038E8</v>
      </c>
      <c r="Q18" s="8">
        <v>2025.0</v>
      </c>
      <c r="R18" s="8" t="s">
        <v>34</v>
      </c>
    </row>
    <row r="19">
      <c r="A19" s="4" t="s">
        <v>18</v>
      </c>
      <c r="B19" s="4" t="s">
        <v>85</v>
      </c>
      <c r="C19" s="10">
        <v>45843.0</v>
      </c>
      <c r="D19" s="10">
        <v>45843.0</v>
      </c>
      <c r="E19" s="4" t="s">
        <v>86</v>
      </c>
      <c r="F19" s="9"/>
      <c r="G19" s="6"/>
      <c r="H19" s="7">
        <v>465.0</v>
      </c>
      <c r="I19" s="7" t="s">
        <v>87</v>
      </c>
      <c r="J19" s="1"/>
      <c r="K19" s="1" t="str">
        <f t="shared" si="1"/>
        <v>SL1610</v>
      </c>
      <c r="L19" s="2" t="s">
        <v>88</v>
      </c>
      <c r="M19" s="2" t="s">
        <v>24</v>
      </c>
      <c r="N19" s="2" t="s">
        <v>60</v>
      </c>
      <c r="O19" s="2">
        <v>1.10751038E8</v>
      </c>
      <c r="Q19" s="8">
        <v>2025.0</v>
      </c>
      <c r="R19" s="8" t="s">
        <v>34</v>
      </c>
    </row>
    <row r="20">
      <c r="A20" s="4" t="s">
        <v>18</v>
      </c>
      <c r="B20" s="4" t="s">
        <v>89</v>
      </c>
      <c r="C20" s="10">
        <v>45843.0</v>
      </c>
      <c r="D20" s="10">
        <v>45843.0</v>
      </c>
      <c r="E20" s="4" t="s">
        <v>90</v>
      </c>
      <c r="F20" s="9"/>
      <c r="G20" s="6"/>
      <c r="H20" s="7">
        <v>977.0</v>
      </c>
      <c r="I20" s="7" t="s">
        <v>91</v>
      </c>
      <c r="J20" s="1"/>
      <c r="K20" s="1" t="str">
        <f t="shared" si="1"/>
        <v>SL1610</v>
      </c>
      <c r="L20" s="2" t="s">
        <v>92</v>
      </c>
      <c r="M20" s="2" t="s">
        <v>24</v>
      </c>
      <c r="N20" s="2" t="s">
        <v>60</v>
      </c>
      <c r="O20" s="2">
        <v>1.10751038E8</v>
      </c>
      <c r="Q20" s="8">
        <v>2025.0</v>
      </c>
      <c r="R20" s="8" t="s">
        <v>34</v>
      </c>
    </row>
    <row r="21">
      <c r="A21" s="4" t="s">
        <v>18</v>
      </c>
      <c r="B21" s="4" t="s">
        <v>93</v>
      </c>
      <c r="C21" s="10">
        <v>45843.0</v>
      </c>
      <c r="D21" s="10">
        <v>45843.0</v>
      </c>
      <c r="E21" s="4" t="s">
        <v>94</v>
      </c>
      <c r="F21" s="9"/>
      <c r="G21" s="6"/>
      <c r="H21" s="7">
        <v>797.0</v>
      </c>
      <c r="I21" s="7" t="s">
        <v>95</v>
      </c>
      <c r="J21" s="1"/>
      <c r="K21" s="1" t="str">
        <f t="shared" si="1"/>
        <v>SC3567</v>
      </c>
      <c r="L21" s="2" t="s">
        <v>96</v>
      </c>
      <c r="M21" s="2" t="s">
        <v>24</v>
      </c>
      <c r="N21" s="2" t="s">
        <v>60</v>
      </c>
      <c r="O21" s="2">
        <v>1.10751038E8</v>
      </c>
      <c r="Q21" s="8">
        <v>2025.0</v>
      </c>
      <c r="R21" s="8" t="s">
        <v>34</v>
      </c>
    </row>
    <row r="22">
      <c r="A22" s="4" t="s">
        <v>18</v>
      </c>
      <c r="B22" s="4" t="s">
        <v>97</v>
      </c>
      <c r="C22" s="10">
        <v>45843.0</v>
      </c>
      <c r="D22" s="10">
        <v>45843.0</v>
      </c>
      <c r="E22" s="4" t="s">
        <v>98</v>
      </c>
      <c r="F22" s="9"/>
      <c r="G22" s="6"/>
      <c r="H22" s="11">
        <v>1190.0</v>
      </c>
      <c r="I22" s="7" t="s">
        <v>99</v>
      </c>
      <c r="J22" s="1"/>
      <c r="K22" s="1" t="str">
        <f t="shared" si="1"/>
        <v>UN3668</v>
      </c>
      <c r="L22" s="2" t="s">
        <v>100</v>
      </c>
      <c r="M22" s="2" t="s">
        <v>24</v>
      </c>
      <c r="N22" s="2" t="s">
        <v>60</v>
      </c>
      <c r="O22" s="2">
        <v>1.10751038E8</v>
      </c>
      <c r="Q22" s="8">
        <v>2025.0</v>
      </c>
      <c r="R22" s="8" t="s">
        <v>34</v>
      </c>
    </row>
    <row r="23">
      <c r="A23" s="4" t="s">
        <v>18</v>
      </c>
      <c r="B23" s="4" t="s">
        <v>101</v>
      </c>
      <c r="C23" s="10">
        <v>45844.0</v>
      </c>
      <c r="D23" s="10">
        <v>45844.0</v>
      </c>
      <c r="E23" s="4" t="s">
        <v>102</v>
      </c>
      <c r="F23" s="9"/>
      <c r="G23" s="6"/>
      <c r="H23" s="7">
        <v>320.0</v>
      </c>
      <c r="I23" s="7" t="s">
        <v>103</v>
      </c>
      <c r="J23" s="1"/>
      <c r="K23" s="1" t="str">
        <f t="shared" si="1"/>
        <v>UN3668</v>
      </c>
      <c r="L23" s="2" t="s">
        <v>104</v>
      </c>
      <c r="M23" s="2" t="s">
        <v>24</v>
      </c>
      <c r="N23" s="2" t="s">
        <v>60</v>
      </c>
      <c r="O23" s="2">
        <v>1.10751038E8</v>
      </c>
      <c r="Q23" s="8">
        <v>2025.0</v>
      </c>
      <c r="R23" s="8" t="s">
        <v>34</v>
      </c>
    </row>
    <row r="24">
      <c r="A24" s="4" t="s">
        <v>18</v>
      </c>
      <c r="B24" s="4" t="s">
        <v>105</v>
      </c>
      <c r="C24" s="10">
        <v>45844.0</v>
      </c>
      <c r="D24" s="10">
        <v>45844.0</v>
      </c>
      <c r="E24" s="4" t="s">
        <v>106</v>
      </c>
      <c r="F24" s="9"/>
      <c r="G24" s="6"/>
      <c r="H24" s="7">
        <v>648.0</v>
      </c>
      <c r="I24" s="7" t="s">
        <v>107</v>
      </c>
      <c r="J24" s="1"/>
      <c r="K24" s="1" t="str">
        <f t="shared" si="1"/>
        <v>UN3668</v>
      </c>
      <c r="L24" s="2" t="s">
        <v>108</v>
      </c>
      <c r="M24" s="2" t="s">
        <v>24</v>
      </c>
      <c r="N24" s="2" t="s">
        <v>60</v>
      </c>
      <c r="O24" s="2">
        <v>1.10751038E8</v>
      </c>
      <c r="Q24" s="8">
        <v>2025.0</v>
      </c>
      <c r="R24" s="8" t="s">
        <v>34</v>
      </c>
    </row>
    <row r="25">
      <c r="A25" s="4" t="s">
        <v>18</v>
      </c>
      <c r="B25" s="4" t="s">
        <v>109</v>
      </c>
      <c r="C25" s="10">
        <v>45844.0</v>
      </c>
      <c r="D25" s="10">
        <v>45844.0</v>
      </c>
      <c r="E25" s="4" t="s">
        <v>110</v>
      </c>
      <c r="F25" s="9"/>
      <c r="G25" s="11">
        <v>29000.0</v>
      </c>
      <c r="H25" s="6"/>
      <c r="I25" s="7" t="s">
        <v>111</v>
      </c>
      <c r="J25" s="1" t="s">
        <v>112</v>
      </c>
      <c r="K25" s="1" t="s">
        <v>113</v>
      </c>
      <c r="M25" s="2" t="s">
        <v>114</v>
      </c>
      <c r="N25" s="2" t="s">
        <v>115</v>
      </c>
      <c r="O25" s="2">
        <v>1.10751038E8</v>
      </c>
      <c r="Q25" s="8">
        <v>2025.0</v>
      </c>
      <c r="R25" s="8" t="s">
        <v>34</v>
      </c>
    </row>
    <row r="26">
      <c r="A26" s="4" t="s">
        <v>18</v>
      </c>
      <c r="B26" s="4" t="s">
        <v>116</v>
      </c>
      <c r="C26" s="10">
        <v>45844.0</v>
      </c>
      <c r="D26" s="10">
        <v>45844.0</v>
      </c>
      <c r="E26" s="4" t="s">
        <v>117</v>
      </c>
      <c r="F26" s="9"/>
      <c r="G26" s="11">
        <v>10000.0</v>
      </c>
      <c r="H26" s="6"/>
      <c r="I26" s="7" t="s">
        <v>118</v>
      </c>
      <c r="J26" s="1" t="s">
        <v>112</v>
      </c>
      <c r="K26" s="1" t="s">
        <v>119</v>
      </c>
      <c r="M26" s="2" t="s">
        <v>114</v>
      </c>
      <c r="N26" s="2" t="s">
        <v>115</v>
      </c>
      <c r="O26" s="2">
        <v>1.10751038E8</v>
      </c>
      <c r="Q26" s="8">
        <v>2025.0</v>
      </c>
      <c r="R26" s="8" t="s">
        <v>34</v>
      </c>
    </row>
    <row r="27">
      <c r="A27" s="4" t="s">
        <v>18</v>
      </c>
      <c r="B27" s="4" t="s">
        <v>120</v>
      </c>
      <c r="C27" s="10">
        <v>45844.0</v>
      </c>
      <c r="D27" s="10">
        <v>45844.0</v>
      </c>
      <c r="E27" s="4" t="s">
        <v>121</v>
      </c>
      <c r="F27" s="9"/>
      <c r="G27" s="11">
        <v>40120.0</v>
      </c>
      <c r="H27" s="6"/>
      <c r="I27" s="7" t="s">
        <v>122</v>
      </c>
      <c r="J27" s="1" t="s">
        <v>112</v>
      </c>
      <c r="K27" s="1" t="s">
        <v>123</v>
      </c>
      <c r="M27" s="2" t="s">
        <v>114</v>
      </c>
      <c r="N27" s="2" t="s">
        <v>115</v>
      </c>
      <c r="O27" s="2">
        <v>1.10751038E8</v>
      </c>
      <c r="Q27" s="8">
        <v>2025.0</v>
      </c>
      <c r="R27" s="8" t="s">
        <v>34</v>
      </c>
    </row>
    <row r="28">
      <c r="A28" s="4" t="s">
        <v>18</v>
      </c>
      <c r="B28" s="4" t="s">
        <v>124</v>
      </c>
      <c r="C28" s="10">
        <v>45844.0</v>
      </c>
      <c r="D28" s="10">
        <v>45844.0</v>
      </c>
      <c r="E28" s="4" t="s">
        <v>125</v>
      </c>
      <c r="F28" s="9"/>
      <c r="G28" s="11">
        <v>27000.0</v>
      </c>
      <c r="H28" s="6"/>
      <c r="I28" s="7" t="s">
        <v>126</v>
      </c>
      <c r="J28" s="1" t="s">
        <v>112</v>
      </c>
      <c r="K28" s="1" t="s">
        <v>127</v>
      </c>
      <c r="M28" s="2" t="s">
        <v>114</v>
      </c>
      <c r="N28" s="2" t="s">
        <v>115</v>
      </c>
      <c r="O28" s="2">
        <v>1.10751038E8</v>
      </c>
      <c r="Q28" s="8">
        <v>2025.0</v>
      </c>
      <c r="R28" s="8" t="s">
        <v>34</v>
      </c>
    </row>
    <row r="29">
      <c r="A29" s="4" t="s">
        <v>18</v>
      </c>
      <c r="B29" s="4" t="s">
        <v>128</v>
      </c>
      <c r="C29" s="10">
        <v>45844.0</v>
      </c>
      <c r="D29" s="10">
        <v>45844.0</v>
      </c>
      <c r="E29" s="4" t="s">
        <v>129</v>
      </c>
      <c r="F29" s="9"/>
      <c r="G29" s="6"/>
      <c r="H29" s="11">
        <v>1356.0</v>
      </c>
      <c r="I29" s="7" t="s">
        <v>130</v>
      </c>
      <c r="J29" s="1"/>
      <c r="K29" s="1" t="str">
        <f t="shared" ref="K29:K37" si="2">RIGHT(E29,6)</f>
        <v>SC3567</v>
      </c>
      <c r="L29" s="2" t="s">
        <v>131</v>
      </c>
      <c r="M29" s="2" t="s">
        <v>24</v>
      </c>
      <c r="N29" s="2" t="s">
        <v>60</v>
      </c>
      <c r="O29" s="2">
        <v>1.10751038E8</v>
      </c>
      <c r="Q29" s="8">
        <v>2025.0</v>
      </c>
      <c r="R29" s="8" t="s">
        <v>34</v>
      </c>
    </row>
    <row r="30">
      <c r="A30" s="4" t="s">
        <v>18</v>
      </c>
      <c r="B30" s="4" t="s">
        <v>132</v>
      </c>
      <c r="C30" s="10">
        <v>45844.0</v>
      </c>
      <c r="D30" s="10">
        <v>45844.0</v>
      </c>
      <c r="E30" s="4" t="s">
        <v>133</v>
      </c>
      <c r="F30" s="9"/>
      <c r="G30" s="6"/>
      <c r="H30" s="7">
        <v>351.0</v>
      </c>
      <c r="I30" s="7" t="s">
        <v>134</v>
      </c>
      <c r="J30" s="1"/>
      <c r="K30" s="1" t="str">
        <f t="shared" si="2"/>
        <v>UN3668</v>
      </c>
      <c r="L30" s="2" t="s">
        <v>135</v>
      </c>
      <c r="M30" s="2" t="s">
        <v>24</v>
      </c>
      <c r="N30" s="2" t="s">
        <v>60</v>
      </c>
      <c r="O30" s="2">
        <v>1.10751038E8</v>
      </c>
      <c r="Q30" s="8">
        <v>2025.0</v>
      </c>
      <c r="R30" s="8" t="s">
        <v>34</v>
      </c>
    </row>
    <row r="31">
      <c r="A31" s="4" t="s">
        <v>18</v>
      </c>
      <c r="B31" s="4" t="s">
        <v>136</v>
      </c>
      <c r="C31" s="10">
        <v>45844.0</v>
      </c>
      <c r="D31" s="10">
        <v>45844.0</v>
      </c>
      <c r="E31" s="4" t="s">
        <v>137</v>
      </c>
      <c r="F31" s="9"/>
      <c r="G31" s="6"/>
      <c r="H31" s="7">
        <v>800.0</v>
      </c>
      <c r="I31" s="7" t="s">
        <v>138</v>
      </c>
      <c r="J31" s="1"/>
      <c r="K31" s="1" t="str">
        <f t="shared" si="2"/>
        <v>UN3668</v>
      </c>
      <c r="L31" s="2" t="s">
        <v>139</v>
      </c>
      <c r="M31" s="2" t="s">
        <v>24</v>
      </c>
      <c r="N31" s="2" t="s">
        <v>60</v>
      </c>
      <c r="O31" s="2">
        <v>1.10751038E8</v>
      </c>
      <c r="Q31" s="8">
        <v>2025.0</v>
      </c>
      <c r="R31" s="8" t="s">
        <v>34</v>
      </c>
    </row>
    <row r="32">
      <c r="A32" s="4" t="s">
        <v>18</v>
      </c>
      <c r="B32" s="4" t="s">
        <v>140</v>
      </c>
      <c r="C32" s="10">
        <v>45844.0</v>
      </c>
      <c r="D32" s="10">
        <v>45844.0</v>
      </c>
      <c r="E32" s="4" t="s">
        <v>141</v>
      </c>
      <c r="F32" s="9"/>
      <c r="G32" s="6"/>
      <c r="H32" s="7">
        <v>650.0</v>
      </c>
      <c r="I32" s="7" t="s">
        <v>142</v>
      </c>
      <c r="J32" s="1"/>
      <c r="K32" s="1" t="str">
        <f t="shared" si="2"/>
        <v>KN3817</v>
      </c>
      <c r="L32" s="2" t="s">
        <v>143</v>
      </c>
      <c r="M32" s="2" t="s">
        <v>24</v>
      </c>
      <c r="N32" s="2" t="s">
        <v>60</v>
      </c>
      <c r="O32" s="2">
        <v>1.10751038E8</v>
      </c>
      <c r="Q32" s="8">
        <v>2025.0</v>
      </c>
      <c r="R32" s="8" t="s">
        <v>34</v>
      </c>
    </row>
    <row r="33">
      <c r="A33" s="4" t="s">
        <v>18</v>
      </c>
      <c r="B33" s="4" t="s">
        <v>144</v>
      </c>
      <c r="C33" s="10">
        <v>45844.0</v>
      </c>
      <c r="D33" s="10">
        <v>45844.0</v>
      </c>
      <c r="E33" s="4" t="s">
        <v>145</v>
      </c>
      <c r="F33" s="9"/>
      <c r="G33" s="6"/>
      <c r="H33" s="7">
        <v>156.0</v>
      </c>
      <c r="I33" s="7" t="s">
        <v>146</v>
      </c>
      <c r="J33" s="1"/>
      <c r="K33" s="1" t="str">
        <f t="shared" si="2"/>
        <v>UN3668</v>
      </c>
      <c r="L33" s="2" t="s">
        <v>147</v>
      </c>
      <c r="M33" s="2" t="s">
        <v>24</v>
      </c>
      <c r="N33" s="2" t="s">
        <v>60</v>
      </c>
      <c r="O33" s="2">
        <v>1.10751038E8</v>
      </c>
      <c r="Q33" s="8">
        <v>2025.0</v>
      </c>
      <c r="R33" s="8" t="s">
        <v>34</v>
      </c>
    </row>
    <row r="34">
      <c r="A34" s="4" t="s">
        <v>18</v>
      </c>
      <c r="B34" s="4" t="s">
        <v>148</v>
      </c>
      <c r="C34" s="10">
        <v>45844.0</v>
      </c>
      <c r="D34" s="10">
        <v>45844.0</v>
      </c>
      <c r="E34" s="4" t="s">
        <v>149</v>
      </c>
      <c r="F34" s="9"/>
      <c r="G34" s="6"/>
      <c r="H34" s="7">
        <v>260.0</v>
      </c>
      <c r="I34" s="7" t="s">
        <v>150</v>
      </c>
      <c r="J34" s="1"/>
      <c r="K34" s="1" t="str">
        <f t="shared" si="2"/>
        <v>UN3668</v>
      </c>
      <c r="L34" s="2" t="s">
        <v>151</v>
      </c>
      <c r="M34" s="2" t="s">
        <v>24</v>
      </c>
      <c r="N34" s="2" t="s">
        <v>60</v>
      </c>
      <c r="O34" s="2">
        <v>1.10751038E8</v>
      </c>
      <c r="Q34" s="8">
        <v>2025.0</v>
      </c>
      <c r="R34" s="8" t="s">
        <v>34</v>
      </c>
    </row>
    <row r="35">
      <c r="A35" s="4" t="s">
        <v>18</v>
      </c>
      <c r="B35" s="4" t="s">
        <v>152</v>
      </c>
      <c r="C35" s="10">
        <v>45844.0</v>
      </c>
      <c r="D35" s="10">
        <v>45844.0</v>
      </c>
      <c r="E35" s="4" t="s">
        <v>153</v>
      </c>
      <c r="F35" s="9"/>
      <c r="G35" s="6"/>
      <c r="H35" s="7">
        <v>351.0</v>
      </c>
      <c r="I35" s="7" t="s">
        <v>154</v>
      </c>
      <c r="K35" s="1" t="str">
        <f t="shared" si="2"/>
        <v>UN3668</v>
      </c>
      <c r="L35" s="2" t="s">
        <v>135</v>
      </c>
      <c r="M35" s="2" t="s">
        <v>24</v>
      </c>
      <c r="N35" s="2" t="s">
        <v>60</v>
      </c>
      <c r="O35" s="2">
        <v>1.10751038E8</v>
      </c>
      <c r="Q35" s="8">
        <v>2025.0</v>
      </c>
      <c r="R35" s="8" t="s">
        <v>34</v>
      </c>
    </row>
    <row r="36">
      <c r="A36" s="4" t="s">
        <v>18</v>
      </c>
      <c r="B36" s="4" t="s">
        <v>155</v>
      </c>
      <c r="C36" s="10">
        <v>45845.0</v>
      </c>
      <c r="D36" s="10">
        <v>45845.0</v>
      </c>
      <c r="E36" s="4" t="s">
        <v>156</v>
      </c>
      <c r="F36" s="9"/>
      <c r="G36" s="6"/>
      <c r="H36" s="11">
        <v>1310.0</v>
      </c>
      <c r="I36" s="7" t="s">
        <v>157</v>
      </c>
      <c r="K36" s="1" t="str">
        <f t="shared" si="2"/>
        <v>UN3668</v>
      </c>
      <c r="L36" s="2" t="s">
        <v>158</v>
      </c>
      <c r="M36" s="2" t="s">
        <v>24</v>
      </c>
      <c r="N36" s="2" t="s">
        <v>60</v>
      </c>
      <c r="O36" s="2">
        <v>1.10751038E8</v>
      </c>
      <c r="Q36" s="8">
        <v>2025.0</v>
      </c>
      <c r="R36" s="8" t="s">
        <v>34</v>
      </c>
    </row>
    <row r="37">
      <c r="A37" s="4" t="s">
        <v>18</v>
      </c>
      <c r="B37" s="4" t="s">
        <v>159</v>
      </c>
      <c r="C37" s="10">
        <v>45845.0</v>
      </c>
      <c r="D37" s="10">
        <v>45845.0</v>
      </c>
      <c r="E37" s="4" t="s">
        <v>160</v>
      </c>
      <c r="F37" s="9"/>
      <c r="G37" s="6"/>
      <c r="H37" s="11">
        <v>1131.0</v>
      </c>
      <c r="I37" s="7" t="s">
        <v>161</v>
      </c>
      <c r="K37" s="1" t="str">
        <f t="shared" si="2"/>
        <v>UN3668</v>
      </c>
      <c r="L37" s="2" t="s">
        <v>162</v>
      </c>
      <c r="M37" s="2" t="s">
        <v>24</v>
      </c>
      <c r="N37" s="2" t="s">
        <v>60</v>
      </c>
      <c r="O37" s="2">
        <v>1.10751038E8</v>
      </c>
      <c r="Q37" s="8">
        <v>2025.0</v>
      </c>
      <c r="R37" s="8" t="s">
        <v>34</v>
      </c>
    </row>
    <row r="38">
      <c r="A38" s="4" t="s">
        <v>18</v>
      </c>
      <c r="B38" s="4" t="s">
        <v>163</v>
      </c>
      <c r="C38" s="10">
        <v>45845.0</v>
      </c>
      <c r="D38" s="10">
        <v>45845.0</v>
      </c>
      <c r="E38" s="4" t="s">
        <v>164</v>
      </c>
      <c r="F38" s="9"/>
      <c r="G38" s="6"/>
      <c r="H38" s="11">
        <v>49000.0</v>
      </c>
      <c r="I38" s="7" t="s">
        <v>165</v>
      </c>
      <c r="J38" s="2" t="s">
        <v>25</v>
      </c>
      <c r="K38" s="1" t="s">
        <v>23</v>
      </c>
      <c r="M38" s="2" t="s">
        <v>24</v>
      </c>
      <c r="N38" s="2" t="s">
        <v>25</v>
      </c>
      <c r="O38" s="2">
        <v>1.10751038E8</v>
      </c>
      <c r="Q38" s="8">
        <v>2025.0</v>
      </c>
      <c r="R38" s="8" t="s">
        <v>34</v>
      </c>
    </row>
    <row r="39">
      <c r="A39" s="4" t="s">
        <v>18</v>
      </c>
      <c r="B39" s="4" t="s">
        <v>166</v>
      </c>
      <c r="C39" s="10">
        <v>45845.0</v>
      </c>
      <c r="D39" s="10">
        <v>45845.0</v>
      </c>
      <c r="E39" s="4" t="s">
        <v>167</v>
      </c>
      <c r="F39" s="9"/>
      <c r="G39" s="11">
        <v>17900.0</v>
      </c>
      <c r="H39" s="6"/>
      <c r="I39" s="7" t="s">
        <v>168</v>
      </c>
      <c r="J39" s="2" t="s">
        <v>169</v>
      </c>
      <c r="K39" s="1" t="s">
        <v>119</v>
      </c>
      <c r="M39" s="2" t="s">
        <v>114</v>
      </c>
      <c r="N39" s="2" t="s">
        <v>169</v>
      </c>
      <c r="O39" s="2">
        <v>1.10751038E8</v>
      </c>
      <c r="Q39" s="8">
        <v>2025.0</v>
      </c>
      <c r="R39" s="8" t="s">
        <v>34</v>
      </c>
    </row>
    <row r="40">
      <c r="A40" s="4" t="s">
        <v>18</v>
      </c>
      <c r="B40" s="4" t="s">
        <v>170</v>
      </c>
      <c r="C40" s="10">
        <v>45845.0</v>
      </c>
      <c r="D40" s="10">
        <v>45845.0</v>
      </c>
      <c r="E40" s="4" t="s">
        <v>171</v>
      </c>
      <c r="F40" s="9"/>
      <c r="G40" s="11">
        <v>18450.0</v>
      </c>
      <c r="H40" s="6"/>
      <c r="I40" s="7" t="s">
        <v>172</v>
      </c>
      <c r="J40" s="2" t="s">
        <v>169</v>
      </c>
      <c r="K40" s="1" t="s">
        <v>119</v>
      </c>
      <c r="M40" s="2" t="s">
        <v>114</v>
      </c>
      <c r="N40" s="2" t="s">
        <v>169</v>
      </c>
      <c r="O40" s="2">
        <v>1.10751038E8</v>
      </c>
      <c r="Q40" s="8">
        <v>2025.0</v>
      </c>
      <c r="R40" s="8" t="s">
        <v>34</v>
      </c>
    </row>
    <row r="41">
      <c r="A41" s="4" t="s">
        <v>18</v>
      </c>
      <c r="B41" s="4" t="s">
        <v>173</v>
      </c>
      <c r="C41" s="10">
        <v>45845.0</v>
      </c>
      <c r="D41" s="10">
        <v>45845.0</v>
      </c>
      <c r="E41" s="4" t="s">
        <v>174</v>
      </c>
      <c r="F41" s="9"/>
      <c r="G41" s="11">
        <v>8434.0</v>
      </c>
      <c r="H41" s="6"/>
      <c r="I41" s="7" t="s">
        <v>175</v>
      </c>
      <c r="J41" s="2" t="s">
        <v>169</v>
      </c>
      <c r="K41" s="1" t="s">
        <v>123</v>
      </c>
      <c r="M41" s="2" t="s">
        <v>114</v>
      </c>
      <c r="N41" s="2" t="s">
        <v>169</v>
      </c>
      <c r="O41" s="2">
        <v>1.10751038E8</v>
      </c>
      <c r="Q41" s="8">
        <v>2025.0</v>
      </c>
      <c r="R41" s="8" t="s">
        <v>34</v>
      </c>
    </row>
    <row r="42">
      <c r="A42" s="4" t="s">
        <v>18</v>
      </c>
      <c r="B42" s="4" t="s">
        <v>176</v>
      </c>
      <c r="C42" s="10">
        <v>45845.0</v>
      </c>
      <c r="D42" s="10">
        <v>45845.0</v>
      </c>
      <c r="E42" s="4" t="s">
        <v>177</v>
      </c>
      <c r="F42" s="9"/>
      <c r="G42" s="11">
        <v>17398.0</v>
      </c>
      <c r="H42" s="6"/>
      <c r="I42" s="11">
        <v>95702.0</v>
      </c>
      <c r="J42" s="2" t="s">
        <v>169</v>
      </c>
      <c r="K42" s="1" t="s">
        <v>123</v>
      </c>
      <c r="M42" s="2" t="s">
        <v>114</v>
      </c>
      <c r="N42" s="2" t="s">
        <v>169</v>
      </c>
      <c r="O42" s="2">
        <v>1.10751038E8</v>
      </c>
      <c r="Q42" s="8">
        <v>2025.0</v>
      </c>
      <c r="R42" s="8" t="s">
        <v>34</v>
      </c>
    </row>
    <row r="43">
      <c r="A43" s="4" t="s">
        <v>18</v>
      </c>
      <c r="B43" s="4" t="s">
        <v>178</v>
      </c>
      <c r="C43" s="10">
        <v>45845.0</v>
      </c>
      <c r="D43" s="10">
        <v>45845.0</v>
      </c>
      <c r="E43" s="4" t="s">
        <v>179</v>
      </c>
      <c r="F43" s="9"/>
      <c r="G43" s="11">
        <v>17406.0</v>
      </c>
      <c r="H43" s="6"/>
      <c r="I43" s="11">
        <v>78296.0</v>
      </c>
      <c r="J43" s="2" t="s">
        <v>169</v>
      </c>
      <c r="K43" s="1" t="s">
        <v>113</v>
      </c>
      <c r="M43" s="2" t="s">
        <v>114</v>
      </c>
      <c r="N43" s="2" t="s">
        <v>169</v>
      </c>
      <c r="O43" s="2">
        <v>1.10751038E8</v>
      </c>
      <c r="Q43" s="8">
        <v>2025.0</v>
      </c>
      <c r="R43" s="8" t="s">
        <v>34</v>
      </c>
    </row>
    <row r="44">
      <c r="A44" s="4" t="s">
        <v>18</v>
      </c>
      <c r="B44" s="4" t="s">
        <v>180</v>
      </c>
      <c r="C44" s="10">
        <v>45845.0</v>
      </c>
      <c r="D44" s="10">
        <v>45845.0</v>
      </c>
      <c r="E44" s="4" t="s">
        <v>181</v>
      </c>
      <c r="F44" s="9"/>
      <c r="G44" s="11">
        <v>15167.0</v>
      </c>
      <c r="H44" s="6"/>
      <c r="I44" s="11">
        <v>63129.0</v>
      </c>
      <c r="J44" s="2" t="s">
        <v>169</v>
      </c>
      <c r="K44" s="1" t="s">
        <v>127</v>
      </c>
      <c r="M44" s="2" t="s">
        <v>114</v>
      </c>
      <c r="N44" s="2" t="s">
        <v>169</v>
      </c>
      <c r="O44" s="2">
        <v>1.10751038E8</v>
      </c>
      <c r="Q44" s="8">
        <v>2025.0</v>
      </c>
      <c r="R44" s="8" t="s">
        <v>34</v>
      </c>
    </row>
    <row r="45">
      <c r="A45" s="4" t="s">
        <v>18</v>
      </c>
      <c r="B45" s="4" t="s">
        <v>182</v>
      </c>
      <c r="C45" s="10">
        <v>45845.0</v>
      </c>
      <c r="D45" s="10">
        <v>45845.0</v>
      </c>
      <c r="E45" s="4" t="s">
        <v>183</v>
      </c>
      <c r="F45" s="9"/>
      <c r="G45" s="11">
        <v>17101.0</v>
      </c>
      <c r="H45" s="6"/>
      <c r="I45" s="11">
        <v>46028.0</v>
      </c>
      <c r="J45" s="2" t="s">
        <v>169</v>
      </c>
      <c r="K45" s="1" t="s">
        <v>127</v>
      </c>
      <c r="M45" s="2" t="s">
        <v>114</v>
      </c>
      <c r="N45" s="2" t="s">
        <v>169</v>
      </c>
      <c r="O45" s="2">
        <v>1.10751038E8</v>
      </c>
      <c r="Q45" s="8">
        <v>2025.0</v>
      </c>
      <c r="R45" s="8" t="s">
        <v>34</v>
      </c>
    </row>
    <row r="46">
      <c r="A46" s="4" t="s">
        <v>18</v>
      </c>
      <c r="B46" s="4" t="s">
        <v>184</v>
      </c>
      <c r="C46" s="10">
        <v>45845.0</v>
      </c>
      <c r="D46" s="10">
        <v>45845.0</v>
      </c>
      <c r="E46" s="4" t="s">
        <v>185</v>
      </c>
      <c r="F46" s="9"/>
      <c r="G46" s="11">
        <v>12409.0</v>
      </c>
      <c r="H46" s="6"/>
      <c r="I46" s="11">
        <v>33619.0</v>
      </c>
      <c r="J46" s="2" t="s">
        <v>169</v>
      </c>
      <c r="K46" s="1" t="s">
        <v>113</v>
      </c>
      <c r="M46" s="2" t="s">
        <v>114</v>
      </c>
      <c r="N46" s="2" t="s">
        <v>169</v>
      </c>
      <c r="O46" s="2">
        <v>1.10751038E8</v>
      </c>
      <c r="Q46" s="8">
        <v>2025.0</v>
      </c>
      <c r="R46" s="8" t="s">
        <v>34</v>
      </c>
    </row>
    <row r="47">
      <c r="A47" s="4" t="s">
        <v>18</v>
      </c>
      <c r="B47" s="4" t="s">
        <v>186</v>
      </c>
      <c r="C47" s="10">
        <v>45845.0</v>
      </c>
      <c r="D47" s="10">
        <v>45845.0</v>
      </c>
      <c r="E47" s="4" t="s">
        <v>187</v>
      </c>
      <c r="F47" s="9"/>
      <c r="G47" s="6"/>
      <c r="H47" s="7">
        <v>578.0</v>
      </c>
      <c r="I47" s="11">
        <v>34197.0</v>
      </c>
      <c r="K47" s="1" t="str">
        <f t="shared" ref="K47:K48" si="3">RIGHT(E47,6)</f>
        <v>UN3668</v>
      </c>
      <c r="L47" s="2" t="s">
        <v>188</v>
      </c>
      <c r="M47" s="2" t="s">
        <v>24</v>
      </c>
      <c r="N47" s="2" t="s">
        <v>60</v>
      </c>
      <c r="O47" s="2">
        <v>1.10751038E8</v>
      </c>
      <c r="Q47" s="8">
        <v>2025.0</v>
      </c>
      <c r="R47" s="8" t="s">
        <v>34</v>
      </c>
    </row>
    <row r="48">
      <c r="A48" s="4" t="s">
        <v>18</v>
      </c>
      <c r="B48" s="4" t="s">
        <v>189</v>
      </c>
      <c r="C48" s="10">
        <v>45845.0</v>
      </c>
      <c r="D48" s="10">
        <v>45845.0</v>
      </c>
      <c r="E48" s="4" t="s">
        <v>190</v>
      </c>
      <c r="F48" s="9"/>
      <c r="G48" s="6"/>
      <c r="H48" s="11">
        <v>1414.0</v>
      </c>
      <c r="I48" s="11">
        <v>35611.0</v>
      </c>
      <c r="K48" s="1" t="str">
        <f t="shared" si="3"/>
        <v>UN3668</v>
      </c>
      <c r="L48" s="2" t="s">
        <v>191</v>
      </c>
      <c r="M48" s="2" t="s">
        <v>24</v>
      </c>
      <c r="N48" s="2" t="s">
        <v>60</v>
      </c>
      <c r="O48" s="2">
        <v>1.10751038E8</v>
      </c>
      <c r="Q48" s="8">
        <v>2025.0</v>
      </c>
      <c r="R48" s="8" t="s">
        <v>34</v>
      </c>
    </row>
    <row r="49">
      <c r="A49" s="4" t="s">
        <v>18</v>
      </c>
      <c r="B49" s="4" t="s">
        <v>192</v>
      </c>
      <c r="C49" s="10">
        <v>45845.0</v>
      </c>
      <c r="D49" s="10">
        <v>45845.0</v>
      </c>
      <c r="E49" s="4" t="s">
        <v>193</v>
      </c>
      <c r="F49" s="9"/>
      <c r="G49" s="6"/>
      <c r="H49" s="11">
        <v>17900.0</v>
      </c>
      <c r="I49" s="11">
        <v>53511.0</v>
      </c>
      <c r="J49" s="2" t="s">
        <v>194</v>
      </c>
      <c r="K49" s="1" t="s">
        <v>23</v>
      </c>
      <c r="M49" s="2" t="s">
        <v>24</v>
      </c>
      <c r="N49" s="2" t="s">
        <v>195</v>
      </c>
      <c r="O49" s="2">
        <v>1.10751038E8</v>
      </c>
      <c r="Q49" s="8">
        <v>2025.0</v>
      </c>
      <c r="R49" s="8" t="s">
        <v>34</v>
      </c>
    </row>
    <row r="50">
      <c r="A50" s="4" t="s">
        <v>18</v>
      </c>
      <c r="B50" s="4" t="s">
        <v>196</v>
      </c>
      <c r="C50" s="10">
        <v>45845.0</v>
      </c>
      <c r="D50" s="10">
        <v>45845.0</v>
      </c>
      <c r="E50" s="4" t="s">
        <v>197</v>
      </c>
      <c r="F50" s="9"/>
      <c r="G50" s="6"/>
      <c r="H50" s="7">
        <v>639.0</v>
      </c>
      <c r="I50" s="11">
        <v>54150.0</v>
      </c>
      <c r="K50" s="1" t="str">
        <f>RIGHT(E50,6)</f>
        <v>UN3668</v>
      </c>
      <c r="L50" s="2" t="s">
        <v>198</v>
      </c>
      <c r="M50" s="2" t="s">
        <v>24</v>
      </c>
      <c r="N50" s="2" t="s">
        <v>60</v>
      </c>
      <c r="O50" s="2">
        <v>1.10751038E8</v>
      </c>
      <c r="Q50" s="8">
        <v>2025.0</v>
      </c>
      <c r="R50" s="8" t="s">
        <v>34</v>
      </c>
    </row>
    <row r="51">
      <c r="A51" s="4" t="s">
        <v>18</v>
      </c>
      <c r="B51" s="4" t="s">
        <v>199</v>
      </c>
      <c r="C51" s="10">
        <v>45845.0</v>
      </c>
      <c r="D51" s="10">
        <v>45845.0</v>
      </c>
      <c r="E51" s="4" t="s">
        <v>200</v>
      </c>
      <c r="F51" s="9"/>
      <c r="G51" s="6"/>
      <c r="H51" s="11">
        <v>18450.0</v>
      </c>
      <c r="I51" s="11">
        <v>72600.0</v>
      </c>
      <c r="J51" s="2" t="s">
        <v>201</v>
      </c>
      <c r="K51" s="1" t="s">
        <v>23</v>
      </c>
      <c r="M51" s="2" t="s">
        <v>24</v>
      </c>
      <c r="N51" s="2" t="s">
        <v>195</v>
      </c>
      <c r="O51" s="2">
        <v>1.10751038E8</v>
      </c>
      <c r="Q51" s="8">
        <v>2025.0</v>
      </c>
      <c r="R51" s="8" t="s">
        <v>34</v>
      </c>
    </row>
    <row r="52">
      <c r="A52" s="4" t="s">
        <v>18</v>
      </c>
      <c r="B52" s="4" t="s">
        <v>202</v>
      </c>
      <c r="C52" s="10">
        <v>45846.0</v>
      </c>
      <c r="D52" s="10">
        <v>45846.0</v>
      </c>
      <c r="E52" s="4" t="s">
        <v>203</v>
      </c>
      <c r="F52" s="9"/>
      <c r="G52" s="6"/>
      <c r="H52" s="7">
        <v>468.0</v>
      </c>
      <c r="I52" s="11">
        <v>73068.0</v>
      </c>
      <c r="K52" s="1" t="str">
        <f t="shared" ref="K52:K56" si="4">RIGHT(E52,6)</f>
        <v>UN3668</v>
      </c>
      <c r="L52" s="2" t="s">
        <v>204</v>
      </c>
      <c r="M52" s="2" t="s">
        <v>24</v>
      </c>
      <c r="N52" s="2" t="s">
        <v>60</v>
      </c>
      <c r="O52" s="2">
        <v>1.10751038E8</v>
      </c>
      <c r="Q52" s="8">
        <v>2025.0</v>
      </c>
      <c r="R52" s="8" t="s">
        <v>34</v>
      </c>
    </row>
    <row r="53">
      <c r="A53" s="4" t="s">
        <v>18</v>
      </c>
      <c r="B53" s="4" t="s">
        <v>205</v>
      </c>
      <c r="C53" s="10">
        <v>45846.0</v>
      </c>
      <c r="D53" s="10">
        <v>45846.0</v>
      </c>
      <c r="E53" s="4" t="s">
        <v>206</v>
      </c>
      <c r="F53" s="9"/>
      <c r="G53" s="6"/>
      <c r="H53" s="7">
        <v>549.0</v>
      </c>
      <c r="I53" s="11">
        <v>73617.0</v>
      </c>
      <c r="K53" s="1" t="str">
        <f t="shared" si="4"/>
        <v>SL1610</v>
      </c>
      <c r="L53" s="2" t="s">
        <v>207</v>
      </c>
      <c r="M53" s="2" t="s">
        <v>24</v>
      </c>
      <c r="N53" s="2" t="s">
        <v>60</v>
      </c>
      <c r="O53" s="2">
        <v>1.10751038E8</v>
      </c>
      <c r="Q53" s="8">
        <v>2025.0</v>
      </c>
      <c r="R53" s="8" t="s">
        <v>34</v>
      </c>
    </row>
    <row r="54">
      <c r="A54" s="4" t="s">
        <v>18</v>
      </c>
      <c r="B54" s="4" t="s">
        <v>208</v>
      </c>
      <c r="C54" s="10">
        <v>45846.0</v>
      </c>
      <c r="D54" s="10">
        <v>45846.0</v>
      </c>
      <c r="E54" s="4" t="s">
        <v>209</v>
      </c>
      <c r="F54" s="9"/>
      <c r="G54" s="6"/>
      <c r="H54" s="7">
        <v>417.0</v>
      </c>
      <c r="I54" s="11">
        <v>74034.0</v>
      </c>
      <c r="K54" s="1" t="str">
        <f t="shared" si="4"/>
        <v>SC3567</v>
      </c>
      <c r="L54" s="2" t="s">
        <v>210</v>
      </c>
      <c r="M54" s="2" t="s">
        <v>24</v>
      </c>
      <c r="N54" s="2" t="s">
        <v>60</v>
      </c>
      <c r="O54" s="2">
        <v>1.10751038E8</v>
      </c>
      <c r="Q54" s="8">
        <v>2025.0</v>
      </c>
      <c r="R54" s="8" t="s">
        <v>34</v>
      </c>
    </row>
    <row r="55">
      <c r="A55" s="4" t="s">
        <v>18</v>
      </c>
      <c r="B55" s="4" t="s">
        <v>211</v>
      </c>
      <c r="C55" s="10">
        <v>45846.0</v>
      </c>
      <c r="D55" s="10">
        <v>45846.0</v>
      </c>
      <c r="E55" s="4" t="s">
        <v>212</v>
      </c>
      <c r="F55" s="9"/>
      <c r="G55" s="6"/>
      <c r="H55" s="11">
        <v>1000.0</v>
      </c>
      <c r="I55" s="11">
        <v>75034.0</v>
      </c>
      <c r="K55" s="1" t="str">
        <f t="shared" si="4"/>
        <v>KN3817</v>
      </c>
      <c r="M55" s="2" t="s">
        <v>24</v>
      </c>
      <c r="N55" s="2" t="s">
        <v>60</v>
      </c>
      <c r="O55" s="2">
        <v>1.10751038E8</v>
      </c>
      <c r="P55" s="12" t="str">
        <f>IFERROR(__xludf.DUMMYFUNCTION("CONCATENATE(B55,"", "", to_text(D55),"", "", E55,"", "", H55)"),"TSV-07-0052, 08-Jul-2025, UPI/MOB/386286067193/KN3817, 1000")</f>
        <v>TSV-07-0052, 08-Jul-2025, UPI/MOB/386286067193/KN3817, 1000</v>
      </c>
      <c r="Q55" s="8">
        <v>2025.0</v>
      </c>
      <c r="R55" s="8" t="s">
        <v>34</v>
      </c>
    </row>
    <row r="56">
      <c r="A56" s="4" t="s">
        <v>18</v>
      </c>
      <c r="B56" s="4" t="s">
        <v>213</v>
      </c>
      <c r="C56" s="10">
        <v>45846.0</v>
      </c>
      <c r="D56" s="10">
        <v>45846.0</v>
      </c>
      <c r="E56" s="4" t="s">
        <v>214</v>
      </c>
      <c r="F56" s="9"/>
      <c r="G56" s="6"/>
      <c r="H56" s="11">
        <v>1240.0</v>
      </c>
      <c r="I56" s="11">
        <v>76274.0</v>
      </c>
      <c r="K56" s="1" t="str">
        <f t="shared" si="4"/>
        <v>KN3817</v>
      </c>
      <c r="M56" s="2" t="s">
        <v>24</v>
      </c>
      <c r="N56" s="2" t="s">
        <v>60</v>
      </c>
      <c r="O56" s="2">
        <v>1.10751038E8</v>
      </c>
      <c r="P56" s="12" t="str">
        <f>IFERROR(__xludf.DUMMYFUNCTION("CONCATENATE(B56,"", "", to_text(D56),"", "", E56,"", "", H56)"),"TSV-07-0053, 08-Jul-2025, UPI/MOB/555566641824/KN3817, 1240")</f>
        <v>TSV-07-0053, 08-Jul-2025, UPI/MOB/555566641824/KN3817, 1240</v>
      </c>
      <c r="Q56" s="8">
        <v>2025.0</v>
      </c>
      <c r="R56" s="8" t="s">
        <v>34</v>
      </c>
    </row>
    <row r="57">
      <c r="A57" s="4" t="s">
        <v>18</v>
      </c>
      <c r="B57" s="4" t="s">
        <v>215</v>
      </c>
      <c r="C57" s="10">
        <v>45846.0</v>
      </c>
      <c r="D57" s="10">
        <v>45846.0</v>
      </c>
      <c r="E57" s="4" t="s">
        <v>216</v>
      </c>
      <c r="F57" s="9"/>
      <c r="G57" s="6"/>
      <c r="H57" s="7">
        <v>1.0</v>
      </c>
      <c r="I57" s="11">
        <v>76275.0</v>
      </c>
      <c r="K57" s="1" t="s">
        <v>23</v>
      </c>
      <c r="L57" s="2" t="s">
        <v>217</v>
      </c>
      <c r="M57" s="2" t="s">
        <v>24</v>
      </c>
      <c r="N57" s="2" t="s">
        <v>60</v>
      </c>
      <c r="O57" s="2">
        <v>1.10751038E8</v>
      </c>
      <c r="P57" s="2" t="s">
        <v>217</v>
      </c>
      <c r="Q57" s="8">
        <v>2025.0</v>
      </c>
      <c r="R57" s="8" t="s">
        <v>34</v>
      </c>
    </row>
    <row r="58">
      <c r="A58" s="4" t="s">
        <v>18</v>
      </c>
      <c r="B58" s="4" t="s">
        <v>218</v>
      </c>
      <c r="C58" s="10">
        <v>45847.0</v>
      </c>
      <c r="D58" s="10">
        <v>45847.0</v>
      </c>
      <c r="E58" s="4" t="s">
        <v>219</v>
      </c>
      <c r="F58" s="9"/>
      <c r="G58" s="11">
        <v>8620.0</v>
      </c>
      <c r="H58" s="6"/>
      <c r="I58" s="11">
        <v>67655.0</v>
      </c>
      <c r="J58" s="2" t="s">
        <v>220</v>
      </c>
      <c r="K58" s="1" t="s">
        <v>123</v>
      </c>
      <c r="M58" s="2" t="s">
        <v>114</v>
      </c>
      <c r="N58" s="2" t="s">
        <v>220</v>
      </c>
      <c r="O58" s="2">
        <v>1.10751038E8</v>
      </c>
      <c r="Q58" s="8">
        <v>2025.0</v>
      </c>
      <c r="R58" s="8" t="s">
        <v>34</v>
      </c>
    </row>
    <row r="59">
      <c r="A59" s="4" t="s">
        <v>18</v>
      </c>
      <c r="B59" s="4" t="s">
        <v>221</v>
      </c>
      <c r="C59" s="10">
        <v>45847.0</v>
      </c>
      <c r="D59" s="10">
        <v>45847.0</v>
      </c>
      <c r="E59" s="4" t="s">
        <v>222</v>
      </c>
      <c r="F59" s="9"/>
      <c r="G59" s="6"/>
      <c r="H59" s="7">
        <v>881.0</v>
      </c>
      <c r="I59" s="11">
        <v>68536.0</v>
      </c>
      <c r="K59" s="1" t="str">
        <f t="shared" ref="K59:K68" si="5">RIGHT(E59,6)</f>
        <v>SC3567</v>
      </c>
      <c r="L59" s="2" t="s">
        <v>223</v>
      </c>
      <c r="M59" s="2" t="s">
        <v>24</v>
      </c>
      <c r="N59" s="2" t="s">
        <v>60</v>
      </c>
      <c r="O59" s="2">
        <v>1.10751038E8</v>
      </c>
      <c r="Q59" s="8">
        <v>2025.0</v>
      </c>
      <c r="R59" s="8" t="s">
        <v>34</v>
      </c>
    </row>
    <row r="60">
      <c r="A60" s="4" t="s">
        <v>18</v>
      </c>
      <c r="B60" s="4" t="s">
        <v>224</v>
      </c>
      <c r="C60" s="10">
        <v>45847.0</v>
      </c>
      <c r="D60" s="10">
        <v>45847.0</v>
      </c>
      <c r="E60" s="4" t="s">
        <v>225</v>
      </c>
      <c r="F60" s="9"/>
      <c r="G60" s="6"/>
      <c r="H60" s="7">
        <v>385.0</v>
      </c>
      <c r="I60" s="11">
        <v>68921.0</v>
      </c>
      <c r="K60" s="1" t="str">
        <f t="shared" si="5"/>
        <v>UN3668</v>
      </c>
      <c r="L60" s="2" t="s">
        <v>226</v>
      </c>
      <c r="M60" s="2" t="s">
        <v>24</v>
      </c>
      <c r="N60" s="2" t="s">
        <v>60</v>
      </c>
      <c r="O60" s="2">
        <v>1.10751038E8</v>
      </c>
      <c r="Q60" s="8">
        <v>2025.0</v>
      </c>
      <c r="R60" s="8" t="s">
        <v>34</v>
      </c>
    </row>
    <row r="61">
      <c r="A61" s="4" t="s">
        <v>18</v>
      </c>
      <c r="B61" s="4" t="s">
        <v>227</v>
      </c>
      <c r="C61" s="10">
        <v>45847.0</v>
      </c>
      <c r="D61" s="10">
        <v>45847.0</v>
      </c>
      <c r="E61" s="4" t="s">
        <v>228</v>
      </c>
      <c r="F61" s="9"/>
      <c r="G61" s="6"/>
      <c r="H61" s="7">
        <v>320.0</v>
      </c>
      <c r="I61" s="11">
        <v>69241.0</v>
      </c>
      <c r="K61" s="1" t="str">
        <f t="shared" si="5"/>
        <v>UN3668</v>
      </c>
      <c r="L61" s="2" t="s">
        <v>229</v>
      </c>
      <c r="M61" s="2" t="s">
        <v>24</v>
      </c>
      <c r="N61" s="2" t="s">
        <v>60</v>
      </c>
      <c r="O61" s="2">
        <v>1.10751038E8</v>
      </c>
      <c r="Q61" s="8">
        <v>2025.0</v>
      </c>
      <c r="R61" s="8" t="s">
        <v>34</v>
      </c>
    </row>
    <row r="62">
      <c r="A62" s="4" t="s">
        <v>18</v>
      </c>
      <c r="B62" s="4" t="s">
        <v>230</v>
      </c>
      <c r="C62" s="10">
        <v>45847.0</v>
      </c>
      <c r="D62" s="10">
        <v>45847.0</v>
      </c>
      <c r="E62" s="4" t="s">
        <v>231</v>
      </c>
      <c r="F62" s="9"/>
      <c r="G62" s="6"/>
      <c r="H62" s="7">
        <v>749.0</v>
      </c>
      <c r="I62" s="11">
        <v>69990.0</v>
      </c>
      <c r="K62" s="1" t="str">
        <f t="shared" si="5"/>
        <v>SL1610</v>
      </c>
      <c r="L62" s="2" t="s">
        <v>232</v>
      </c>
      <c r="M62" s="2" t="s">
        <v>24</v>
      </c>
      <c r="N62" s="2" t="s">
        <v>60</v>
      </c>
      <c r="O62" s="2">
        <v>1.10751038E8</v>
      </c>
      <c r="Q62" s="8">
        <v>2025.0</v>
      </c>
      <c r="R62" s="8" t="s">
        <v>34</v>
      </c>
    </row>
    <row r="63">
      <c r="A63" s="4" t="s">
        <v>18</v>
      </c>
      <c r="B63" s="4" t="s">
        <v>233</v>
      </c>
      <c r="C63" s="10">
        <v>45847.0</v>
      </c>
      <c r="D63" s="10">
        <v>45847.0</v>
      </c>
      <c r="E63" s="4" t="s">
        <v>234</v>
      </c>
      <c r="F63" s="9"/>
      <c r="G63" s="6"/>
      <c r="H63" s="7">
        <v>349.0</v>
      </c>
      <c r="I63" s="11">
        <v>70339.0</v>
      </c>
      <c r="K63" s="1" t="str">
        <f t="shared" si="5"/>
        <v>SC3567</v>
      </c>
      <c r="L63" s="2" t="s">
        <v>235</v>
      </c>
      <c r="M63" s="2" t="s">
        <v>24</v>
      </c>
      <c r="N63" s="2" t="s">
        <v>60</v>
      </c>
      <c r="O63" s="2">
        <v>1.10751038E8</v>
      </c>
      <c r="Q63" s="8">
        <v>2025.0</v>
      </c>
      <c r="R63" s="8" t="s">
        <v>34</v>
      </c>
    </row>
    <row r="64">
      <c r="A64" s="4" t="s">
        <v>18</v>
      </c>
      <c r="B64" s="4" t="s">
        <v>236</v>
      </c>
      <c r="C64" s="10">
        <v>45847.0</v>
      </c>
      <c r="D64" s="10">
        <v>45847.0</v>
      </c>
      <c r="E64" s="4" t="s">
        <v>237</v>
      </c>
      <c r="F64" s="9"/>
      <c r="G64" s="6"/>
      <c r="H64" s="7">
        <v>304.0</v>
      </c>
      <c r="I64" s="11">
        <v>70643.0</v>
      </c>
      <c r="K64" s="1" t="str">
        <f t="shared" si="5"/>
        <v>SL1610</v>
      </c>
      <c r="L64" s="2" t="s">
        <v>238</v>
      </c>
      <c r="M64" s="2" t="s">
        <v>24</v>
      </c>
      <c r="N64" s="2" t="s">
        <v>60</v>
      </c>
      <c r="O64" s="2">
        <v>1.10751038E8</v>
      </c>
      <c r="Q64" s="8">
        <v>2025.0</v>
      </c>
      <c r="R64" s="8" t="s">
        <v>34</v>
      </c>
    </row>
    <row r="65">
      <c r="A65" s="4" t="s">
        <v>18</v>
      </c>
      <c r="B65" s="4" t="s">
        <v>239</v>
      </c>
      <c r="C65" s="10">
        <v>45847.0</v>
      </c>
      <c r="D65" s="10">
        <v>45847.0</v>
      </c>
      <c r="E65" s="4" t="s">
        <v>240</v>
      </c>
      <c r="F65" s="9"/>
      <c r="G65" s="6"/>
      <c r="H65" s="7">
        <v>800.0</v>
      </c>
      <c r="I65" s="11">
        <v>71443.0</v>
      </c>
      <c r="K65" s="1" t="str">
        <f t="shared" si="5"/>
        <v>SC3567</v>
      </c>
      <c r="L65" s="2" t="s">
        <v>241</v>
      </c>
      <c r="M65" s="2" t="s">
        <v>24</v>
      </c>
      <c r="N65" s="2" t="s">
        <v>60</v>
      </c>
      <c r="O65" s="2">
        <v>1.10751038E8</v>
      </c>
      <c r="Q65" s="8">
        <v>2025.0</v>
      </c>
      <c r="R65" s="8" t="s">
        <v>34</v>
      </c>
    </row>
    <row r="66">
      <c r="A66" s="4" t="s">
        <v>18</v>
      </c>
      <c r="B66" s="4" t="s">
        <v>242</v>
      </c>
      <c r="C66" s="10">
        <v>45847.0</v>
      </c>
      <c r="D66" s="10">
        <v>45847.0</v>
      </c>
      <c r="E66" s="4" t="s">
        <v>243</v>
      </c>
      <c r="F66" s="9"/>
      <c r="G66" s="6"/>
      <c r="H66" s="11">
        <v>1320.0</v>
      </c>
      <c r="I66" s="11">
        <v>72763.0</v>
      </c>
      <c r="K66" s="1" t="str">
        <f t="shared" si="5"/>
        <v>UN3668</v>
      </c>
      <c r="L66" s="2" t="s">
        <v>244</v>
      </c>
      <c r="M66" s="2" t="s">
        <v>24</v>
      </c>
      <c r="N66" s="2" t="s">
        <v>60</v>
      </c>
      <c r="O66" s="2">
        <v>1.10751038E8</v>
      </c>
      <c r="Q66" s="8">
        <v>2025.0</v>
      </c>
      <c r="R66" s="8" t="s">
        <v>34</v>
      </c>
    </row>
    <row r="67">
      <c r="A67" s="4" t="s">
        <v>18</v>
      </c>
      <c r="B67" s="4" t="s">
        <v>245</v>
      </c>
      <c r="C67" s="10">
        <v>45847.0</v>
      </c>
      <c r="D67" s="10">
        <v>45847.0</v>
      </c>
      <c r="E67" s="4" t="s">
        <v>246</v>
      </c>
      <c r="F67" s="9"/>
      <c r="G67" s="6"/>
      <c r="H67" s="7">
        <v>248.0</v>
      </c>
      <c r="I67" s="11">
        <v>73011.0</v>
      </c>
      <c r="K67" s="1" t="str">
        <f t="shared" si="5"/>
        <v>UN3668</v>
      </c>
      <c r="L67" s="2" t="s">
        <v>247</v>
      </c>
      <c r="M67" s="2" t="s">
        <v>24</v>
      </c>
      <c r="N67" s="2" t="s">
        <v>60</v>
      </c>
      <c r="O67" s="2">
        <v>1.10751038E8</v>
      </c>
      <c r="Q67" s="8">
        <v>2025.0</v>
      </c>
      <c r="R67" s="8" t="s">
        <v>34</v>
      </c>
    </row>
    <row r="68">
      <c r="A68" s="4" t="s">
        <v>18</v>
      </c>
      <c r="B68" s="4" t="s">
        <v>248</v>
      </c>
      <c r="C68" s="10">
        <v>45847.0</v>
      </c>
      <c r="D68" s="10">
        <v>45847.0</v>
      </c>
      <c r="E68" s="4" t="s">
        <v>249</v>
      </c>
      <c r="F68" s="9"/>
      <c r="G68" s="6"/>
      <c r="H68" s="7">
        <v>904.0</v>
      </c>
      <c r="I68" s="11">
        <v>73915.0</v>
      </c>
      <c r="K68" s="1" t="str">
        <f t="shared" si="5"/>
        <v>SL1610</v>
      </c>
      <c r="L68" s="2" t="s">
        <v>250</v>
      </c>
      <c r="M68" s="2" t="s">
        <v>24</v>
      </c>
      <c r="N68" s="2" t="s">
        <v>60</v>
      </c>
      <c r="O68" s="2">
        <v>1.10751038E8</v>
      </c>
      <c r="Q68" s="8">
        <v>2025.0</v>
      </c>
      <c r="R68" s="8" t="s">
        <v>34</v>
      </c>
    </row>
    <row r="69">
      <c r="A69" s="4" t="s">
        <v>18</v>
      </c>
      <c r="B69" s="4" t="s">
        <v>251</v>
      </c>
      <c r="C69" s="10">
        <v>45847.0</v>
      </c>
      <c r="D69" s="10">
        <v>45847.0</v>
      </c>
      <c r="E69" s="4" t="s">
        <v>252</v>
      </c>
      <c r="F69" s="9"/>
      <c r="G69" s="6"/>
      <c r="H69" s="7">
        <v>240.0</v>
      </c>
      <c r="I69" s="11">
        <v>74155.0</v>
      </c>
      <c r="K69" s="1" t="s">
        <v>127</v>
      </c>
      <c r="L69" s="2" t="s">
        <v>253</v>
      </c>
      <c r="M69" s="2" t="s">
        <v>24</v>
      </c>
      <c r="N69" s="2" t="s">
        <v>60</v>
      </c>
      <c r="O69" s="2">
        <v>1.10751038E8</v>
      </c>
      <c r="Q69" s="8">
        <v>2025.0</v>
      </c>
      <c r="R69" s="8" t="s">
        <v>34</v>
      </c>
    </row>
    <row r="70">
      <c r="A70" s="4" t="s">
        <v>18</v>
      </c>
      <c r="B70" s="4" t="s">
        <v>254</v>
      </c>
      <c r="C70" s="10">
        <v>45847.0</v>
      </c>
      <c r="D70" s="10">
        <v>45847.0</v>
      </c>
      <c r="E70" s="4" t="s">
        <v>255</v>
      </c>
      <c r="F70" s="9"/>
      <c r="G70" s="11">
        <v>17900.0</v>
      </c>
      <c r="H70" s="6"/>
      <c r="I70" s="11">
        <v>56255.0</v>
      </c>
      <c r="J70" s="2" t="s">
        <v>169</v>
      </c>
      <c r="K70" s="1" t="s">
        <v>119</v>
      </c>
      <c r="M70" s="2" t="s">
        <v>114</v>
      </c>
      <c r="N70" s="2" t="s">
        <v>169</v>
      </c>
      <c r="O70" s="2">
        <v>1.10751038E8</v>
      </c>
      <c r="Q70" s="8">
        <v>2025.0</v>
      </c>
      <c r="R70" s="8" t="s">
        <v>34</v>
      </c>
    </row>
    <row r="71">
      <c r="A71" s="4" t="s">
        <v>18</v>
      </c>
      <c r="B71" s="4" t="s">
        <v>256</v>
      </c>
      <c r="C71" s="10">
        <v>45847.0</v>
      </c>
      <c r="D71" s="10">
        <v>45847.0</v>
      </c>
      <c r="E71" s="4" t="s">
        <v>257</v>
      </c>
      <c r="F71" s="9"/>
      <c r="G71" s="6"/>
      <c r="H71" s="11">
        <v>17900.0</v>
      </c>
      <c r="I71" s="11">
        <v>74155.0</v>
      </c>
      <c r="K71" s="1" t="s">
        <v>119</v>
      </c>
      <c r="L71" s="2" t="s">
        <v>195</v>
      </c>
      <c r="M71" s="2" t="s">
        <v>24</v>
      </c>
      <c r="N71" s="2" t="s">
        <v>195</v>
      </c>
      <c r="O71" s="2">
        <v>1.10751038E8</v>
      </c>
      <c r="Q71" s="8">
        <v>2025.0</v>
      </c>
      <c r="R71" s="8" t="s">
        <v>34</v>
      </c>
    </row>
    <row r="72">
      <c r="A72" s="4" t="s">
        <v>18</v>
      </c>
      <c r="B72" s="4" t="s">
        <v>258</v>
      </c>
      <c r="C72" s="5">
        <v>45848.0</v>
      </c>
      <c r="D72" s="5">
        <v>45848.0</v>
      </c>
      <c r="E72" s="4" t="s">
        <v>259</v>
      </c>
      <c r="F72" s="9"/>
      <c r="G72" s="6"/>
      <c r="H72" s="11">
        <v>2000.0</v>
      </c>
      <c r="I72" s="11">
        <v>76155.0</v>
      </c>
      <c r="K72" s="1" t="str">
        <f t="shared" ref="K72:K76" si="6">RIGHT(E72,6)</f>
        <v>KN3817</v>
      </c>
      <c r="M72" s="2" t="s">
        <v>24</v>
      </c>
      <c r="N72" s="2" t="s">
        <v>60</v>
      </c>
      <c r="O72" s="2">
        <v>1.10751038E8</v>
      </c>
      <c r="P72" s="12" t="str">
        <f>IFERROR(__xludf.DUMMYFUNCTION("CONCATENATE(B72,"", "", to_text(D72),"", "", E72,"", "", H72)"),"TSV-07-0069, 10-Jul-2025, UPI/MOB/519173452496/KN3817, 2000")</f>
        <v>TSV-07-0069, 10-Jul-2025, UPI/MOB/519173452496/KN3817, 2000</v>
      </c>
      <c r="Q72" s="8">
        <v>2025.0</v>
      </c>
      <c r="R72" s="8" t="s">
        <v>34</v>
      </c>
    </row>
    <row r="73">
      <c r="A73" s="4" t="s">
        <v>18</v>
      </c>
      <c r="B73" s="4" t="s">
        <v>260</v>
      </c>
      <c r="C73" s="5">
        <v>45848.0</v>
      </c>
      <c r="D73" s="5">
        <v>45848.0</v>
      </c>
      <c r="E73" s="4" t="s">
        <v>261</v>
      </c>
      <c r="F73" s="9"/>
      <c r="G73" s="6"/>
      <c r="H73" s="7">
        <v>552.0</v>
      </c>
      <c r="I73" s="11">
        <v>76707.0</v>
      </c>
      <c r="K73" s="1" t="str">
        <f t="shared" si="6"/>
        <v>KN3817</v>
      </c>
      <c r="L73" s="2" t="s">
        <v>262</v>
      </c>
      <c r="M73" s="2" t="s">
        <v>24</v>
      </c>
      <c r="N73" s="2" t="s">
        <v>60</v>
      </c>
      <c r="O73" s="2">
        <v>1.10751038E8</v>
      </c>
      <c r="Q73" s="8">
        <v>2025.0</v>
      </c>
      <c r="R73" s="8" t="s">
        <v>34</v>
      </c>
    </row>
    <row r="74">
      <c r="A74" s="4" t="s">
        <v>18</v>
      </c>
      <c r="B74" s="4" t="s">
        <v>263</v>
      </c>
      <c r="C74" s="5">
        <v>45848.0</v>
      </c>
      <c r="D74" s="5">
        <v>45848.0</v>
      </c>
      <c r="E74" s="4" t="s">
        <v>264</v>
      </c>
      <c r="F74" s="9"/>
      <c r="G74" s="6"/>
      <c r="H74" s="7">
        <v>703.0</v>
      </c>
      <c r="I74" s="11">
        <v>77410.0</v>
      </c>
      <c r="K74" s="1" t="str">
        <f t="shared" si="6"/>
        <v>UN3668</v>
      </c>
      <c r="L74" s="2" t="s">
        <v>265</v>
      </c>
      <c r="M74" s="2" t="s">
        <v>24</v>
      </c>
      <c r="N74" s="2" t="s">
        <v>60</v>
      </c>
      <c r="O74" s="2">
        <v>1.10751038E8</v>
      </c>
      <c r="Q74" s="8">
        <v>2025.0</v>
      </c>
      <c r="R74" s="8" t="s">
        <v>34</v>
      </c>
    </row>
    <row r="75">
      <c r="A75" s="4" t="s">
        <v>18</v>
      </c>
      <c r="B75" s="4" t="s">
        <v>266</v>
      </c>
      <c r="C75" s="5">
        <v>45848.0</v>
      </c>
      <c r="D75" s="5">
        <v>45848.0</v>
      </c>
      <c r="E75" s="4" t="s">
        <v>267</v>
      </c>
      <c r="F75" s="9"/>
      <c r="G75" s="6"/>
      <c r="H75" s="7">
        <v>390.0</v>
      </c>
      <c r="I75" s="11">
        <v>77800.0</v>
      </c>
      <c r="K75" s="1" t="str">
        <f t="shared" si="6"/>
        <v>UN3668</v>
      </c>
      <c r="L75" s="2" t="s">
        <v>268</v>
      </c>
      <c r="M75" s="2" t="s">
        <v>24</v>
      </c>
      <c r="N75" s="2" t="s">
        <v>60</v>
      </c>
      <c r="O75" s="2">
        <v>1.10751038E8</v>
      </c>
      <c r="Q75" s="8">
        <v>2025.0</v>
      </c>
      <c r="R75" s="8" t="s">
        <v>34</v>
      </c>
    </row>
    <row r="76">
      <c r="A76" s="4" t="s">
        <v>18</v>
      </c>
      <c r="B76" s="4" t="s">
        <v>269</v>
      </c>
      <c r="C76" s="5">
        <v>45848.0</v>
      </c>
      <c r="D76" s="5">
        <v>45848.0</v>
      </c>
      <c r="E76" s="4" t="s">
        <v>270</v>
      </c>
      <c r="F76" s="9"/>
      <c r="G76" s="6"/>
      <c r="H76" s="7">
        <v>168.0</v>
      </c>
      <c r="I76" s="11">
        <v>77968.0</v>
      </c>
      <c r="K76" s="1" t="str">
        <f t="shared" si="6"/>
        <v>KN3817</v>
      </c>
      <c r="L76" s="2" t="s">
        <v>271</v>
      </c>
      <c r="M76" s="2" t="s">
        <v>24</v>
      </c>
      <c r="N76" s="2" t="s">
        <v>60</v>
      </c>
      <c r="O76" s="2">
        <v>1.10751038E8</v>
      </c>
      <c r="Q76" s="8">
        <v>2025.0</v>
      </c>
      <c r="R76" s="8" t="s">
        <v>34</v>
      </c>
    </row>
    <row r="77">
      <c r="A77" s="4" t="s">
        <v>18</v>
      </c>
      <c r="B77" s="4" t="s">
        <v>272</v>
      </c>
      <c r="C77" s="5">
        <v>45848.0</v>
      </c>
      <c r="D77" s="5">
        <v>45848.0</v>
      </c>
      <c r="E77" s="4" t="s">
        <v>273</v>
      </c>
      <c r="F77" s="9"/>
      <c r="G77" s="7">
        <v>963.26</v>
      </c>
      <c r="H77" s="6"/>
      <c r="I77" s="11">
        <v>77004.74</v>
      </c>
      <c r="J77" s="2" t="s">
        <v>274</v>
      </c>
      <c r="K77" s="1" t="s">
        <v>127</v>
      </c>
      <c r="M77" s="2" t="s">
        <v>114</v>
      </c>
      <c r="N77" s="2" t="s">
        <v>275</v>
      </c>
      <c r="O77" s="2">
        <v>1.10751038E8</v>
      </c>
      <c r="Q77" s="8">
        <v>2025.0</v>
      </c>
      <c r="R77" s="8" t="s">
        <v>34</v>
      </c>
    </row>
    <row r="78">
      <c r="A78" s="4" t="s">
        <v>18</v>
      </c>
      <c r="B78" s="4" t="s">
        <v>276</v>
      </c>
      <c r="C78" s="5">
        <v>45848.0</v>
      </c>
      <c r="D78" s="5">
        <v>45848.0</v>
      </c>
      <c r="E78" s="4" t="s">
        <v>277</v>
      </c>
      <c r="F78" s="9"/>
      <c r="G78" s="7">
        <v>308.59</v>
      </c>
      <c r="H78" s="6"/>
      <c r="I78" s="11">
        <v>76696.15</v>
      </c>
      <c r="J78" s="2" t="s">
        <v>274</v>
      </c>
      <c r="K78" s="1" t="s">
        <v>119</v>
      </c>
      <c r="M78" s="2" t="s">
        <v>114</v>
      </c>
      <c r="N78" s="2" t="s">
        <v>275</v>
      </c>
      <c r="O78" s="2">
        <v>1.10751038E8</v>
      </c>
      <c r="Q78" s="8">
        <v>2025.0</v>
      </c>
      <c r="R78" s="8" t="s">
        <v>34</v>
      </c>
    </row>
    <row r="79">
      <c r="A79" s="4" t="s">
        <v>18</v>
      </c>
      <c r="B79" s="4" t="s">
        <v>278</v>
      </c>
      <c r="C79" s="5">
        <v>45848.0</v>
      </c>
      <c r="D79" s="5">
        <v>45848.0</v>
      </c>
      <c r="E79" s="4" t="s">
        <v>279</v>
      </c>
      <c r="F79" s="9"/>
      <c r="G79" s="6"/>
      <c r="H79" s="7">
        <v>450.0</v>
      </c>
      <c r="I79" s="11">
        <v>77146.15</v>
      </c>
      <c r="K79" s="1" t="str">
        <f t="shared" ref="K79:K92" si="7">RIGHT(E79,6)</f>
        <v>UN3668</v>
      </c>
      <c r="L79" s="2" t="s">
        <v>280</v>
      </c>
      <c r="M79" s="2" t="s">
        <v>24</v>
      </c>
      <c r="N79" s="2" t="s">
        <v>60</v>
      </c>
      <c r="O79" s="2">
        <v>1.10751038E8</v>
      </c>
      <c r="Q79" s="8">
        <v>2025.0</v>
      </c>
      <c r="R79" s="8" t="s">
        <v>34</v>
      </c>
    </row>
    <row r="80">
      <c r="A80" s="4" t="s">
        <v>18</v>
      </c>
      <c r="B80" s="4" t="s">
        <v>281</v>
      </c>
      <c r="C80" s="5">
        <v>45848.0</v>
      </c>
      <c r="D80" s="5">
        <v>45848.0</v>
      </c>
      <c r="E80" s="4" t="s">
        <v>282</v>
      </c>
      <c r="F80" s="9"/>
      <c r="G80" s="6"/>
      <c r="H80" s="7">
        <v>360.0</v>
      </c>
      <c r="I80" s="11">
        <v>77506.15</v>
      </c>
      <c r="K80" s="1" t="str">
        <f t="shared" si="7"/>
        <v>UN3668</v>
      </c>
      <c r="L80" s="2" t="s">
        <v>283</v>
      </c>
      <c r="M80" s="2" t="s">
        <v>24</v>
      </c>
      <c r="N80" s="2" t="s">
        <v>60</v>
      </c>
      <c r="O80" s="2">
        <v>1.10751038E8</v>
      </c>
      <c r="Q80" s="8">
        <v>2025.0</v>
      </c>
      <c r="R80" s="8" t="s">
        <v>34</v>
      </c>
    </row>
    <row r="81">
      <c r="A81" s="4" t="s">
        <v>18</v>
      </c>
      <c r="B81" s="4" t="s">
        <v>284</v>
      </c>
      <c r="C81" s="5">
        <v>45848.0</v>
      </c>
      <c r="D81" s="5">
        <v>45848.0</v>
      </c>
      <c r="E81" s="4" t="s">
        <v>285</v>
      </c>
      <c r="F81" s="9"/>
      <c r="G81" s="6"/>
      <c r="H81" s="7">
        <v>560.0</v>
      </c>
      <c r="I81" s="11">
        <v>78066.15</v>
      </c>
      <c r="K81" s="1" t="str">
        <f t="shared" si="7"/>
        <v>KN3817</v>
      </c>
      <c r="L81" s="2" t="s">
        <v>286</v>
      </c>
      <c r="M81" s="2" t="s">
        <v>24</v>
      </c>
      <c r="N81" s="2" t="s">
        <v>60</v>
      </c>
      <c r="O81" s="2">
        <v>1.10751038E8</v>
      </c>
      <c r="Q81" s="8">
        <v>2025.0</v>
      </c>
      <c r="R81" s="8" t="s">
        <v>34</v>
      </c>
    </row>
    <row r="82">
      <c r="A82" s="4" t="s">
        <v>18</v>
      </c>
      <c r="B82" s="4" t="s">
        <v>287</v>
      </c>
      <c r="C82" s="5">
        <v>45848.0</v>
      </c>
      <c r="D82" s="5">
        <v>45848.0</v>
      </c>
      <c r="E82" s="4" t="s">
        <v>288</v>
      </c>
      <c r="F82" s="9"/>
      <c r="G82" s="6"/>
      <c r="H82" s="7">
        <v>436.0</v>
      </c>
      <c r="I82" s="11">
        <v>78502.15</v>
      </c>
      <c r="K82" s="1" t="str">
        <f t="shared" si="7"/>
        <v>SL1610</v>
      </c>
      <c r="L82" s="2" t="s">
        <v>289</v>
      </c>
      <c r="M82" s="2" t="s">
        <v>24</v>
      </c>
      <c r="N82" s="2" t="s">
        <v>60</v>
      </c>
      <c r="O82" s="2">
        <v>1.10751038E8</v>
      </c>
      <c r="Q82" s="8">
        <v>2025.0</v>
      </c>
      <c r="R82" s="8" t="s">
        <v>34</v>
      </c>
    </row>
    <row r="83">
      <c r="A83" s="4" t="s">
        <v>18</v>
      </c>
      <c r="B83" s="4" t="s">
        <v>290</v>
      </c>
      <c r="C83" s="5">
        <v>45849.0</v>
      </c>
      <c r="D83" s="5">
        <v>45849.0</v>
      </c>
      <c r="E83" s="4" t="s">
        <v>291</v>
      </c>
      <c r="F83" s="9"/>
      <c r="G83" s="6"/>
      <c r="H83" s="11">
        <v>1218.0</v>
      </c>
      <c r="I83" s="11">
        <v>79720.15</v>
      </c>
      <c r="K83" s="1" t="str">
        <f t="shared" si="7"/>
        <v>SL1610</v>
      </c>
      <c r="L83" s="2" t="s">
        <v>292</v>
      </c>
      <c r="M83" s="2" t="s">
        <v>24</v>
      </c>
      <c r="N83" s="2" t="s">
        <v>60</v>
      </c>
      <c r="O83" s="2">
        <v>1.10751038E8</v>
      </c>
      <c r="Q83" s="8">
        <v>2025.0</v>
      </c>
      <c r="R83" s="8" t="s">
        <v>34</v>
      </c>
    </row>
    <row r="84">
      <c r="A84" s="4" t="s">
        <v>18</v>
      </c>
      <c r="B84" s="4" t="s">
        <v>293</v>
      </c>
      <c r="C84" s="5">
        <v>45849.0</v>
      </c>
      <c r="D84" s="5">
        <v>45849.0</v>
      </c>
      <c r="E84" s="4" t="s">
        <v>294</v>
      </c>
      <c r="F84" s="9"/>
      <c r="G84" s="6"/>
      <c r="H84" s="11">
        <v>2705.0</v>
      </c>
      <c r="I84" s="11">
        <v>82425.15</v>
      </c>
      <c r="K84" s="1" t="str">
        <f t="shared" si="7"/>
        <v>SL1610</v>
      </c>
      <c r="L84" s="2" t="s">
        <v>295</v>
      </c>
      <c r="M84" s="2" t="s">
        <v>24</v>
      </c>
      <c r="N84" s="2" t="s">
        <v>60</v>
      </c>
      <c r="O84" s="2">
        <v>1.10751038E8</v>
      </c>
      <c r="Q84" s="8">
        <v>2025.0</v>
      </c>
      <c r="R84" s="8" t="s">
        <v>34</v>
      </c>
    </row>
    <row r="85">
      <c r="A85" s="4" t="s">
        <v>18</v>
      </c>
      <c r="B85" s="4" t="s">
        <v>296</v>
      </c>
      <c r="C85" s="5">
        <v>45849.0</v>
      </c>
      <c r="D85" s="5">
        <v>45849.0</v>
      </c>
      <c r="E85" s="4" t="s">
        <v>297</v>
      </c>
      <c r="F85" s="9"/>
      <c r="G85" s="6"/>
      <c r="H85" s="7">
        <v>350.0</v>
      </c>
      <c r="I85" s="11">
        <v>82775.15</v>
      </c>
      <c r="K85" s="1" t="str">
        <f t="shared" si="7"/>
        <v>UN3668</v>
      </c>
      <c r="L85" s="2" t="s">
        <v>298</v>
      </c>
      <c r="M85" s="2" t="s">
        <v>24</v>
      </c>
      <c r="N85" s="2" t="s">
        <v>60</v>
      </c>
      <c r="O85" s="2">
        <v>1.10751038E8</v>
      </c>
      <c r="Q85" s="8">
        <v>2025.0</v>
      </c>
      <c r="R85" s="8" t="s">
        <v>34</v>
      </c>
    </row>
    <row r="86">
      <c r="A86" s="4" t="s">
        <v>18</v>
      </c>
      <c r="B86" s="4" t="s">
        <v>299</v>
      </c>
      <c r="C86" s="5">
        <v>45849.0</v>
      </c>
      <c r="D86" s="5">
        <v>45849.0</v>
      </c>
      <c r="E86" s="4" t="s">
        <v>300</v>
      </c>
      <c r="F86" s="9"/>
      <c r="G86" s="6"/>
      <c r="H86" s="7">
        <v>238.0</v>
      </c>
      <c r="I86" s="11">
        <v>83013.15</v>
      </c>
      <c r="K86" s="1" t="str">
        <f t="shared" si="7"/>
        <v>UN3668</v>
      </c>
      <c r="L86" s="2" t="s">
        <v>301</v>
      </c>
      <c r="M86" s="2" t="s">
        <v>24</v>
      </c>
      <c r="N86" s="2" t="s">
        <v>60</v>
      </c>
      <c r="O86" s="2">
        <v>1.10751038E8</v>
      </c>
      <c r="Q86" s="8">
        <v>2025.0</v>
      </c>
      <c r="R86" s="8" t="s">
        <v>34</v>
      </c>
    </row>
    <row r="87">
      <c r="A87" s="4" t="s">
        <v>18</v>
      </c>
      <c r="B87" s="4" t="s">
        <v>302</v>
      </c>
      <c r="C87" s="5">
        <v>45849.0</v>
      </c>
      <c r="D87" s="5">
        <v>45849.0</v>
      </c>
      <c r="E87" s="4" t="s">
        <v>303</v>
      </c>
      <c r="F87" s="9"/>
      <c r="G87" s="6"/>
      <c r="H87" s="7">
        <v>350.0</v>
      </c>
      <c r="I87" s="11">
        <v>83363.15</v>
      </c>
      <c r="K87" s="1" t="str">
        <f t="shared" si="7"/>
        <v>UN3668</v>
      </c>
      <c r="L87" s="2" t="s">
        <v>304</v>
      </c>
      <c r="M87" s="2" t="s">
        <v>24</v>
      </c>
      <c r="N87" s="2" t="s">
        <v>60</v>
      </c>
      <c r="O87" s="2">
        <v>1.10751038E8</v>
      </c>
      <c r="Q87" s="8">
        <v>2025.0</v>
      </c>
      <c r="R87" s="8" t="s">
        <v>34</v>
      </c>
    </row>
    <row r="88">
      <c r="A88" s="4" t="s">
        <v>18</v>
      </c>
      <c r="B88" s="4" t="s">
        <v>305</v>
      </c>
      <c r="C88" s="5">
        <v>45850.0</v>
      </c>
      <c r="D88" s="5">
        <v>45850.0</v>
      </c>
      <c r="E88" s="4" t="s">
        <v>306</v>
      </c>
      <c r="F88" s="9"/>
      <c r="G88" s="6"/>
      <c r="H88" s="7">
        <v>630.0</v>
      </c>
      <c r="I88" s="11">
        <v>83993.15</v>
      </c>
      <c r="K88" s="1" t="str">
        <f t="shared" si="7"/>
        <v>UN3668</v>
      </c>
      <c r="L88" s="2" t="s">
        <v>307</v>
      </c>
      <c r="M88" s="2" t="s">
        <v>24</v>
      </c>
      <c r="N88" s="2" t="s">
        <v>60</v>
      </c>
      <c r="O88" s="2">
        <v>1.10751038E8</v>
      </c>
      <c r="Q88" s="8">
        <v>2025.0</v>
      </c>
      <c r="R88" s="8" t="s">
        <v>34</v>
      </c>
    </row>
    <row r="89">
      <c r="A89" s="4" t="s">
        <v>18</v>
      </c>
      <c r="B89" s="4" t="s">
        <v>308</v>
      </c>
      <c r="C89" s="5">
        <v>45850.0</v>
      </c>
      <c r="D89" s="5">
        <v>45850.0</v>
      </c>
      <c r="E89" s="4" t="s">
        <v>309</v>
      </c>
      <c r="F89" s="9"/>
      <c r="G89" s="6"/>
      <c r="H89" s="7">
        <v>594.0</v>
      </c>
      <c r="I89" s="11">
        <v>84587.15</v>
      </c>
      <c r="K89" s="1" t="str">
        <f t="shared" si="7"/>
        <v>UN3668</v>
      </c>
      <c r="L89" s="2" t="s">
        <v>310</v>
      </c>
      <c r="M89" s="2" t="s">
        <v>24</v>
      </c>
      <c r="N89" s="2" t="s">
        <v>60</v>
      </c>
      <c r="O89" s="2">
        <v>1.10751038E8</v>
      </c>
      <c r="Q89" s="8">
        <v>2025.0</v>
      </c>
      <c r="R89" s="8" t="s">
        <v>34</v>
      </c>
    </row>
    <row r="90">
      <c r="A90" s="4" t="s">
        <v>18</v>
      </c>
      <c r="B90" s="4" t="s">
        <v>311</v>
      </c>
      <c r="C90" s="5">
        <v>45850.0</v>
      </c>
      <c r="D90" s="5">
        <v>45850.0</v>
      </c>
      <c r="E90" s="4" t="s">
        <v>312</v>
      </c>
      <c r="F90" s="9"/>
      <c r="G90" s="6"/>
      <c r="H90" s="7">
        <v>240.0</v>
      </c>
      <c r="I90" s="11">
        <v>84827.15</v>
      </c>
      <c r="K90" s="1" t="str">
        <f t="shared" si="7"/>
        <v>UN3668</v>
      </c>
      <c r="L90" s="2" t="s">
        <v>313</v>
      </c>
      <c r="M90" s="2" t="s">
        <v>24</v>
      </c>
      <c r="N90" s="2" t="s">
        <v>60</v>
      </c>
      <c r="O90" s="2">
        <v>1.10751038E8</v>
      </c>
      <c r="Q90" s="8">
        <v>2025.0</v>
      </c>
      <c r="R90" s="8" t="s">
        <v>34</v>
      </c>
    </row>
    <row r="91">
      <c r="A91" s="4" t="s">
        <v>18</v>
      </c>
      <c r="B91" s="4" t="s">
        <v>314</v>
      </c>
      <c r="C91" s="5">
        <v>45850.0</v>
      </c>
      <c r="D91" s="5">
        <v>45850.0</v>
      </c>
      <c r="E91" s="4" t="s">
        <v>315</v>
      </c>
      <c r="F91" s="9"/>
      <c r="G91" s="6"/>
      <c r="H91" s="7">
        <v>248.0</v>
      </c>
      <c r="I91" s="11">
        <v>85075.15</v>
      </c>
      <c r="K91" s="1" t="str">
        <f t="shared" si="7"/>
        <v>SC3567</v>
      </c>
      <c r="L91" s="2" t="s">
        <v>316</v>
      </c>
      <c r="M91" s="2" t="s">
        <v>24</v>
      </c>
      <c r="N91" s="2" t="s">
        <v>60</v>
      </c>
      <c r="O91" s="2">
        <v>1.10751038E8</v>
      </c>
      <c r="Q91" s="8">
        <v>2025.0</v>
      </c>
      <c r="R91" s="8" t="s">
        <v>34</v>
      </c>
    </row>
    <row r="92">
      <c r="A92" s="4" t="s">
        <v>18</v>
      </c>
      <c r="B92" s="4" t="s">
        <v>317</v>
      </c>
      <c r="C92" s="5">
        <v>45850.0</v>
      </c>
      <c r="D92" s="5">
        <v>45850.0</v>
      </c>
      <c r="E92" s="4" t="s">
        <v>318</v>
      </c>
      <c r="F92" s="9"/>
      <c r="G92" s="6"/>
      <c r="H92" s="7">
        <v>112.0</v>
      </c>
      <c r="I92" s="11">
        <v>85187.15</v>
      </c>
      <c r="K92" s="1" t="str">
        <f t="shared" si="7"/>
        <v>KN3817</v>
      </c>
      <c r="L92" s="2" t="s">
        <v>319</v>
      </c>
      <c r="M92" s="2" t="s">
        <v>24</v>
      </c>
      <c r="N92" s="2" t="s">
        <v>60</v>
      </c>
      <c r="O92" s="2">
        <v>1.10751038E8</v>
      </c>
      <c r="Q92" s="8">
        <v>2025.0</v>
      </c>
      <c r="R92" s="8" t="s">
        <v>34</v>
      </c>
    </row>
    <row r="93">
      <c r="A93" s="4" t="s">
        <v>18</v>
      </c>
      <c r="B93" s="4" t="s">
        <v>320</v>
      </c>
      <c r="C93" s="5">
        <v>45850.0</v>
      </c>
      <c r="D93" s="5">
        <v>45850.0</v>
      </c>
      <c r="E93" s="4" t="s">
        <v>321</v>
      </c>
      <c r="F93" s="9"/>
      <c r="G93" s="11">
        <v>6339.0</v>
      </c>
      <c r="H93" s="6"/>
      <c r="I93" s="11">
        <v>78848.15</v>
      </c>
      <c r="J93" s="2" t="s">
        <v>322</v>
      </c>
      <c r="K93" s="1" t="s">
        <v>113</v>
      </c>
      <c r="M93" s="2" t="s">
        <v>114</v>
      </c>
      <c r="N93" s="2" t="s">
        <v>169</v>
      </c>
      <c r="O93" s="2">
        <v>1.10751038E8</v>
      </c>
      <c r="Q93" s="8">
        <v>2025.0</v>
      </c>
      <c r="R93" s="8" t="s">
        <v>34</v>
      </c>
    </row>
    <row r="94">
      <c r="A94" s="4" t="s">
        <v>18</v>
      </c>
      <c r="B94" s="4" t="s">
        <v>323</v>
      </c>
      <c r="C94" s="5">
        <v>45851.0</v>
      </c>
      <c r="D94" s="5">
        <v>45851.0</v>
      </c>
      <c r="E94" s="4" t="s">
        <v>324</v>
      </c>
      <c r="F94" s="9"/>
      <c r="G94" s="6"/>
      <c r="H94" s="7">
        <v>658.0</v>
      </c>
      <c r="I94" s="11">
        <v>79506.15</v>
      </c>
      <c r="K94" s="1" t="str">
        <f t="shared" ref="K94:K98" si="8">RIGHT(E94,6)</f>
        <v>SC3567</v>
      </c>
      <c r="L94" s="2" t="s">
        <v>325</v>
      </c>
      <c r="M94" s="2" t="s">
        <v>24</v>
      </c>
      <c r="N94" s="2" t="s">
        <v>60</v>
      </c>
      <c r="O94" s="2">
        <v>1.10751038E8</v>
      </c>
      <c r="Q94" s="8">
        <v>2025.0</v>
      </c>
      <c r="R94" s="8" t="s">
        <v>34</v>
      </c>
    </row>
    <row r="95">
      <c r="A95" s="4" t="s">
        <v>18</v>
      </c>
      <c r="B95" s="4" t="s">
        <v>326</v>
      </c>
      <c r="C95" s="5">
        <v>45851.0</v>
      </c>
      <c r="D95" s="5">
        <v>45851.0</v>
      </c>
      <c r="E95" s="4" t="s">
        <v>327</v>
      </c>
      <c r="F95" s="9"/>
      <c r="G95" s="6"/>
      <c r="H95" s="7">
        <v>674.0</v>
      </c>
      <c r="I95" s="11">
        <v>80180.15</v>
      </c>
      <c r="K95" s="1" t="str">
        <f t="shared" si="8"/>
        <v>SL1610</v>
      </c>
      <c r="L95" s="2" t="s">
        <v>328</v>
      </c>
      <c r="M95" s="2" t="s">
        <v>24</v>
      </c>
      <c r="N95" s="2" t="s">
        <v>60</v>
      </c>
      <c r="O95" s="2">
        <v>1.10751038E8</v>
      </c>
      <c r="Q95" s="8">
        <v>2025.0</v>
      </c>
      <c r="R95" s="8" t="s">
        <v>34</v>
      </c>
    </row>
    <row r="96">
      <c r="A96" s="4" t="s">
        <v>18</v>
      </c>
      <c r="B96" s="4" t="s">
        <v>329</v>
      </c>
      <c r="C96" s="5">
        <v>45851.0</v>
      </c>
      <c r="D96" s="5">
        <v>45851.0</v>
      </c>
      <c r="E96" s="4" t="s">
        <v>330</v>
      </c>
      <c r="F96" s="9"/>
      <c r="G96" s="6"/>
      <c r="H96" s="7">
        <v>384.0</v>
      </c>
      <c r="I96" s="11">
        <v>80564.15</v>
      </c>
      <c r="K96" s="1" t="str">
        <f t="shared" si="8"/>
        <v>SL1610</v>
      </c>
      <c r="L96" s="2" t="s">
        <v>331</v>
      </c>
      <c r="M96" s="2" t="s">
        <v>24</v>
      </c>
      <c r="N96" s="2" t="s">
        <v>60</v>
      </c>
      <c r="O96" s="2">
        <v>1.10751038E8</v>
      </c>
      <c r="Q96" s="8">
        <v>2025.0</v>
      </c>
      <c r="R96" s="8" t="s">
        <v>34</v>
      </c>
    </row>
    <row r="97">
      <c r="A97" s="4" t="s">
        <v>18</v>
      </c>
      <c r="B97" s="4" t="s">
        <v>332</v>
      </c>
      <c r="C97" s="5">
        <v>45851.0</v>
      </c>
      <c r="D97" s="5">
        <v>45851.0</v>
      </c>
      <c r="E97" s="4" t="s">
        <v>333</v>
      </c>
      <c r="F97" s="9"/>
      <c r="G97" s="6"/>
      <c r="H97" s="7">
        <v>109.0</v>
      </c>
      <c r="I97" s="11">
        <v>80673.15</v>
      </c>
      <c r="K97" s="1" t="str">
        <f t="shared" si="8"/>
        <v>SL1610</v>
      </c>
      <c r="L97" s="2" t="s">
        <v>334</v>
      </c>
      <c r="M97" s="2" t="s">
        <v>24</v>
      </c>
      <c r="N97" s="2" t="s">
        <v>60</v>
      </c>
      <c r="O97" s="2">
        <v>1.10751038E8</v>
      </c>
      <c r="Q97" s="8">
        <v>2025.0</v>
      </c>
      <c r="R97" s="8" t="s">
        <v>34</v>
      </c>
    </row>
    <row r="98">
      <c r="A98" s="4" t="s">
        <v>18</v>
      </c>
      <c r="B98" s="4" t="s">
        <v>335</v>
      </c>
      <c r="C98" s="5">
        <v>45851.0</v>
      </c>
      <c r="D98" s="5">
        <v>45851.0</v>
      </c>
      <c r="E98" s="4" t="s">
        <v>336</v>
      </c>
      <c r="F98" s="9"/>
      <c r="G98" s="6"/>
      <c r="H98" s="7">
        <v>757.0</v>
      </c>
      <c r="I98" s="11">
        <v>81430.15</v>
      </c>
      <c r="K98" s="1" t="str">
        <f t="shared" si="8"/>
        <v>SL1610</v>
      </c>
      <c r="L98" s="2" t="s">
        <v>337</v>
      </c>
      <c r="M98" s="2" t="s">
        <v>24</v>
      </c>
      <c r="N98" s="2" t="s">
        <v>60</v>
      </c>
      <c r="O98" s="2">
        <v>1.10751038E8</v>
      </c>
      <c r="Q98" s="8">
        <v>2025.0</v>
      </c>
      <c r="R98" s="8" t="s">
        <v>34</v>
      </c>
    </row>
    <row r="99">
      <c r="A99" s="4" t="s">
        <v>18</v>
      </c>
      <c r="B99" s="4" t="s">
        <v>338</v>
      </c>
      <c r="C99" s="5">
        <v>45851.0</v>
      </c>
      <c r="D99" s="5">
        <v>45851.0</v>
      </c>
      <c r="E99" s="4" t="s">
        <v>339</v>
      </c>
      <c r="F99" s="9"/>
      <c r="G99" s="11">
        <v>10490.0</v>
      </c>
      <c r="H99" s="6"/>
      <c r="I99" s="11">
        <v>70940.15</v>
      </c>
      <c r="J99" s="2" t="s">
        <v>220</v>
      </c>
      <c r="K99" s="1" t="s">
        <v>119</v>
      </c>
      <c r="M99" s="2" t="s">
        <v>114</v>
      </c>
      <c r="N99" s="2" t="s">
        <v>220</v>
      </c>
      <c r="O99" s="2">
        <v>1.10751038E8</v>
      </c>
      <c r="Q99" s="8">
        <v>2025.0</v>
      </c>
      <c r="R99" s="8" t="s">
        <v>34</v>
      </c>
    </row>
    <row r="100">
      <c r="A100" s="4" t="s">
        <v>18</v>
      </c>
      <c r="B100" s="4" t="s">
        <v>340</v>
      </c>
      <c r="C100" s="5">
        <v>45852.0</v>
      </c>
      <c r="D100" s="5">
        <v>45852.0</v>
      </c>
      <c r="E100" s="4" t="s">
        <v>341</v>
      </c>
      <c r="F100" s="9"/>
      <c r="G100" s="6"/>
      <c r="H100" s="7">
        <v>404.0</v>
      </c>
      <c r="I100" s="11">
        <v>71344.15</v>
      </c>
      <c r="K100" s="1" t="str">
        <f t="shared" ref="K100:K107" si="9">RIGHT(E100,6)</f>
        <v>KN3817</v>
      </c>
      <c r="L100" s="2" t="s">
        <v>342</v>
      </c>
      <c r="M100" s="2" t="s">
        <v>24</v>
      </c>
      <c r="N100" s="2" t="s">
        <v>60</v>
      </c>
      <c r="O100" s="2">
        <v>1.10751038E8</v>
      </c>
      <c r="Q100" s="8">
        <v>2025.0</v>
      </c>
      <c r="R100" s="8" t="s">
        <v>34</v>
      </c>
    </row>
    <row r="101">
      <c r="A101" s="4" t="s">
        <v>18</v>
      </c>
      <c r="B101" s="4" t="s">
        <v>343</v>
      </c>
      <c r="C101" s="5">
        <v>45853.0</v>
      </c>
      <c r="D101" s="5">
        <v>45853.0</v>
      </c>
      <c r="E101" s="4" t="s">
        <v>344</v>
      </c>
      <c r="F101" s="9"/>
      <c r="G101" s="6"/>
      <c r="H101" s="7">
        <v>140.0</v>
      </c>
      <c r="I101" s="11">
        <v>71484.15</v>
      </c>
      <c r="K101" s="1" t="str">
        <f t="shared" si="9"/>
        <v>KN3817</v>
      </c>
      <c r="L101" s="2" t="s">
        <v>345</v>
      </c>
      <c r="M101" s="2" t="s">
        <v>24</v>
      </c>
      <c r="N101" s="2" t="s">
        <v>60</v>
      </c>
      <c r="O101" s="2">
        <v>1.10751038E8</v>
      </c>
      <c r="Q101" s="8">
        <v>2025.0</v>
      </c>
      <c r="R101" s="8" t="s">
        <v>34</v>
      </c>
    </row>
    <row r="102">
      <c r="A102" s="4" t="s">
        <v>18</v>
      </c>
      <c r="B102" s="4" t="s">
        <v>346</v>
      </c>
      <c r="C102" s="5">
        <v>45853.0</v>
      </c>
      <c r="D102" s="5">
        <v>45853.0</v>
      </c>
      <c r="E102" s="4" t="s">
        <v>347</v>
      </c>
      <c r="F102" s="9"/>
      <c r="G102" s="6"/>
      <c r="H102" s="7">
        <v>503.0</v>
      </c>
      <c r="I102" s="11">
        <v>71987.15</v>
      </c>
      <c r="K102" s="1" t="str">
        <f t="shared" si="9"/>
        <v>SL1610</v>
      </c>
      <c r="L102" s="2" t="s">
        <v>348</v>
      </c>
      <c r="M102" s="2" t="s">
        <v>24</v>
      </c>
      <c r="N102" s="2" t="s">
        <v>60</v>
      </c>
      <c r="O102" s="2">
        <v>1.10751038E8</v>
      </c>
      <c r="Q102" s="8">
        <v>2025.0</v>
      </c>
      <c r="R102" s="8" t="s">
        <v>34</v>
      </c>
    </row>
    <row r="103">
      <c r="A103" s="4" t="s">
        <v>18</v>
      </c>
      <c r="B103" s="4" t="s">
        <v>349</v>
      </c>
      <c r="C103" s="5">
        <v>45853.0</v>
      </c>
      <c r="D103" s="5">
        <v>45853.0</v>
      </c>
      <c r="E103" s="4" t="s">
        <v>350</v>
      </c>
      <c r="F103" s="9"/>
      <c r="G103" s="6"/>
      <c r="H103" s="7">
        <v>496.0</v>
      </c>
      <c r="I103" s="11">
        <v>72483.15</v>
      </c>
      <c r="K103" s="1" t="str">
        <f t="shared" si="9"/>
        <v>SC3567</v>
      </c>
      <c r="L103" s="2" t="s">
        <v>351</v>
      </c>
      <c r="M103" s="2" t="s">
        <v>24</v>
      </c>
      <c r="N103" s="2" t="s">
        <v>60</v>
      </c>
      <c r="O103" s="2">
        <v>1.10751038E8</v>
      </c>
      <c r="Q103" s="8">
        <v>2025.0</v>
      </c>
      <c r="R103" s="8" t="s">
        <v>34</v>
      </c>
    </row>
    <row r="104">
      <c r="A104" s="4" t="s">
        <v>18</v>
      </c>
      <c r="B104" s="4" t="s">
        <v>352</v>
      </c>
      <c r="C104" s="5">
        <v>45853.0</v>
      </c>
      <c r="D104" s="5">
        <v>45853.0</v>
      </c>
      <c r="E104" s="4" t="s">
        <v>353</v>
      </c>
      <c r="F104" s="9"/>
      <c r="G104" s="6"/>
      <c r="H104" s="7">
        <v>496.0</v>
      </c>
      <c r="I104" s="11">
        <v>72979.15</v>
      </c>
      <c r="K104" s="1" t="str">
        <f t="shared" si="9"/>
        <v>SC3567</v>
      </c>
      <c r="L104" s="2" t="s">
        <v>354</v>
      </c>
      <c r="M104" s="2" t="s">
        <v>24</v>
      </c>
      <c r="N104" s="2" t="s">
        <v>60</v>
      </c>
      <c r="O104" s="2">
        <v>1.10751038E8</v>
      </c>
      <c r="Q104" s="8">
        <v>2025.0</v>
      </c>
      <c r="R104" s="8" t="s">
        <v>34</v>
      </c>
    </row>
    <row r="105">
      <c r="A105" s="4" t="s">
        <v>18</v>
      </c>
      <c r="B105" s="4" t="s">
        <v>355</v>
      </c>
      <c r="C105" s="5">
        <v>45853.0</v>
      </c>
      <c r="D105" s="5">
        <v>45853.0</v>
      </c>
      <c r="E105" s="4" t="s">
        <v>356</v>
      </c>
      <c r="F105" s="9"/>
      <c r="G105" s="6"/>
      <c r="H105" s="7">
        <v>385.0</v>
      </c>
      <c r="I105" s="11">
        <v>73364.15</v>
      </c>
      <c r="K105" s="1" t="str">
        <f t="shared" si="9"/>
        <v>UN3668</v>
      </c>
      <c r="L105" s="2" t="s">
        <v>357</v>
      </c>
      <c r="M105" s="2" t="s">
        <v>24</v>
      </c>
      <c r="N105" s="2" t="s">
        <v>60</v>
      </c>
      <c r="O105" s="2">
        <v>1.10751038E8</v>
      </c>
      <c r="Q105" s="8">
        <v>2025.0</v>
      </c>
      <c r="R105" s="8" t="s">
        <v>34</v>
      </c>
    </row>
    <row r="106">
      <c r="A106" s="4" t="s">
        <v>18</v>
      </c>
      <c r="B106" s="4" t="s">
        <v>358</v>
      </c>
      <c r="C106" s="5">
        <v>45853.0</v>
      </c>
      <c r="D106" s="5">
        <v>45853.0</v>
      </c>
      <c r="E106" s="4" t="s">
        <v>359</v>
      </c>
      <c r="F106" s="9"/>
      <c r="G106" s="6"/>
      <c r="H106" s="7">
        <v>299.0</v>
      </c>
      <c r="I106" s="11">
        <v>73663.15</v>
      </c>
      <c r="K106" s="1" t="str">
        <f t="shared" si="9"/>
        <v>UN3668</v>
      </c>
      <c r="L106" s="2" t="s">
        <v>360</v>
      </c>
      <c r="M106" s="2" t="s">
        <v>24</v>
      </c>
      <c r="N106" s="2" t="s">
        <v>60</v>
      </c>
      <c r="O106" s="2">
        <v>1.10751038E8</v>
      </c>
      <c r="Q106" s="8">
        <v>2025.0</v>
      </c>
      <c r="R106" s="8" t="s">
        <v>34</v>
      </c>
    </row>
    <row r="107">
      <c r="A107" s="4" t="s">
        <v>18</v>
      </c>
      <c r="B107" s="4" t="s">
        <v>361</v>
      </c>
      <c r="C107" s="5">
        <v>45853.0</v>
      </c>
      <c r="D107" s="5">
        <v>45853.0</v>
      </c>
      <c r="E107" s="4" t="s">
        <v>362</v>
      </c>
      <c r="F107" s="9"/>
      <c r="G107" s="6"/>
      <c r="H107" s="7">
        <v>396.0</v>
      </c>
      <c r="I107" s="11">
        <v>74059.15</v>
      </c>
      <c r="K107" s="1" t="str">
        <f t="shared" si="9"/>
        <v>SL1610</v>
      </c>
      <c r="L107" s="2" t="s">
        <v>363</v>
      </c>
      <c r="M107" s="2" t="s">
        <v>24</v>
      </c>
      <c r="N107" s="2" t="s">
        <v>60</v>
      </c>
      <c r="O107" s="2">
        <v>1.10751038E8</v>
      </c>
      <c r="Q107" s="8">
        <v>2025.0</v>
      </c>
      <c r="R107" s="8" t="s">
        <v>34</v>
      </c>
    </row>
    <row r="108">
      <c r="A108" s="4" t="s">
        <v>18</v>
      </c>
      <c r="B108" s="4" t="s">
        <v>364</v>
      </c>
      <c r="C108" s="5">
        <v>45853.0</v>
      </c>
      <c r="D108" s="5">
        <v>45853.0</v>
      </c>
      <c r="E108" s="4" t="s">
        <v>365</v>
      </c>
      <c r="F108" s="9"/>
      <c r="G108" s="11">
        <v>2000.0</v>
      </c>
      <c r="H108" s="6"/>
      <c r="I108" s="11">
        <v>72059.15</v>
      </c>
      <c r="J108" s="2" t="s">
        <v>366</v>
      </c>
      <c r="K108" s="1" t="s">
        <v>123</v>
      </c>
      <c r="M108" s="2" t="s">
        <v>114</v>
      </c>
      <c r="N108" s="2" t="s">
        <v>169</v>
      </c>
      <c r="O108" s="2">
        <v>1.10751038E8</v>
      </c>
      <c r="Q108" s="8">
        <v>2025.0</v>
      </c>
      <c r="R108" s="8" t="s">
        <v>34</v>
      </c>
    </row>
    <row r="109">
      <c r="A109" s="4" t="s">
        <v>18</v>
      </c>
      <c r="B109" s="4" t="s">
        <v>367</v>
      </c>
      <c r="C109" s="5">
        <v>45853.0</v>
      </c>
      <c r="D109" s="5">
        <v>45853.0</v>
      </c>
      <c r="E109" s="4" t="s">
        <v>368</v>
      </c>
      <c r="F109" s="9"/>
      <c r="G109" s="6"/>
      <c r="H109" s="7">
        <v>567.0</v>
      </c>
      <c r="I109" s="11">
        <v>72626.15</v>
      </c>
      <c r="K109" s="1" t="str">
        <f t="shared" ref="K109:K113" si="10">RIGHT(E109,6)</f>
        <v>SL1610</v>
      </c>
      <c r="L109" s="2" t="s">
        <v>369</v>
      </c>
      <c r="M109" s="2" t="s">
        <v>24</v>
      </c>
      <c r="N109" s="2" t="s">
        <v>60</v>
      </c>
      <c r="O109" s="2">
        <v>1.10751038E8</v>
      </c>
      <c r="Q109" s="8">
        <v>2025.0</v>
      </c>
      <c r="R109" s="8" t="s">
        <v>34</v>
      </c>
    </row>
    <row r="110">
      <c r="A110" s="4" t="s">
        <v>18</v>
      </c>
      <c r="B110" s="4" t="s">
        <v>370</v>
      </c>
      <c r="C110" s="5">
        <v>45853.0</v>
      </c>
      <c r="D110" s="5">
        <v>45853.0</v>
      </c>
      <c r="E110" s="4" t="s">
        <v>371</v>
      </c>
      <c r="F110" s="9"/>
      <c r="G110" s="6"/>
      <c r="H110" s="7">
        <v>475.0</v>
      </c>
      <c r="I110" s="11">
        <v>73101.15</v>
      </c>
      <c r="K110" s="1" t="str">
        <f t="shared" si="10"/>
        <v>UN3668</v>
      </c>
      <c r="L110" s="2" t="s">
        <v>372</v>
      </c>
      <c r="M110" s="2" t="s">
        <v>24</v>
      </c>
      <c r="N110" s="2" t="s">
        <v>60</v>
      </c>
      <c r="O110" s="2">
        <v>1.10751038E8</v>
      </c>
      <c r="Q110" s="8">
        <v>2025.0</v>
      </c>
      <c r="R110" s="8" t="s">
        <v>34</v>
      </c>
    </row>
    <row r="111">
      <c r="A111" s="4" t="s">
        <v>18</v>
      </c>
      <c r="B111" s="4" t="s">
        <v>373</v>
      </c>
      <c r="C111" s="5">
        <v>45853.0</v>
      </c>
      <c r="D111" s="5">
        <v>45853.0</v>
      </c>
      <c r="E111" s="4" t="s">
        <v>374</v>
      </c>
      <c r="F111" s="9"/>
      <c r="G111" s="6"/>
      <c r="H111" s="7">
        <v>364.0</v>
      </c>
      <c r="I111" s="11">
        <v>73465.15</v>
      </c>
      <c r="K111" s="1" t="str">
        <f t="shared" si="10"/>
        <v>UN3668</v>
      </c>
      <c r="L111" s="2" t="s">
        <v>375</v>
      </c>
      <c r="M111" s="2" t="s">
        <v>24</v>
      </c>
      <c r="N111" s="2" t="s">
        <v>60</v>
      </c>
      <c r="O111" s="2">
        <v>1.10751038E8</v>
      </c>
      <c r="Q111" s="8">
        <v>2025.0</v>
      </c>
      <c r="R111" s="8" t="s">
        <v>34</v>
      </c>
    </row>
    <row r="112">
      <c r="A112" s="4" t="s">
        <v>18</v>
      </c>
      <c r="B112" s="4" t="s">
        <v>376</v>
      </c>
      <c r="C112" s="5">
        <v>45854.0</v>
      </c>
      <c r="D112" s="5">
        <v>45854.0</v>
      </c>
      <c r="E112" s="4" t="s">
        <v>377</v>
      </c>
      <c r="F112" s="9"/>
      <c r="G112" s="6"/>
      <c r="H112" s="7">
        <v>755.0</v>
      </c>
      <c r="I112" s="11">
        <v>74220.15</v>
      </c>
      <c r="K112" s="1" t="str">
        <f t="shared" si="10"/>
        <v>SL1610</v>
      </c>
      <c r="L112" s="2" t="s">
        <v>378</v>
      </c>
      <c r="M112" s="2" t="s">
        <v>24</v>
      </c>
      <c r="N112" s="2" t="s">
        <v>60</v>
      </c>
      <c r="O112" s="2">
        <v>1.10751038E8</v>
      </c>
      <c r="Q112" s="8">
        <v>2025.0</v>
      </c>
      <c r="R112" s="8" t="s">
        <v>34</v>
      </c>
    </row>
    <row r="113">
      <c r="A113" s="4" t="s">
        <v>18</v>
      </c>
      <c r="B113" s="4" t="s">
        <v>379</v>
      </c>
      <c r="C113" s="5">
        <v>45854.0</v>
      </c>
      <c r="D113" s="5">
        <v>45854.0</v>
      </c>
      <c r="E113" s="4" t="s">
        <v>380</v>
      </c>
      <c r="F113" s="9"/>
      <c r="G113" s="6"/>
      <c r="H113" s="7">
        <v>488.0</v>
      </c>
      <c r="I113" s="11">
        <v>74708.15</v>
      </c>
      <c r="K113" s="1" t="str">
        <f t="shared" si="10"/>
        <v>SL1610</v>
      </c>
      <c r="L113" s="2" t="s">
        <v>381</v>
      </c>
      <c r="M113" s="2" t="s">
        <v>24</v>
      </c>
      <c r="N113" s="2" t="s">
        <v>60</v>
      </c>
      <c r="O113" s="2">
        <v>1.10751038E8</v>
      </c>
      <c r="Q113" s="8">
        <v>2025.0</v>
      </c>
      <c r="R113" s="8" t="s">
        <v>34</v>
      </c>
    </row>
    <row r="114">
      <c r="A114" s="4" t="s">
        <v>18</v>
      </c>
      <c r="B114" s="4" t="s">
        <v>382</v>
      </c>
      <c r="C114" s="5">
        <v>45854.0</v>
      </c>
      <c r="D114" s="5">
        <v>45854.0</v>
      </c>
      <c r="E114" s="4" t="s">
        <v>383</v>
      </c>
      <c r="F114" s="9"/>
      <c r="G114" s="7">
        <v>1.0</v>
      </c>
      <c r="H114" s="6"/>
      <c r="I114" s="11">
        <v>74707.15</v>
      </c>
      <c r="J114" s="2" t="s">
        <v>384</v>
      </c>
      <c r="K114" s="1" t="s">
        <v>119</v>
      </c>
      <c r="M114" s="2" t="s">
        <v>114</v>
      </c>
      <c r="N114" s="2" t="s">
        <v>385</v>
      </c>
      <c r="O114" s="2">
        <v>1.10751038E8</v>
      </c>
      <c r="Q114" s="8">
        <v>2025.0</v>
      </c>
      <c r="R114" s="8" t="s">
        <v>34</v>
      </c>
    </row>
    <row r="115">
      <c r="A115" s="4" t="s">
        <v>18</v>
      </c>
      <c r="B115" s="4" t="s">
        <v>386</v>
      </c>
      <c r="C115" s="5">
        <v>45854.0</v>
      </c>
      <c r="D115" s="5">
        <v>45854.0</v>
      </c>
      <c r="E115" s="4" t="s">
        <v>387</v>
      </c>
      <c r="F115" s="9"/>
      <c r="G115" s="7">
        <v>1.0</v>
      </c>
      <c r="H115" s="6"/>
      <c r="I115" s="11">
        <v>74706.15</v>
      </c>
      <c r="J115" s="2" t="s">
        <v>384</v>
      </c>
      <c r="K115" s="1" t="s">
        <v>119</v>
      </c>
      <c r="M115" s="2" t="s">
        <v>114</v>
      </c>
      <c r="N115" s="2" t="s">
        <v>385</v>
      </c>
      <c r="O115" s="2">
        <v>1.10751038E8</v>
      </c>
      <c r="Q115" s="8">
        <v>2025.0</v>
      </c>
      <c r="R115" s="8" t="s">
        <v>34</v>
      </c>
    </row>
    <row r="116">
      <c r="A116" s="4" t="s">
        <v>18</v>
      </c>
      <c r="B116" s="4" t="s">
        <v>388</v>
      </c>
      <c r="C116" s="5">
        <v>45854.0</v>
      </c>
      <c r="D116" s="5">
        <v>45854.0</v>
      </c>
      <c r="E116" s="4" t="s">
        <v>389</v>
      </c>
      <c r="F116" s="9"/>
      <c r="G116" s="6"/>
      <c r="H116" s="7">
        <v>648.0</v>
      </c>
      <c r="I116" s="11">
        <v>75354.15</v>
      </c>
      <c r="K116" s="1" t="str">
        <f t="shared" ref="K116:K129" si="11">RIGHT(E116,6)</f>
        <v>SC3567</v>
      </c>
      <c r="L116" s="2" t="s">
        <v>390</v>
      </c>
      <c r="M116" s="2" t="s">
        <v>24</v>
      </c>
      <c r="N116" s="2" t="s">
        <v>60</v>
      </c>
      <c r="O116" s="2">
        <v>1.10751038E8</v>
      </c>
      <c r="Q116" s="8">
        <v>2025.0</v>
      </c>
      <c r="R116" s="8" t="s">
        <v>34</v>
      </c>
    </row>
    <row r="117">
      <c r="A117" s="4" t="s">
        <v>18</v>
      </c>
      <c r="B117" s="4" t="s">
        <v>391</v>
      </c>
      <c r="C117" s="5">
        <v>45854.0</v>
      </c>
      <c r="D117" s="5">
        <v>45854.0</v>
      </c>
      <c r="E117" s="4" t="s">
        <v>392</v>
      </c>
      <c r="F117" s="9"/>
      <c r="G117" s="6"/>
      <c r="H117" s="7">
        <v>445.6</v>
      </c>
      <c r="I117" s="11">
        <v>75799.75</v>
      </c>
      <c r="K117" s="1" t="str">
        <f t="shared" si="11"/>
        <v>SC3567</v>
      </c>
      <c r="L117" s="2" t="s">
        <v>393</v>
      </c>
      <c r="M117" s="2" t="s">
        <v>24</v>
      </c>
      <c r="N117" s="2" t="s">
        <v>60</v>
      </c>
      <c r="O117" s="2">
        <v>1.10751038E8</v>
      </c>
      <c r="Q117" s="8">
        <v>2025.0</v>
      </c>
      <c r="R117" s="8" t="s">
        <v>34</v>
      </c>
    </row>
    <row r="118">
      <c r="A118" s="4" t="s">
        <v>18</v>
      </c>
      <c r="B118" s="4" t="s">
        <v>394</v>
      </c>
      <c r="C118" s="5">
        <v>45854.0</v>
      </c>
      <c r="D118" s="5">
        <v>45854.0</v>
      </c>
      <c r="E118" s="4" t="s">
        <v>395</v>
      </c>
      <c r="F118" s="9"/>
      <c r="G118" s="6"/>
      <c r="H118" s="7">
        <v>495.0</v>
      </c>
      <c r="I118" s="11">
        <v>76294.75</v>
      </c>
      <c r="K118" s="1" t="str">
        <f t="shared" si="11"/>
        <v>UN3668</v>
      </c>
      <c r="L118" s="2" t="s">
        <v>396</v>
      </c>
      <c r="M118" s="2" t="s">
        <v>24</v>
      </c>
      <c r="N118" s="2" t="s">
        <v>60</v>
      </c>
      <c r="O118" s="2">
        <v>1.10751038E8</v>
      </c>
      <c r="Q118" s="8">
        <v>2025.0</v>
      </c>
      <c r="R118" s="8" t="s">
        <v>34</v>
      </c>
    </row>
    <row r="119">
      <c r="A119" s="4" t="s">
        <v>18</v>
      </c>
      <c r="B119" s="4" t="s">
        <v>397</v>
      </c>
      <c r="C119" s="5">
        <v>45855.0</v>
      </c>
      <c r="D119" s="5">
        <v>45855.0</v>
      </c>
      <c r="E119" s="4" t="s">
        <v>398</v>
      </c>
      <c r="F119" s="9"/>
      <c r="G119" s="6"/>
      <c r="H119" s="7">
        <v>200.0</v>
      </c>
      <c r="I119" s="11">
        <v>76494.75</v>
      </c>
      <c r="K119" s="1" t="str">
        <f t="shared" si="11"/>
        <v>SC3567</v>
      </c>
      <c r="L119" s="2" t="s">
        <v>399</v>
      </c>
      <c r="M119" s="2" t="s">
        <v>24</v>
      </c>
      <c r="N119" s="2" t="s">
        <v>60</v>
      </c>
      <c r="O119" s="2">
        <v>1.10751038E8</v>
      </c>
      <c r="Q119" s="8">
        <v>2025.0</v>
      </c>
      <c r="R119" s="8" t="s">
        <v>34</v>
      </c>
    </row>
    <row r="120">
      <c r="A120" s="4" t="s">
        <v>18</v>
      </c>
      <c r="B120" s="4" t="s">
        <v>400</v>
      </c>
      <c r="C120" s="5">
        <v>45855.0</v>
      </c>
      <c r="D120" s="5">
        <v>45855.0</v>
      </c>
      <c r="E120" s="4" t="s">
        <v>401</v>
      </c>
      <c r="F120" s="9"/>
      <c r="G120" s="6"/>
      <c r="H120" s="7">
        <v>195.0</v>
      </c>
      <c r="I120" s="11">
        <v>76689.75</v>
      </c>
      <c r="K120" s="1" t="str">
        <f t="shared" si="11"/>
        <v>UN3668</v>
      </c>
      <c r="L120" s="2" t="s">
        <v>402</v>
      </c>
      <c r="M120" s="2" t="s">
        <v>24</v>
      </c>
      <c r="N120" s="2" t="s">
        <v>60</v>
      </c>
      <c r="O120" s="2">
        <v>1.10751038E8</v>
      </c>
      <c r="Q120" s="8">
        <v>2025.0</v>
      </c>
      <c r="R120" s="8" t="s">
        <v>34</v>
      </c>
    </row>
    <row r="121">
      <c r="A121" s="4" t="s">
        <v>18</v>
      </c>
      <c r="B121" s="4" t="s">
        <v>403</v>
      </c>
      <c r="C121" s="5">
        <v>45855.0</v>
      </c>
      <c r="D121" s="5">
        <v>45855.0</v>
      </c>
      <c r="E121" s="4" t="s">
        <v>404</v>
      </c>
      <c r="F121" s="9"/>
      <c r="G121" s="6"/>
      <c r="H121" s="7">
        <v>637.0</v>
      </c>
      <c r="I121" s="11">
        <v>77326.75</v>
      </c>
      <c r="K121" s="1" t="str">
        <f t="shared" si="11"/>
        <v>UN3668</v>
      </c>
      <c r="L121" s="2" t="s">
        <v>405</v>
      </c>
      <c r="M121" s="2" t="s">
        <v>24</v>
      </c>
      <c r="N121" s="2" t="s">
        <v>60</v>
      </c>
      <c r="O121" s="2">
        <v>1.10751038E8</v>
      </c>
      <c r="Q121" s="8">
        <v>2025.0</v>
      </c>
      <c r="R121" s="8" t="s">
        <v>34</v>
      </c>
    </row>
    <row r="122">
      <c r="A122" s="4" t="s">
        <v>18</v>
      </c>
      <c r="B122" s="4" t="s">
        <v>406</v>
      </c>
      <c r="C122" s="5">
        <v>45855.0</v>
      </c>
      <c r="D122" s="5">
        <v>45855.0</v>
      </c>
      <c r="E122" s="4" t="s">
        <v>407</v>
      </c>
      <c r="F122" s="9"/>
      <c r="G122" s="6"/>
      <c r="H122" s="7">
        <v>338.0</v>
      </c>
      <c r="I122" s="11">
        <v>77664.75</v>
      </c>
      <c r="K122" s="1" t="str">
        <f t="shared" si="11"/>
        <v>UN3668</v>
      </c>
      <c r="L122" s="2" t="s">
        <v>408</v>
      </c>
      <c r="M122" s="2" t="s">
        <v>24</v>
      </c>
      <c r="N122" s="2" t="s">
        <v>60</v>
      </c>
      <c r="O122" s="2">
        <v>1.10751038E8</v>
      </c>
      <c r="Q122" s="8">
        <v>2025.0</v>
      </c>
      <c r="R122" s="8" t="s">
        <v>34</v>
      </c>
    </row>
    <row r="123">
      <c r="A123" s="4" t="s">
        <v>18</v>
      </c>
      <c r="B123" s="4" t="s">
        <v>409</v>
      </c>
      <c r="C123" s="5">
        <v>45855.0</v>
      </c>
      <c r="D123" s="5">
        <v>45855.0</v>
      </c>
      <c r="E123" s="4" t="s">
        <v>410</v>
      </c>
      <c r="F123" s="9"/>
      <c r="G123" s="6"/>
      <c r="H123" s="11">
        <v>1089.0</v>
      </c>
      <c r="I123" s="11">
        <v>78753.75</v>
      </c>
      <c r="K123" s="1" t="str">
        <f t="shared" si="11"/>
        <v>SC3567</v>
      </c>
      <c r="L123" s="2" t="s">
        <v>411</v>
      </c>
      <c r="M123" s="2" t="s">
        <v>24</v>
      </c>
      <c r="N123" s="2" t="s">
        <v>60</v>
      </c>
      <c r="O123" s="2">
        <v>1.10751038E8</v>
      </c>
      <c r="Q123" s="8">
        <v>2025.0</v>
      </c>
      <c r="R123" s="8" t="s">
        <v>34</v>
      </c>
    </row>
    <row r="124">
      <c r="A124" s="4" t="s">
        <v>18</v>
      </c>
      <c r="B124" s="4" t="s">
        <v>412</v>
      </c>
      <c r="C124" s="5">
        <v>45855.0</v>
      </c>
      <c r="D124" s="5">
        <v>45855.0</v>
      </c>
      <c r="E124" s="4" t="s">
        <v>413</v>
      </c>
      <c r="F124" s="9"/>
      <c r="G124" s="6"/>
      <c r="H124" s="11">
        <v>2025.0</v>
      </c>
      <c r="I124" s="11">
        <v>80778.75</v>
      </c>
      <c r="K124" s="1" t="str">
        <f t="shared" si="11"/>
        <v>UN3668</v>
      </c>
      <c r="L124" s="2" t="s">
        <v>414</v>
      </c>
      <c r="M124" s="2" t="s">
        <v>24</v>
      </c>
      <c r="N124" s="2" t="s">
        <v>60</v>
      </c>
      <c r="O124" s="2">
        <v>1.10751038E8</v>
      </c>
      <c r="Q124" s="8">
        <v>2025.0</v>
      </c>
      <c r="R124" s="8" t="s">
        <v>34</v>
      </c>
    </row>
    <row r="125">
      <c r="A125" s="4" t="s">
        <v>18</v>
      </c>
      <c r="B125" s="4" t="s">
        <v>415</v>
      </c>
      <c r="C125" s="5">
        <v>45855.0</v>
      </c>
      <c r="D125" s="5">
        <v>45855.0</v>
      </c>
      <c r="E125" s="4" t="s">
        <v>416</v>
      </c>
      <c r="F125" s="9"/>
      <c r="G125" s="6"/>
      <c r="H125" s="11">
        <v>2000.0</v>
      </c>
      <c r="I125" s="11">
        <v>82778.75</v>
      </c>
      <c r="K125" s="1" t="str">
        <f t="shared" si="11"/>
        <v>UN3668</v>
      </c>
      <c r="L125" s="2" t="s">
        <v>417</v>
      </c>
      <c r="M125" s="2" t="s">
        <v>24</v>
      </c>
      <c r="N125" s="2" t="s">
        <v>60</v>
      </c>
      <c r="O125" s="2">
        <v>1.10751038E8</v>
      </c>
      <c r="Q125" s="8">
        <v>2025.0</v>
      </c>
      <c r="R125" s="8" t="s">
        <v>34</v>
      </c>
    </row>
    <row r="126">
      <c r="A126" s="4" t="s">
        <v>18</v>
      </c>
      <c r="B126" s="4" t="s">
        <v>418</v>
      </c>
      <c r="C126" s="5">
        <v>45855.0</v>
      </c>
      <c r="D126" s="5">
        <v>45855.0</v>
      </c>
      <c r="E126" s="4" t="s">
        <v>419</v>
      </c>
      <c r="F126" s="9"/>
      <c r="G126" s="6"/>
      <c r="H126" s="7">
        <v>538.0</v>
      </c>
      <c r="I126" s="11">
        <v>83316.75</v>
      </c>
      <c r="K126" s="1" t="str">
        <f t="shared" si="11"/>
        <v>SC3567</v>
      </c>
      <c r="L126" s="2" t="s">
        <v>420</v>
      </c>
      <c r="M126" s="2" t="s">
        <v>24</v>
      </c>
      <c r="N126" s="2" t="s">
        <v>60</v>
      </c>
      <c r="O126" s="2">
        <v>1.10751038E8</v>
      </c>
      <c r="Q126" s="8">
        <v>2025.0</v>
      </c>
      <c r="R126" s="8" t="s">
        <v>34</v>
      </c>
    </row>
    <row r="127">
      <c r="A127" s="4" t="s">
        <v>18</v>
      </c>
      <c r="B127" s="4" t="s">
        <v>421</v>
      </c>
      <c r="C127" s="5">
        <v>45855.0</v>
      </c>
      <c r="D127" s="5">
        <v>45855.0</v>
      </c>
      <c r="E127" s="4" t="s">
        <v>422</v>
      </c>
      <c r="F127" s="9"/>
      <c r="G127" s="6"/>
      <c r="H127" s="7">
        <v>250.0</v>
      </c>
      <c r="I127" s="11">
        <v>83566.75</v>
      </c>
      <c r="K127" s="1" t="str">
        <f t="shared" si="11"/>
        <v>KN3817</v>
      </c>
      <c r="L127" s="2" t="s">
        <v>423</v>
      </c>
      <c r="M127" s="2" t="s">
        <v>24</v>
      </c>
      <c r="N127" s="2" t="s">
        <v>60</v>
      </c>
      <c r="O127" s="2">
        <v>1.10751038E8</v>
      </c>
      <c r="Q127" s="8">
        <v>2025.0</v>
      </c>
      <c r="R127" s="8" t="s">
        <v>34</v>
      </c>
    </row>
    <row r="128">
      <c r="A128" s="4" t="s">
        <v>18</v>
      </c>
      <c r="B128" s="4" t="s">
        <v>424</v>
      </c>
      <c r="C128" s="5">
        <v>45855.0</v>
      </c>
      <c r="D128" s="5">
        <v>45855.0</v>
      </c>
      <c r="E128" s="4" t="s">
        <v>425</v>
      </c>
      <c r="F128" s="9"/>
      <c r="G128" s="6"/>
      <c r="H128" s="11">
        <v>1072.0</v>
      </c>
      <c r="I128" s="11">
        <v>84638.75</v>
      </c>
      <c r="K128" s="1" t="str">
        <f t="shared" si="11"/>
        <v>KN3817</v>
      </c>
      <c r="L128" s="2" t="s">
        <v>426</v>
      </c>
      <c r="M128" s="2" t="s">
        <v>24</v>
      </c>
      <c r="N128" s="2" t="s">
        <v>60</v>
      </c>
      <c r="O128" s="2">
        <v>1.10751038E8</v>
      </c>
      <c r="Q128" s="8">
        <v>2025.0</v>
      </c>
      <c r="R128" s="8" t="s">
        <v>34</v>
      </c>
    </row>
    <row r="129">
      <c r="A129" s="4" t="s">
        <v>18</v>
      </c>
      <c r="B129" s="4" t="s">
        <v>427</v>
      </c>
      <c r="C129" s="5">
        <v>45856.0</v>
      </c>
      <c r="D129" s="5">
        <v>45856.0</v>
      </c>
      <c r="E129" s="4" t="s">
        <v>428</v>
      </c>
      <c r="F129" s="9"/>
      <c r="G129" s="6"/>
      <c r="H129" s="7">
        <v>150.0</v>
      </c>
      <c r="I129" s="11">
        <v>84788.75</v>
      </c>
      <c r="K129" s="1" t="str">
        <f t="shared" si="11"/>
        <v>KN3817</v>
      </c>
      <c r="L129" s="2" t="s">
        <v>429</v>
      </c>
      <c r="M129" s="2" t="s">
        <v>24</v>
      </c>
      <c r="N129" s="2" t="s">
        <v>60</v>
      </c>
      <c r="O129" s="2">
        <v>1.10751038E8</v>
      </c>
      <c r="Q129" s="8">
        <v>2025.0</v>
      </c>
      <c r="R129" s="8" t="s">
        <v>34</v>
      </c>
    </row>
    <row r="130">
      <c r="A130" s="4" t="s">
        <v>18</v>
      </c>
      <c r="B130" s="4" t="s">
        <v>430</v>
      </c>
      <c r="C130" s="5">
        <v>45856.0</v>
      </c>
      <c r="D130" s="5">
        <v>45856.0</v>
      </c>
      <c r="E130" s="4" t="s">
        <v>431</v>
      </c>
      <c r="F130" s="9"/>
      <c r="G130" s="7">
        <v>896.64</v>
      </c>
      <c r="H130" s="6"/>
      <c r="I130" s="11">
        <v>83892.11</v>
      </c>
      <c r="J130" s="2" t="s">
        <v>275</v>
      </c>
      <c r="K130" s="1" t="s">
        <v>127</v>
      </c>
      <c r="M130" s="2" t="s">
        <v>114</v>
      </c>
      <c r="N130" s="2" t="s">
        <v>275</v>
      </c>
      <c r="O130" s="2">
        <v>1.10751038E8</v>
      </c>
      <c r="Q130" s="8">
        <v>2025.0</v>
      </c>
      <c r="R130" s="8" t="s">
        <v>34</v>
      </c>
    </row>
    <row r="131">
      <c r="A131" s="4" t="s">
        <v>18</v>
      </c>
      <c r="B131" s="4" t="s">
        <v>432</v>
      </c>
      <c r="C131" s="5">
        <v>45856.0</v>
      </c>
      <c r="D131" s="5">
        <v>45856.0</v>
      </c>
      <c r="E131" s="4" t="s">
        <v>433</v>
      </c>
      <c r="F131" s="9"/>
      <c r="G131" s="7">
        <v>124.32</v>
      </c>
      <c r="H131" s="6"/>
      <c r="I131" s="11">
        <v>83767.79</v>
      </c>
      <c r="J131" s="2" t="s">
        <v>275</v>
      </c>
      <c r="K131" s="1" t="s">
        <v>119</v>
      </c>
      <c r="M131" s="2" t="s">
        <v>114</v>
      </c>
      <c r="N131" s="2" t="s">
        <v>275</v>
      </c>
      <c r="O131" s="2">
        <v>1.10751038E8</v>
      </c>
      <c r="Q131" s="8">
        <v>2025.0</v>
      </c>
      <c r="R131" s="8" t="s">
        <v>34</v>
      </c>
    </row>
    <row r="132">
      <c r="A132" s="4" t="s">
        <v>18</v>
      </c>
      <c r="B132" s="4" t="s">
        <v>434</v>
      </c>
      <c r="C132" s="5">
        <v>45856.0</v>
      </c>
      <c r="D132" s="5">
        <v>45856.0</v>
      </c>
      <c r="E132" s="4" t="s">
        <v>435</v>
      </c>
      <c r="F132" s="9"/>
      <c r="G132" s="6"/>
      <c r="H132" s="7">
        <v>353.0</v>
      </c>
      <c r="I132" s="11">
        <v>84120.79</v>
      </c>
      <c r="K132" s="1" t="str">
        <f t="shared" ref="K132:K144" si="12">RIGHT(E132,6)</f>
        <v>UN3668</v>
      </c>
      <c r="L132" s="2" t="s">
        <v>436</v>
      </c>
      <c r="M132" s="2" t="s">
        <v>24</v>
      </c>
      <c r="N132" s="2" t="s">
        <v>60</v>
      </c>
      <c r="O132" s="2">
        <v>1.10751038E8</v>
      </c>
      <c r="Q132" s="8">
        <v>2025.0</v>
      </c>
      <c r="R132" s="8" t="s">
        <v>34</v>
      </c>
    </row>
    <row r="133">
      <c r="A133" s="4" t="s">
        <v>18</v>
      </c>
      <c r="B133" s="4" t="s">
        <v>437</v>
      </c>
      <c r="C133" s="5">
        <v>45856.0</v>
      </c>
      <c r="D133" s="5">
        <v>45856.0</v>
      </c>
      <c r="E133" s="4" t="s">
        <v>438</v>
      </c>
      <c r="F133" s="9"/>
      <c r="G133" s="6"/>
      <c r="H133" s="11">
        <v>1136.0</v>
      </c>
      <c r="I133" s="11">
        <v>85256.79</v>
      </c>
      <c r="K133" s="1" t="str">
        <f t="shared" si="12"/>
        <v>SL1610</v>
      </c>
      <c r="L133" s="2" t="s">
        <v>439</v>
      </c>
      <c r="M133" s="2" t="s">
        <v>24</v>
      </c>
      <c r="N133" s="2" t="s">
        <v>60</v>
      </c>
      <c r="O133" s="2">
        <v>1.10751038E8</v>
      </c>
      <c r="Q133" s="8">
        <v>2025.0</v>
      </c>
      <c r="R133" s="8" t="s">
        <v>34</v>
      </c>
    </row>
    <row r="134">
      <c r="A134" s="4" t="s">
        <v>18</v>
      </c>
      <c r="B134" s="4" t="s">
        <v>440</v>
      </c>
      <c r="C134" s="5">
        <v>45856.0</v>
      </c>
      <c r="D134" s="5">
        <v>45856.0</v>
      </c>
      <c r="E134" s="4" t="s">
        <v>441</v>
      </c>
      <c r="F134" s="9"/>
      <c r="G134" s="6"/>
      <c r="H134" s="7">
        <v>350.0</v>
      </c>
      <c r="I134" s="11">
        <v>85606.79</v>
      </c>
      <c r="K134" s="1" t="str">
        <f t="shared" si="12"/>
        <v>KN3817</v>
      </c>
      <c r="L134" s="2" t="s">
        <v>442</v>
      </c>
      <c r="M134" s="2" t="s">
        <v>24</v>
      </c>
      <c r="N134" s="2" t="s">
        <v>60</v>
      </c>
      <c r="O134" s="2">
        <v>1.10751038E8</v>
      </c>
      <c r="Q134" s="8">
        <v>2025.0</v>
      </c>
      <c r="R134" s="8" t="s">
        <v>34</v>
      </c>
    </row>
    <row r="135">
      <c r="A135" s="4" t="s">
        <v>18</v>
      </c>
      <c r="B135" s="4" t="s">
        <v>443</v>
      </c>
      <c r="C135" s="5">
        <v>45856.0</v>
      </c>
      <c r="D135" s="5">
        <v>45856.0</v>
      </c>
      <c r="E135" s="4" t="s">
        <v>444</v>
      </c>
      <c r="F135" s="9"/>
      <c r="G135" s="6"/>
      <c r="H135" s="7">
        <v>300.0</v>
      </c>
      <c r="I135" s="11">
        <v>85906.79</v>
      </c>
      <c r="K135" s="1" t="str">
        <f t="shared" si="12"/>
        <v>UN3668</v>
      </c>
      <c r="L135" s="2" t="s">
        <v>445</v>
      </c>
      <c r="M135" s="2" t="s">
        <v>24</v>
      </c>
      <c r="N135" s="2" t="s">
        <v>60</v>
      </c>
      <c r="O135" s="2">
        <v>1.10751038E8</v>
      </c>
      <c r="Q135" s="8">
        <v>2025.0</v>
      </c>
      <c r="R135" s="8" t="s">
        <v>34</v>
      </c>
    </row>
    <row r="136">
      <c r="A136" s="4" t="s">
        <v>18</v>
      </c>
      <c r="B136" s="4" t="s">
        <v>446</v>
      </c>
      <c r="C136" s="5">
        <v>45856.0</v>
      </c>
      <c r="D136" s="5">
        <v>45856.0</v>
      </c>
      <c r="E136" s="4" t="s">
        <v>447</v>
      </c>
      <c r="F136" s="9"/>
      <c r="G136" s="6"/>
      <c r="H136" s="7">
        <v>263.0</v>
      </c>
      <c r="I136" s="11">
        <v>86169.79</v>
      </c>
      <c r="K136" s="1" t="str">
        <f t="shared" si="12"/>
        <v>UN3668</v>
      </c>
      <c r="L136" s="2" t="s">
        <v>448</v>
      </c>
      <c r="M136" s="2" t="s">
        <v>24</v>
      </c>
      <c r="N136" s="2" t="s">
        <v>60</v>
      </c>
      <c r="O136" s="2">
        <v>1.10751038E8</v>
      </c>
      <c r="Q136" s="8">
        <v>2025.0</v>
      </c>
      <c r="R136" s="8" t="s">
        <v>34</v>
      </c>
    </row>
    <row r="137">
      <c r="A137" s="4" t="s">
        <v>18</v>
      </c>
      <c r="B137" s="4" t="s">
        <v>449</v>
      </c>
      <c r="C137" s="5">
        <v>45856.0</v>
      </c>
      <c r="D137" s="5">
        <v>45856.0</v>
      </c>
      <c r="E137" s="4" t="s">
        <v>450</v>
      </c>
      <c r="F137" s="9"/>
      <c r="G137" s="6"/>
      <c r="H137" s="7">
        <v>600.0</v>
      </c>
      <c r="I137" s="11">
        <v>86769.79</v>
      </c>
      <c r="K137" s="1" t="str">
        <f t="shared" si="12"/>
        <v>UN3668</v>
      </c>
      <c r="L137" s="2" t="s">
        <v>451</v>
      </c>
      <c r="M137" s="2" t="s">
        <v>24</v>
      </c>
      <c r="N137" s="2" t="s">
        <v>60</v>
      </c>
      <c r="O137" s="2">
        <v>1.10751038E8</v>
      </c>
      <c r="Q137" s="8">
        <v>2025.0</v>
      </c>
      <c r="R137" s="8" t="s">
        <v>34</v>
      </c>
    </row>
    <row r="138">
      <c r="A138" s="4" t="s">
        <v>18</v>
      </c>
      <c r="B138" s="4" t="s">
        <v>452</v>
      </c>
      <c r="C138" s="5">
        <v>45856.0</v>
      </c>
      <c r="D138" s="5">
        <v>45856.0</v>
      </c>
      <c r="E138" s="4" t="s">
        <v>453</v>
      </c>
      <c r="F138" s="9"/>
      <c r="G138" s="6"/>
      <c r="H138" s="7">
        <v>338.0</v>
      </c>
      <c r="I138" s="11">
        <v>87107.79</v>
      </c>
      <c r="K138" s="1" t="str">
        <f t="shared" si="12"/>
        <v>UN3668</v>
      </c>
      <c r="L138" s="2" t="s">
        <v>454</v>
      </c>
      <c r="M138" s="2" t="s">
        <v>24</v>
      </c>
      <c r="N138" s="2" t="s">
        <v>60</v>
      </c>
      <c r="O138" s="2">
        <v>1.10751038E8</v>
      </c>
      <c r="Q138" s="8">
        <v>2025.0</v>
      </c>
      <c r="R138" s="8" t="s">
        <v>34</v>
      </c>
    </row>
    <row r="139">
      <c r="A139" s="4" t="s">
        <v>18</v>
      </c>
      <c r="B139" s="4" t="s">
        <v>455</v>
      </c>
      <c r="C139" s="5">
        <v>45857.0</v>
      </c>
      <c r="D139" s="5">
        <v>45857.0</v>
      </c>
      <c r="E139" s="4" t="s">
        <v>456</v>
      </c>
      <c r="F139" s="9"/>
      <c r="G139" s="6"/>
      <c r="H139" s="11">
        <v>1090.0</v>
      </c>
      <c r="I139" s="11">
        <v>88197.79</v>
      </c>
      <c r="K139" s="1" t="str">
        <f t="shared" si="12"/>
        <v>UN3668</v>
      </c>
      <c r="L139" s="2" t="s">
        <v>457</v>
      </c>
      <c r="M139" s="2" t="s">
        <v>24</v>
      </c>
      <c r="N139" s="2" t="s">
        <v>60</v>
      </c>
      <c r="O139" s="2">
        <v>1.10751038E8</v>
      </c>
      <c r="Q139" s="8">
        <v>2025.0</v>
      </c>
      <c r="R139" s="8" t="s">
        <v>34</v>
      </c>
    </row>
    <row r="140">
      <c r="A140" s="4" t="s">
        <v>18</v>
      </c>
      <c r="B140" s="4" t="s">
        <v>458</v>
      </c>
      <c r="C140" s="5">
        <v>45857.0</v>
      </c>
      <c r="D140" s="5">
        <v>45857.0</v>
      </c>
      <c r="E140" s="4" t="s">
        <v>459</v>
      </c>
      <c r="F140" s="9"/>
      <c r="G140" s="6"/>
      <c r="H140" s="7">
        <v>987.0</v>
      </c>
      <c r="I140" s="11">
        <v>89184.79</v>
      </c>
      <c r="K140" s="1" t="str">
        <f t="shared" si="12"/>
        <v>SL1610</v>
      </c>
      <c r="L140" s="2" t="s">
        <v>460</v>
      </c>
      <c r="M140" s="2" t="s">
        <v>24</v>
      </c>
      <c r="N140" s="2" t="s">
        <v>60</v>
      </c>
      <c r="O140" s="2">
        <v>1.10751038E8</v>
      </c>
      <c r="Q140" s="8">
        <v>2025.0</v>
      </c>
      <c r="R140" s="8" t="s">
        <v>34</v>
      </c>
    </row>
    <row r="141">
      <c r="A141" s="4" t="s">
        <v>18</v>
      </c>
      <c r="B141" s="4" t="s">
        <v>461</v>
      </c>
      <c r="C141" s="5">
        <v>45857.0</v>
      </c>
      <c r="D141" s="5">
        <v>45857.0</v>
      </c>
      <c r="E141" s="4" t="s">
        <v>462</v>
      </c>
      <c r="F141" s="9"/>
      <c r="G141" s="6"/>
      <c r="H141" s="7">
        <v>188.0</v>
      </c>
      <c r="I141" s="11">
        <v>89372.79</v>
      </c>
      <c r="K141" s="1" t="str">
        <f t="shared" si="12"/>
        <v>UN3668</v>
      </c>
      <c r="L141" s="2" t="s">
        <v>463</v>
      </c>
      <c r="M141" s="2" t="s">
        <v>24</v>
      </c>
      <c r="N141" s="2" t="s">
        <v>60</v>
      </c>
      <c r="O141" s="2">
        <v>1.10751038E8</v>
      </c>
      <c r="Q141" s="8">
        <v>2025.0</v>
      </c>
      <c r="R141" s="8" t="s">
        <v>34</v>
      </c>
    </row>
    <row r="142">
      <c r="A142" s="4" t="s">
        <v>18</v>
      </c>
      <c r="B142" s="4" t="s">
        <v>464</v>
      </c>
      <c r="C142" s="5">
        <v>45857.0</v>
      </c>
      <c r="D142" s="5">
        <v>45857.0</v>
      </c>
      <c r="E142" s="4" t="s">
        <v>465</v>
      </c>
      <c r="F142" s="9"/>
      <c r="G142" s="6"/>
      <c r="H142" s="7">
        <v>330.0</v>
      </c>
      <c r="I142" s="11">
        <v>89702.79</v>
      </c>
      <c r="K142" s="1" t="str">
        <f t="shared" si="12"/>
        <v>UN3668</v>
      </c>
      <c r="L142" s="2" t="s">
        <v>466</v>
      </c>
      <c r="M142" s="2" t="s">
        <v>24</v>
      </c>
      <c r="N142" s="2" t="s">
        <v>60</v>
      </c>
      <c r="O142" s="2">
        <v>1.10751038E8</v>
      </c>
      <c r="Q142" s="8">
        <v>2025.0</v>
      </c>
      <c r="R142" s="8" t="s">
        <v>34</v>
      </c>
    </row>
    <row r="143">
      <c r="A143" s="4" t="s">
        <v>18</v>
      </c>
      <c r="B143" s="4" t="s">
        <v>467</v>
      </c>
      <c r="C143" s="5">
        <v>45857.0</v>
      </c>
      <c r="D143" s="5">
        <v>45857.0</v>
      </c>
      <c r="E143" s="4" t="s">
        <v>468</v>
      </c>
      <c r="F143" s="9"/>
      <c r="G143" s="6"/>
      <c r="H143" s="7">
        <v>372.0</v>
      </c>
      <c r="I143" s="11">
        <v>90074.79</v>
      </c>
      <c r="K143" s="1" t="str">
        <f t="shared" si="12"/>
        <v>UN3668</v>
      </c>
      <c r="L143" s="2" t="s">
        <v>469</v>
      </c>
      <c r="M143" s="2" t="s">
        <v>24</v>
      </c>
      <c r="N143" s="2" t="s">
        <v>60</v>
      </c>
      <c r="O143" s="2">
        <v>1.10751038E8</v>
      </c>
      <c r="Q143" s="8">
        <v>2025.0</v>
      </c>
      <c r="R143" s="8" t="s">
        <v>34</v>
      </c>
    </row>
    <row r="144">
      <c r="A144" s="4" t="s">
        <v>18</v>
      </c>
      <c r="B144" s="4" t="s">
        <v>470</v>
      </c>
      <c r="C144" s="5">
        <v>45857.0</v>
      </c>
      <c r="D144" s="5">
        <v>45857.0</v>
      </c>
      <c r="E144" s="4" t="s">
        <v>471</v>
      </c>
      <c r="F144" s="9"/>
      <c r="G144" s="6"/>
      <c r="H144" s="7">
        <v>480.0</v>
      </c>
      <c r="I144" s="11">
        <v>90554.79</v>
      </c>
      <c r="K144" s="1" t="str">
        <f t="shared" si="12"/>
        <v>UN3668</v>
      </c>
      <c r="L144" s="2" t="s">
        <v>472</v>
      </c>
      <c r="M144" s="2" t="s">
        <v>24</v>
      </c>
      <c r="N144" s="2" t="s">
        <v>60</v>
      </c>
      <c r="O144" s="2">
        <v>1.10751038E8</v>
      </c>
      <c r="Q144" s="8">
        <v>2025.0</v>
      </c>
      <c r="R144" s="8" t="s">
        <v>34</v>
      </c>
    </row>
    <row r="145">
      <c r="A145" s="4" t="s">
        <v>18</v>
      </c>
      <c r="B145" s="4" t="s">
        <v>473</v>
      </c>
      <c r="C145" s="5">
        <v>45858.0</v>
      </c>
      <c r="D145" s="5">
        <v>45858.0</v>
      </c>
      <c r="E145" s="4" t="s">
        <v>474</v>
      </c>
      <c r="F145" s="9"/>
      <c r="G145" s="11">
        <v>4083.0</v>
      </c>
      <c r="H145" s="6"/>
      <c r="I145" s="11">
        <v>86471.79</v>
      </c>
      <c r="J145" s="2" t="s">
        <v>475</v>
      </c>
      <c r="K145" s="2" t="s">
        <v>123</v>
      </c>
      <c r="M145" s="2" t="s">
        <v>114</v>
      </c>
      <c r="N145" s="2" t="s">
        <v>475</v>
      </c>
      <c r="O145" s="2">
        <v>1.10751038E8</v>
      </c>
      <c r="Q145" s="8">
        <v>2025.0</v>
      </c>
      <c r="R145" s="8" t="s">
        <v>34</v>
      </c>
    </row>
    <row r="146">
      <c r="A146" s="4" t="s">
        <v>18</v>
      </c>
      <c r="B146" s="4" t="s">
        <v>476</v>
      </c>
      <c r="C146" s="5">
        <v>45858.0</v>
      </c>
      <c r="D146" s="5">
        <v>45858.0</v>
      </c>
      <c r="E146" s="4" t="s">
        <v>477</v>
      </c>
      <c r="F146" s="9"/>
      <c r="G146" s="11">
        <v>7694.0</v>
      </c>
      <c r="H146" s="6"/>
      <c r="I146" s="11">
        <v>78777.79</v>
      </c>
      <c r="J146" s="2" t="s">
        <v>478</v>
      </c>
      <c r="K146" s="2" t="s">
        <v>123</v>
      </c>
      <c r="M146" s="2" t="s">
        <v>114</v>
      </c>
      <c r="N146" s="2" t="s">
        <v>478</v>
      </c>
      <c r="O146" s="2">
        <v>1.10751038E8</v>
      </c>
      <c r="Q146" s="8">
        <v>2025.0</v>
      </c>
      <c r="R146" s="8" t="s">
        <v>34</v>
      </c>
    </row>
    <row r="147">
      <c r="A147" s="4" t="s">
        <v>18</v>
      </c>
      <c r="B147" s="4" t="s">
        <v>479</v>
      </c>
      <c r="C147" s="5">
        <v>45858.0</v>
      </c>
      <c r="D147" s="5">
        <v>45858.0</v>
      </c>
      <c r="E147" s="4" t="s">
        <v>480</v>
      </c>
      <c r="F147" s="9"/>
      <c r="G147" s="6"/>
      <c r="H147" s="7">
        <v>299.0</v>
      </c>
      <c r="I147" s="11">
        <v>79076.79</v>
      </c>
      <c r="K147" s="1" t="str">
        <f t="shared" ref="K147:K159" si="13">RIGHT(E147,6)</f>
        <v>SC3567</v>
      </c>
      <c r="L147" s="2" t="s">
        <v>481</v>
      </c>
      <c r="M147" s="2" t="s">
        <v>24</v>
      </c>
      <c r="N147" s="2" t="s">
        <v>60</v>
      </c>
      <c r="O147" s="2">
        <v>1.10751038E8</v>
      </c>
      <c r="Q147" s="8">
        <v>2025.0</v>
      </c>
      <c r="R147" s="8" t="s">
        <v>34</v>
      </c>
    </row>
    <row r="148">
      <c r="A148" s="4" t="s">
        <v>18</v>
      </c>
      <c r="B148" s="4" t="s">
        <v>482</v>
      </c>
      <c r="C148" s="5">
        <v>45858.0</v>
      </c>
      <c r="D148" s="5">
        <v>45858.0</v>
      </c>
      <c r="E148" s="4" t="s">
        <v>483</v>
      </c>
      <c r="F148" s="9"/>
      <c r="G148" s="6"/>
      <c r="H148" s="11">
        <v>1228.0</v>
      </c>
      <c r="I148" s="11">
        <v>80304.79</v>
      </c>
      <c r="K148" s="1" t="str">
        <f t="shared" si="13"/>
        <v>SL1610</v>
      </c>
      <c r="L148" s="2" t="s">
        <v>484</v>
      </c>
      <c r="M148" s="2" t="s">
        <v>24</v>
      </c>
      <c r="N148" s="2" t="s">
        <v>60</v>
      </c>
      <c r="O148" s="2">
        <v>1.10751038E8</v>
      </c>
      <c r="Q148" s="8">
        <v>2025.0</v>
      </c>
      <c r="R148" s="8" t="s">
        <v>34</v>
      </c>
    </row>
    <row r="149">
      <c r="A149" s="4" t="s">
        <v>18</v>
      </c>
      <c r="B149" s="4" t="s">
        <v>485</v>
      </c>
      <c r="C149" s="5">
        <v>45858.0</v>
      </c>
      <c r="D149" s="5">
        <v>45858.0</v>
      </c>
      <c r="E149" s="4" t="s">
        <v>486</v>
      </c>
      <c r="F149" s="9"/>
      <c r="G149" s="6"/>
      <c r="H149" s="7">
        <v>718.0</v>
      </c>
      <c r="I149" s="11">
        <v>81022.79</v>
      </c>
      <c r="K149" s="1" t="str">
        <f t="shared" si="13"/>
        <v>SL1610</v>
      </c>
      <c r="L149" s="2" t="s">
        <v>487</v>
      </c>
      <c r="M149" s="2" t="s">
        <v>24</v>
      </c>
      <c r="N149" s="2" t="s">
        <v>60</v>
      </c>
      <c r="O149" s="2">
        <v>1.10751038E8</v>
      </c>
      <c r="Q149" s="8">
        <v>2025.0</v>
      </c>
      <c r="R149" s="8" t="s">
        <v>34</v>
      </c>
    </row>
    <row r="150">
      <c r="A150" s="4" t="s">
        <v>18</v>
      </c>
      <c r="B150" s="4" t="s">
        <v>488</v>
      </c>
      <c r="C150" s="5">
        <v>45858.0</v>
      </c>
      <c r="D150" s="5">
        <v>45858.0</v>
      </c>
      <c r="E150" s="4" t="s">
        <v>489</v>
      </c>
      <c r="F150" s="9"/>
      <c r="G150" s="6"/>
      <c r="H150" s="7">
        <v>390.0</v>
      </c>
      <c r="I150" s="11">
        <v>81412.79</v>
      </c>
      <c r="K150" s="1" t="str">
        <f t="shared" si="13"/>
        <v>UN3668</v>
      </c>
      <c r="L150" s="2" t="s">
        <v>490</v>
      </c>
      <c r="M150" s="2" t="s">
        <v>24</v>
      </c>
      <c r="N150" s="2" t="s">
        <v>60</v>
      </c>
      <c r="O150" s="2">
        <v>1.10751038E8</v>
      </c>
      <c r="Q150" s="8">
        <v>2025.0</v>
      </c>
      <c r="R150" s="8" t="s">
        <v>34</v>
      </c>
    </row>
    <row r="151">
      <c r="A151" s="4" t="s">
        <v>18</v>
      </c>
      <c r="B151" s="4" t="s">
        <v>491</v>
      </c>
      <c r="C151" s="5">
        <v>45858.0</v>
      </c>
      <c r="D151" s="5">
        <v>45858.0</v>
      </c>
      <c r="E151" s="4" t="s">
        <v>492</v>
      </c>
      <c r="F151" s="9"/>
      <c r="G151" s="6"/>
      <c r="H151" s="7">
        <v>202.0</v>
      </c>
      <c r="I151" s="11">
        <v>81614.79</v>
      </c>
      <c r="K151" s="1" t="str">
        <f t="shared" si="13"/>
        <v>KN3817</v>
      </c>
      <c r="L151" s="2" t="s">
        <v>493</v>
      </c>
      <c r="M151" s="2" t="s">
        <v>24</v>
      </c>
      <c r="N151" s="2" t="s">
        <v>60</v>
      </c>
      <c r="O151" s="2">
        <v>1.10751038E8</v>
      </c>
      <c r="Q151" s="8">
        <v>2025.0</v>
      </c>
      <c r="R151" s="8" t="s">
        <v>34</v>
      </c>
    </row>
    <row r="152">
      <c r="A152" s="4" t="s">
        <v>18</v>
      </c>
      <c r="B152" s="4" t="s">
        <v>494</v>
      </c>
      <c r="C152" s="5">
        <v>45858.0</v>
      </c>
      <c r="D152" s="5">
        <v>45858.0</v>
      </c>
      <c r="E152" s="4" t="s">
        <v>495</v>
      </c>
      <c r="F152" s="9"/>
      <c r="G152" s="6"/>
      <c r="H152" s="7">
        <v>494.0</v>
      </c>
      <c r="I152" s="11">
        <v>82108.79</v>
      </c>
      <c r="K152" s="1" t="str">
        <f t="shared" si="13"/>
        <v>UN3668</v>
      </c>
      <c r="L152" s="2" t="s">
        <v>496</v>
      </c>
      <c r="M152" s="2" t="s">
        <v>24</v>
      </c>
      <c r="N152" s="2" t="s">
        <v>60</v>
      </c>
      <c r="O152" s="2">
        <v>1.10751038E8</v>
      </c>
      <c r="Q152" s="8">
        <v>2025.0</v>
      </c>
      <c r="R152" s="8" t="s">
        <v>34</v>
      </c>
    </row>
    <row r="153">
      <c r="A153" s="4" t="s">
        <v>18</v>
      </c>
      <c r="B153" s="4" t="s">
        <v>497</v>
      </c>
      <c r="C153" s="5">
        <v>45858.0</v>
      </c>
      <c r="D153" s="5">
        <v>45858.0</v>
      </c>
      <c r="E153" s="4" t="s">
        <v>498</v>
      </c>
      <c r="F153" s="9"/>
      <c r="G153" s="6"/>
      <c r="H153" s="11">
        <v>1536.0</v>
      </c>
      <c r="I153" s="11">
        <v>83644.79</v>
      </c>
      <c r="K153" s="1" t="str">
        <f t="shared" si="13"/>
        <v>SL1610</v>
      </c>
      <c r="L153" s="2" t="s">
        <v>499</v>
      </c>
      <c r="M153" s="2" t="s">
        <v>24</v>
      </c>
      <c r="N153" s="2" t="s">
        <v>60</v>
      </c>
      <c r="O153" s="2">
        <v>1.10751038E8</v>
      </c>
      <c r="Q153" s="8">
        <v>2025.0</v>
      </c>
      <c r="R153" s="8" t="s">
        <v>34</v>
      </c>
    </row>
    <row r="154">
      <c r="A154" s="4" t="s">
        <v>18</v>
      </c>
      <c r="B154" s="4" t="s">
        <v>500</v>
      </c>
      <c r="C154" s="5">
        <v>45858.0</v>
      </c>
      <c r="D154" s="5">
        <v>45858.0</v>
      </c>
      <c r="E154" s="4" t="s">
        <v>501</v>
      </c>
      <c r="F154" s="9"/>
      <c r="G154" s="6"/>
      <c r="H154" s="7">
        <v>746.0</v>
      </c>
      <c r="I154" s="11">
        <v>84390.79</v>
      </c>
      <c r="K154" s="1" t="str">
        <f t="shared" si="13"/>
        <v>SL1610</v>
      </c>
      <c r="L154" s="2" t="s">
        <v>502</v>
      </c>
      <c r="M154" s="2" t="s">
        <v>24</v>
      </c>
      <c r="N154" s="2" t="s">
        <v>60</v>
      </c>
      <c r="O154" s="2">
        <v>1.10751038E8</v>
      </c>
      <c r="Q154" s="8">
        <v>2025.0</v>
      </c>
      <c r="R154" s="8" t="s">
        <v>34</v>
      </c>
    </row>
    <row r="155">
      <c r="A155" s="4" t="s">
        <v>18</v>
      </c>
      <c r="B155" s="4" t="s">
        <v>503</v>
      </c>
      <c r="C155" s="5">
        <v>45859.0</v>
      </c>
      <c r="D155" s="5">
        <v>45859.0</v>
      </c>
      <c r="E155" s="4" t="s">
        <v>504</v>
      </c>
      <c r="F155" s="9"/>
      <c r="G155" s="6"/>
      <c r="H155" s="7">
        <v>370.0</v>
      </c>
      <c r="I155" s="11">
        <v>84760.79</v>
      </c>
      <c r="K155" s="1" t="str">
        <f t="shared" si="13"/>
        <v>KN3817</v>
      </c>
      <c r="L155" s="2" t="s">
        <v>505</v>
      </c>
      <c r="M155" s="2" t="s">
        <v>24</v>
      </c>
      <c r="N155" s="2" t="s">
        <v>60</v>
      </c>
      <c r="O155" s="2">
        <v>1.10751038E8</v>
      </c>
      <c r="Q155" s="8">
        <v>2025.0</v>
      </c>
      <c r="R155" s="8" t="s">
        <v>34</v>
      </c>
    </row>
    <row r="156">
      <c r="A156" s="4" t="s">
        <v>18</v>
      </c>
      <c r="B156" s="4" t="s">
        <v>506</v>
      </c>
      <c r="C156" s="5">
        <v>45859.0</v>
      </c>
      <c r="D156" s="5">
        <v>45859.0</v>
      </c>
      <c r="E156" s="4" t="s">
        <v>507</v>
      </c>
      <c r="F156" s="9"/>
      <c r="G156" s="6"/>
      <c r="H156" s="7">
        <v>299.0</v>
      </c>
      <c r="I156" s="11">
        <v>85059.79</v>
      </c>
      <c r="K156" s="1" t="str">
        <f t="shared" si="13"/>
        <v>SC3567</v>
      </c>
      <c r="L156" s="2" t="s">
        <v>508</v>
      </c>
      <c r="M156" s="2" t="s">
        <v>24</v>
      </c>
      <c r="N156" s="2" t="s">
        <v>60</v>
      </c>
      <c r="O156" s="2">
        <v>1.10751038E8</v>
      </c>
      <c r="Q156" s="8">
        <v>2025.0</v>
      </c>
      <c r="R156" s="8" t="s">
        <v>34</v>
      </c>
    </row>
    <row r="157">
      <c r="A157" s="4" t="s">
        <v>18</v>
      </c>
      <c r="B157" s="4" t="s">
        <v>509</v>
      </c>
      <c r="C157" s="5">
        <v>45859.0</v>
      </c>
      <c r="D157" s="5">
        <v>45859.0</v>
      </c>
      <c r="E157" s="4" t="s">
        <v>510</v>
      </c>
      <c r="F157" s="9"/>
      <c r="G157" s="6"/>
      <c r="H157" s="11">
        <v>1261.0</v>
      </c>
      <c r="I157" s="11">
        <v>86320.79</v>
      </c>
      <c r="K157" s="1" t="str">
        <f t="shared" si="13"/>
        <v>SL1610</v>
      </c>
      <c r="L157" s="2" t="s">
        <v>511</v>
      </c>
      <c r="M157" s="2" t="s">
        <v>24</v>
      </c>
      <c r="N157" s="2" t="s">
        <v>60</v>
      </c>
      <c r="O157" s="2">
        <v>1.10751038E8</v>
      </c>
      <c r="Q157" s="8">
        <v>2025.0</v>
      </c>
      <c r="R157" s="8" t="s">
        <v>34</v>
      </c>
    </row>
    <row r="158">
      <c r="A158" s="4" t="s">
        <v>18</v>
      </c>
      <c r="B158" s="4" t="s">
        <v>512</v>
      </c>
      <c r="C158" s="5">
        <v>45859.0</v>
      </c>
      <c r="D158" s="5">
        <v>45859.0</v>
      </c>
      <c r="E158" s="4" t="s">
        <v>513</v>
      </c>
      <c r="F158" s="9"/>
      <c r="G158" s="6"/>
      <c r="H158" s="7">
        <v>233.0</v>
      </c>
      <c r="I158" s="11">
        <v>86553.79</v>
      </c>
      <c r="K158" s="1" t="str">
        <f t="shared" si="13"/>
        <v>UN3668</v>
      </c>
      <c r="L158" s="2" t="s">
        <v>514</v>
      </c>
      <c r="M158" s="2" t="s">
        <v>24</v>
      </c>
      <c r="N158" s="2" t="s">
        <v>60</v>
      </c>
      <c r="O158" s="2">
        <v>1.10751038E8</v>
      </c>
      <c r="Q158" s="8">
        <v>2025.0</v>
      </c>
      <c r="R158" s="8" t="s">
        <v>34</v>
      </c>
    </row>
    <row r="159">
      <c r="A159" s="4" t="s">
        <v>18</v>
      </c>
      <c r="B159" s="4" t="s">
        <v>515</v>
      </c>
      <c r="C159" s="5">
        <v>45859.0</v>
      </c>
      <c r="D159" s="5">
        <v>45859.0</v>
      </c>
      <c r="E159" s="4" t="s">
        <v>516</v>
      </c>
      <c r="F159" s="9"/>
      <c r="G159" s="6"/>
      <c r="H159" s="7">
        <v>903.8</v>
      </c>
      <c r="I159" s="11">
        <v>87457.59</v>
      </c>
      <c r="K159" s="1" t="str">
        <f t="shared" si="13"/>
        <v>SL1610</v>
      </c>
      <c r="L159" s="2" t="s">
        <v>517</v>
      </c>
      <c r="M159" s="2" t="s">
        <v>24</v>
      </c>
      <c r="N159" s="2" t="s">
        <v>60</v>
      </c>
      <c r="O159" s="2">
        <v>1.10751038E8</v>
      </c>
      <c r="Q159" s="8">
        <v>2025.0</v>
      </c>
      <c r="R159" s="8" t="s">
        <v>34</v>
      </c>
    </row>
    <row r="160">
      <c r="A160" s="4" t="s">
        <v>18</v>
      </c>
      <c r="B160" s="4" t="s">
        <v>518</v>
      </c>
      <c r="C160" s="5">
        <v>45859.0</v>
      </c>
      <c r="D160" s="5">
        <v>45859.0</v>
      </c>
      <c r="E160" s="4" t="s">
        <v>519</v>
      </c>
      <c r="F160" s="9"/>
      <c r="G160" s="11">
        <v>3000.0</v>
      </c>
      <c r="H160" s="6"/>
      <c r="I160" s="11">
        <v>84457.59</v>
      </c>
      <c r="J160" s="2" t="s">
        <v>520</v>
      </c>
      <c r="K160" s="1" t="s">
        <v>23</v>
      </c>
      <c r="M160" s="2" t="s">
        <v>114</v>
      </c>
      <c r="N160" s="2" t="s">
        <v>521</v>
      </c>
      <c r="O160" s="2">
        <v>1.10751038E8</v>
      </c>
      <c r="Q160" s="8">
        <v>2025.0</v>
      </c>
      <c r="R160" s="8" t="s">
        <v>34</v>
      </c>
    </row>
    <row r="161">
      <c r="A161" s="4" t="s">
        <v>18</v>
      </c>
      <c r="B161" s="4" t="s">
        <v>522</v>
      </c>
      <c r="C161" s="5">
        <v>45859.0</v>
      </c>
      <c r="D161" s="5">
        <v>45859.0</v>
      </c>
      <c r="E161" s="4" t="s">
        <v>523</v>
      </c>
      <c r="F161" s="9"/>
      <c r="G161" s="6"/>
      <c r="H161" s="7">
        <v>458.4</v>
      </c>
      <c r="I161" s="11">
        <v>84915.99</v>
      </c>
      <c r="K161" s="1" t="str">
        <f t="shared" ref="K161:K165" si="14">RIGHT(E161,6)</f>
        <v>SC3567</v>
      </c>
      <c r="L161" s="2" t="s">
        <v>524</v>
      </c>
      <c r="M161" s="2" t="s">
        <v>24</v>
      </c>
      <c r="N161" s="2" t="s">
        <v>60</v>
      </c>
      <c r="O161" s="2">
        <v>1.10751038E8</v>
      </c>
      <c r="Q161" s="8">
        <v>2025.0</v>
      </c>
      <c r="R161" s="8" t="s">
        <v>34</v>
      </c>
    </row>
    <row r="162">
      <c r="A162" s="4" t="s">
        <v>18</v>
      </c>
      <c r="B162" s="4" t="s">
        <v>525</v>
      </c>
      <c r="C162" s="5">
        <v>45859.0</v>
      </c>
      <c r="D162" s="5">
        <v>45859.0</v>
      </c>
      <c r="E162" s="4" t="s">
        <v>526</v>
      </c>
      <c r="F162" s="9"/>
      <c r="G162" s="6"/>
      <c r="H162" s="7">
        <v>550.0</v>
      </c>
      <c r="I162" s="11">
        <v>85465.99</v>
      </c>
      <c r="K162" s="1" t="str">
        <f t="shared" si="14"/>
        <v>KN3817</v>
      </c>
      <c r="L162" s="2" t="s">
        <v>527</v>
      </c>
      <c r="M162" s="2" t="s">
        <v>24</v>
      </c>
      <c r="N162" s="2" t="s">
        <v>60</v>
      </c>
      <c r="O162" s="2">
        <v>1.10751038E8</v>
      </c>
      <c r="Q162" s="8">
        <v>2025.0</v>
      </c>
      <c r="R162" s="8" t="s">
        <v>34</v>
      </c>
    </row>
    <row r="163">
      <c r="A163" s="4" t="s">
        <v>18</v>
      </c>
      <c r="B163" s="4" t="s">
        <v>528</v>
      </c>
      <c r="C163" s="5">
        <v>45859.0</v>
      </c>
      <c r="D163" s="5">
        <v>45859.0</v>
      </c>
      <c r="E163" s="4" t="s">
        <v>529</v>
      </c>
      <c r="F163" s="9"/>
      <c r="G163" s="6"/>
      <c r="H163" s="11">
        <v>1141.0</v>
      </c>
      <c r="I163" s="11">
        <v>86606.99</v>
      </c>
      <c r="K163" s="1" t="str">
        <f t="shared" si="14"/>
        <v>SC3567</v>
      </c>
      <c r="L163" s="2" t="s">
        <v>530</v>
      </c>
      <c r="M163" s="2" t="s">
        <v>24</v>
      </c>
      <c r="N163" s="2" t="s">
        <v>60</v>
      </c>
      <c r="O163" s="2">
        <v>1.10751038E8</v>
      </c>
      <c r="Q163" s="8">
        <v>2025.0</v>
      </c>
      <c r="R163" s="8" t="s">
        <v>34</v>
      </c>
    </row>
    <row r="164">
      <c r="A164" s="4" t="s">
        <v>18</v>
      </c>
      <c r="B164" s="4" t="s">
        <v>531</v>
      </c>
      <c r="C164" s="5">
        <v>45859.0</v>
      </c>
      <c r="D164" s="5">
        <v>45859.0</v>
      </c>
      <c r="E164" s="4" t="s">
        <v>532</v>
      </c>
      <c r="F164" s="9"/>
      <c r="G164" s="6"/>
      <c r="H164" s="11">
        <v>1544.0</v>
      </c>
      <c r="I164" s="11">
        <v>88150.99</v>
      </c>
      <c r="K164" s="1" t="str">
        <f t="shared" si="14"/>
        <v>KN3817</v>
      </c>
      <c r="L164" s="2" t="s">
        <v>533</v>
      </c>
      <c r="M164" s="2" t="s">
        <v>24</v>
      </c>
      <c r="N164" s="2" t="s">
        <v>60</v>
      </c>
      <c r="O164" s="2">
        <v>1.10751038E8</v>
      </c>
      <c r="Q164" s="8">
        <v>2025.0</v>
      </c>
      <c r="R164" s="8" t="s">
        <v>34</v>
      </c>
    </row>
    <row r="165">
      <c r="A165" s="4" t="s">
        <v>18</v>
      </c>
      <c r="B165" s="4" t="s">
        <v>534</v>
      </c>
      <c r="C165" s="5">
        <v>45859.0</v>
      </c>
      <c r="D165" s="5">
        <v>45859.0</v>
      </c>
      <c r="E165" s="4" t="s">
        <v>535</v>
      </c>
      <c r="F165" s="9"/>
      <c r="G165" s="6"/>
      <c r="H165" s="7">
        <v>434.0</v>
      </c>
      <c r="I165" s="11">
        <v>88584.99</v>
      </c>
      <c r="K165" s="1" t="str">
        <f t="shared" si="14"/>
        <v>SL1610</v>
      </c>
      <c r="L165" s="2" t="s">
        <v>536</v>
      </c>
      <c r="M165" s="2" t="s">
        <v>24</v>
      </c>
      <c r="N165" s="2" t="s">
        <v>60</v>
      </c>
      <c r="O165" s="2">
        <v>1.10751038E8</v>
      </c>
      <c r="Q165" s="8">
        <v>2025.0</v>
      </c>
      <c r="R165" s="8" t="s">
        <v>34</v>
      </c>
    </row>
    <row r="166">
      <c r="A166" s="4" t="s">
        <v>18</v>
      </c>
      <c r="B166" s="4" t="s">
        <v>537</v>
      </c>
      <c r="C166" s="5">
        <v>45859.0</v>
      </c>
      <c r="D166" s="5">
        <v>45859.0</v>
      </c>
      <c r="E166" s="4" t="s">
        <v>538</v>
      </c>
      <c r="F166" s="9"/>
      <c r="G166" s="6"/>
      <c r="H166" s="7">
        <v>542.1</v>
      </c>
      <c r="I166" s="11">
        <v>89127.09</v>
      </c>
      <c r="K166" s="1" t="s">
        <v>539</v>
      </c>
      <c r="M166" s="2" t="s">
        <v>24</v>
      </c>
      <c r="N166" s="2" t="s">
        <v>60</v>
      </c>
      <c r="O166" s="2">
        <v>1.10751038E8</v>
      </c>
      <c r="P166" s="12" t="str">
        <f>IFERROR(__xludf.DUMMYFUNCTION("CONCATENATE(B166,"", "", to_text(D166),"", "", E166,"", "", H166)"),"TSV-07-0163, 21-Jul-2025, UPI/CR/520294656823/CHAITANY/FDRL/chaitan/na, 542.1")</f>
        <v>TSV-07-0163, 21-Jul-2025, UPI/CR/520294656823/CHAITANY/FDRL/chaitan/na, 542.1</v>
      </c>
      <c r="Q166" s="8">
        <v>2025.0</v>
      </c>
      <c r="R166" s="8" t="s">
        <v>34</v>
      </c>
    </row>
    <row r="167">
      <c r="A167" s="4" t="s">
        <v>18</v>
      </c>
      <c r="B167" s="4" t="s">
        <v>540</v>
      </c>
      <c r="C167" s="5">
        <v>45859.0</v>
      </c>
      <c r="D167" s="5">
        <v>45859.0</v>
      </c>
      <c r="E167" s="4" t="s">
        <v>541</v>
      </c>
      <c r="F167" s="9"/>
      <c r="G167" s="6"/>
      <c r="H167" s="7">
        <v>450.0</v>
      </c>
      <c r="I167" s="11">
        <v>89577.09</v>
      </c>
      <c r="K167" s="1" t="str">
        <f t="shared" ref="K167:K174" si="15">RIGHT(E167,6)</f>
        <v>UN3668</v>
      </c>
      <c r="L167" s="2" t="s">
        <v>542</v>
      </c>
      <c r="M167" s="2" t="s">
        <v>24</v>
      </c>
      <c r="N167" s="2" t="s">
        <v>60</v>
      </c>
      <c r="O167" s="2">
        <v>1.10751038E8</v>
      </c>
      <c r="Q167" s="8">
        <v>2025.0</v>
      </c>
      <c r="R167" s="8" t="s">
        <v>34</v>
      </c>
    </row>
    <row r="168">
      <c r="A168" s="4" t="s">
        <v>18</v>
      </c>
      <c r="B168" s="4" t="s">
        <v>543</v>
      </c>
      <c r="C168" s="5">
        <v>45860.0</v>
      </c>
      <c r="D168" s="5">
        <v>45860.0</v>
      </c>
      <c r="E168" s="4" t="s">
        <v>544</v>
      </c>
      <c r="F168" s="9"/>
      <c r="G168" s="6"/>
      <c r="H168" s="7">
        <v>40.0</v>
      </c>
      <c r="I168" s="11">
        <v>89617.09</v>
      </c>
      <c r="K168" s="1" t="str">
        <f t="shared" si="15"/>
        <v>KN3817</v>
      </c>
      <c r="L168" s="2" t="s">
        <v>545</v>
      </c>
      <c r="M168" s="2" t="s">
        <v>24</v>
      </c>
      <c r="N168" s="2" t="s">
        <v>60</v>
      </c>
      <c r="O168" s="2">
        <v>1.10751038E8</v>
      </c>
      <c r="Q168" s="8">
        <v>2025.0</v>
      </c>
      <c r="R168" s="8" t="s">
        <v>34</v>
      </c>
    </row>
    <row r="169">
      <c r="A169" s="4" t="s">
        <v>18</v>
      </c>
      <c r="B169" s="4" t="s">
        <v>546</v>
      </c>
      <c r="C169" s="5">
        <v>45860.0</v>
      </c>
      <c r="D169" s="5">
        <v>45860.0</v>
      </c>
      <c r="E169" s="4" t="s">
        <v>547</v>
      </c>
      <c r="F169" s="9"/>
      <c r="G169" s="6"/>
      <c r="H169" s="7">
        <v>630.0</v>
      </c>
      <c r="I169" s="11">
        <v>90247.09</v>
      </c>
      <c r="K169" s="1" t="str">
        <f t="shared" si="15"/>
        <v>UN3668</v>
      </c>
      <c r="L169" s="2" t="s">
        <v>548</v>
      </c>
      <c r="M169" s="2" t="s">
        <v>24</v>
      </c>
      <c r="N169" s="2" t="s">
        <v>60</v>
      </c>
      <c r="O169" s="2">
        <v>1.10751038E8</v>
      </c>
      <c r="Q169" s="8">
        <v>2025.0</v>
      </c>
      <c r="R169" s="8" t="s">
        <v>34</v>
      </c>
    </row>
    <row r="170">
      <c r="A170" s="4" t="s">
        <v>18</v>
      </c>
      <c r="B170" s="4" t="s">
        <v>549</v>
      </c>
      <c r="C170" s="5">
        <v>45860.0</v>
      </c>
      <c r="D170" s="5">
        <v>45860.0</v>
      </c>
      <c r="E170" s="4" t="s">
        <v>550</v>
      </c>
      <c r="F170" s="9"/>
      <c r="G170" s="6"/>
      <c r="H170" s="7">
        <v>933.0</v>
      </c>
      <c r="I170" s="11">
        <v>91180.09</v>
      </c>
      <c r="K170" s="1" t="str">
        <f t="shared" si="15"/>
        <v>UN3668</v>
      </c>
      <c r="L170" s="2" t="s">
        <v>551</v>
      </c>
      <c r="M170" s="2" t="s">
        <v>24</v>
      </c>
      <c r="N170" s="2" t="s">
        <v>60</v>
      </c>
      <c r="O170" s="2">
        <v>1.10751038E8</v>
      </c>
      <c r="Q170" s="8">
        <v>2025.0</v>
      </c>
      <c r="R170" s="8" t="s">
        <v>34</v>
      </c>
    </row>
    <row r="171">
      <c r="A171" s="4" t="s">
        <v>18</v>
      </c>
      <c r="B171" s="4" t="s">
        <v>552</v>
      </c>
      <c r="C171" s="5">
        <v>45860.0</v>
      </c>
      <c r="D171" s="5">
        <v>45860.0</v>
      </c>
      <c r="E171" s="4" t="s">
        <v>553</v>
      </c>
      <c r="F171" s="9"/>
      <c r="G171" s="6"/>
      <c r="H171" s="7">
        <v>473.0</v>
      </c>
      <c r="I171" s="11">
        <v>91653.09</v>
      </c>
      <c r="K171" s="1" t="str">
        <f t="shared" si="15"/>
        <v>UN3668</v>
      </c>
      <c r="L171" s="2" t="s">
        <v>554</v>
      </c>
      <c r="M171" s="2" t="s">
        <v>24</v>
      </c>
      <c r="N171" s="2" t="s">
        <v>60</v>
      </c>
      <c r="O171" s="2">
        <v>1.10751038E8</v>
      </c>
      <c r="Q171" s="8">
        <v>2025.0</v>
      </c>
      <c r="R171" s="8" t="s">
        <v>34</v>
      </c>
    </row>
    <row r="172">
      <c r="A172" s="4" t="s">
        <v>18</v>
      </c>
      <c r="B172" s="4" t="s">
        <v>555</v>
      </c>
      <c r="C172" s="5">
        <v>45860.0</v>
      </c>
      <c r="D172" s="5">
        <v>45860.0</v>
      </c>
      <c r="E172" s="4" t="s">
        <v>556</v>
      </c>
      <c r="F172" s="9"/>
      <c r="G172" s="6"/>
      <c r="H172" s="7">
        <v>180.0</v>
      </c>
      <c r="I172" s="11">
        <v>91833.09</v>
      </c>
      <c r="K172" s="1" t="str">
        <f t="shared" si="15"/>
        <v>UN3668</v>
      </c>
      <c r="L172" s="2" t="s">
        <v>557</v>
      </c>
      <c r="M172" s="2" t="s">
        <v>24</v>
      </c>
      <c r="N172" s="2" t="s">
        <v>60</v>
      </c>
      <c r="O172" s="2">
        <v>1.10751038E8</v>
      </c>
      <c r="Q172" s="8">
        <v>2025.0</v>
      </c>
      <c r="R172" s="8" t="s">
        <v>34</v>
      </c>
    </row>
    <row r="173">
      <c r="A173" s="4" t="s">
        <v>18</v>
      </c>
      <c r="B173" s="4" t="s">
        <v>558</v>
      </c>
      <c r="C173" s="5">
        <v>45860.0</v>
      </c>
      <c r="D173" s="5">
        <v>45860.0</v>
      </c>
      <c r="E173" s="4" t="s">
        <v>559</v>
      </c>
      <c r="F173" s="9"/>
      <c r="G173" s="6"/>
      <c r="H173" s="7">
        <v>534.0</v>
      </c>
      <c r="I173" s="11">
        <v>92367.09</v>
      </c>
      <c r="K173" s="1" t="str">
        <f t="shared" si="15"/>
        <v>UN3668</v>
      </c>
      <c r="L173" s="2" t="s">
        <v>560</v>
      </c>
      <c r="M173" s="2" t="s">
        <v>24</v>
      </c>
      <c r="N173" s="2" t="s">
        <v>60</v>
      </c>
      <c r="O173" s="2">
        <v>1.10751038E8</v>
      </c>
      <c r="Q173" s="8">
        <v>2025.0</v>
      </c>
      <c r="R173" s="8" t="s">
        <v>34</v>
      </c>
    </row>
    <row r="174">
      <c r="A174" s="4" t="s">
        <v>18</v>
      </c>
      <c r="B174" s="4" t="s">
        <v>561</v>
      </c>
      <c r="C174" s="5">
        <v>45860.0</v>
      </c>
      <c r="D174" s="5">
        <v>45860.0</v>
      </c>
      <c r="E174" s="4" t="s">
        <v>562</v>
      </c>
      <c r="F174" s="9"/>
      <c r="G174" s="6"/>
      <c r="H174" s="7">
        <v>944.0</v>
      </c>
      <c r="I174" s="11">
        <v>93311.09</v>
      </c>
      <c r="K174" s="1" t="str">
        <f t="shared" si="15"/>
        <v>UN3668</v>
      </c>
      <c r="L174" s="2" t="s">
        <v>563</v>
      </c>
      <c r="M174" s="2" t="s">
        <v>24</v>
      </c>
      <c r="N174" s="2" t="s">
        <v>60</v>
      </c>
      <c r="O174" s="2">
        <v>1.10751038E8</v>
      </c>
      <c r="Q174" s="8">
        <v>2025.0</v>
      </c>
      <c r="R174" s="8" t="s">
        <v>34</v>
      </c>
    </row>
    <row r="175">
      <c r="A175" s="4" t="s">
        <v>18</v>
      </c>
      <c r="B175" s="4" t="s">
        <v>564</v>
      </c>
      <c r="C175" s="5">
        <v>45860.0</v>
      </c>
      <c r="D175" s="5">
        <v>45860.0</v>
      </c>
      <c r="E175" s="4" t="s">
        <v>565</v>
      </c>
      <c r="F175" s="9"/>
      <c r="G175" s="6"/>
      <c r="H175" s="7">
        <v>260.0</v>
      </c>
      <c r="I175" s="11">
        <v>93571.09</v>
      </c>
      <c r="K175" s="1" t="s">
        <v>127</v>
      </c>
      <c r="L175" s="2" t="s">
        <v>566</v>
      </c>
      <c r="M175" s="2" t="s">
        <v>24</v>
      </c>
      <c r="N175" s="2" t="s">
        <v>60</v>
      </c>
      <c r="O175" s="2">
        <v>1.10751038E8</v>
      </c>
      <c r="Q175" s="8">
        <v>2025.0</v>
      </c>
      <c r="R175" s="8" t="s">
        <v>34</v>
      </c>
    </row>
    <row r="176">
      <c r="A176" s="4" t="s">
        <v>18</v>
      </c>
      <c r="B176" s="4" t="s">
        <v>567</v>
      </c>
      <c r="C176" s="5">
        <v>45860.0</v>
      </c>
      <c r="D176" s="5">
        <v>45860.0</v>
      </c>
      <c r="E176" s="4" t="s">
        <v>568</v>
      </c>
      <c r="F176" s="9"/>
      <c r="G176" s="6"/>
      <c r="H176" s="7">
        <v>390.0</v>
      </c>
      <c r="I176" s="11">
        <v>93961.09</v>
      </c>
      <c r="K176" s="1" t="str">
        <f t="shared" ref="K176:K180" si="16">RIGHT(E176,6)</f>
        <v>UN3668</v>
      </c>
      <c r="L176" s="2" t="s">
        <v>569</v>
      </c>
      <c r="M176" s="2" t="s">
        <v>24</v>
      </c>
      <c r="N176" s="2" t="s">
        <v>60</v>
      </c>
      <c r="O176" s="2">
        <v>1.10751038E8</v>
      </c>
      <c r="Q176" s="8">
        <v>2025.0</v>
      </c>
      <c r="R176" s="8" t="s">
        <v>34</v>
      </c>
    </row>
    <row r="177">
      <c r="A177" s="4" t="s">
        <v>18</v>
      </c>
      <c r="B177" s="4" t="s">
        <v>570</v>
      </c>
      <c r="C177" s="5">
        <v>45860.0</v>
      </c>
      <c r="D177" s="5">
        <v>45860.0</v>
      </c>
      <c r="E177" s="4" t="s">
        <v>571</v>
      </c>
      <c r="F177" s="9"/>
      <c r="G177" s="6"/>
      <c r="H177" s="7">
        <v>400.0</v>
      </c>
      <c r="I177" s="11">
        <v>94361.09</v>
      </c>
      <c r="K177" s="1" t="str">
        <f t="shared" si="16"/>
        <v>UN3668</v>
      </c>
      <c r="L177" s="2" t="s">
        <v>572</v>
      </c>
      <c r="M177" s="2" t="s">
        <v>24</v>
      </c>
      <c r="N177" s="2" t="s">
        <v>60</v>
      </c>
      <c r="O177" s="2">
        <v>1.10751038E8</v>
      </c>
      <c r="Q177" s="8">
        <v>2025.0</v>
      </c>
      <c r="R177" s="8" t="s">
        <v>34</v>
      </c>
    </row>
    <row r="178">
      <c r="A178" s="4" t="s">
        <v>18</v>
      </c>
      <c r="B178" s="4" t="s">
        <v>573</v>
      </c>
      <c r="C178" s="5">
        <v>45860.0</v>
      </c>
      <c r="D178" s="5">
        <v>45860.0</v>
      </c>
      <c r="E178" s="4" t="s">
        <v>574</v>
      </c>
      <c r="F178" s="9"/>
      <c r="G178" s="6"/>
      <c r="H178" s="7">
        <v>200.0</v>
      </c>
      <c r="I178" s="11">
        <v>94561.09</v>
      </c>
      <c r="K178" s="1" t="str">
        <f t="shared" si="16"/>
        <v>UN3668</v>
      </c>
      <c r="L178" s="2" t="s">
        <v>575</v>
      </c>
      <c r="M178" s="2" t="s">
        <v>24</v>
      </c>
      <c r="N178" s="2" t="s">
        <v>60</v>
      </c>
      <c r="O178" s="2">
        <v>1.10751038E8</v>
      </c>
      <c r="Q178" s="8">
        <v>2025.0</v>
      </c>
      <c r="R178" s="8" t="s">
        <v>34</v>
      </c>
    </row>
    <row r="179">
      <c r="A179" s="4" t="s">
        <v>18</v>
      </c>
      <c r="B179" s="4" t="s">
        <v>576</v>
      </c>
      <c r="C179" s="5">
        <v>45860.0</v>
      </c>
      <c r="D179" s="5">
        <v>45860.0</v>
      </c>
      <c r="E179" s="4" t="s">
        <v>577</v>
      </c>
      <c r="F179" s="9"/>
      <c r="G179" s="6"/>
      <c r="H179" s="11">
        <v>1627.0</v>
      </c>
      <c r="I179" s="11">
        <v>96188.09</v>
      </c>
      <c r="K179" s="1" t="str">
        <f t="shared" si="16"/>
        <v>SL1610</v>
      </c>
      <c r="L179" s="2" t="s">
        <v>578</v>
      </c>
      <c r="M179" s="2" t="s">
        <v>24</v>
      </c>
      <c r="N179" s="2" t="s">
        <v>60</v>
      </c>
      <c r="O179" s="2">
        <v>1.10751038E8</v>
      </c>
      <c r="Q179" s="8">
        <v>2025.0</v>
      </c>
      <c r="R179" s="8" t="s">
        <v>34</v>
      </c>
    </row>
    <row r="180">
      <c r="A180" s="4" t="s">
        <v>18</v>
      </c>
      <c r="B180" s="4" t="s">
        <v>579</v>
      </c>
      <c r="C180" s="5">
        <v>45861.0</v>
      </c>
      <c r="D180" s="5">
        <v>45861.0</v>
      </c>
      <c r="E180" s="4" t="s">
        <v>580</v>
      </c>
      <c r="F180" s="9"/>
      <c r="G180" s="6"/>
      <c r="H180" s="7">
        <v>400.0</v>
      </c>
      <c r="I180" s="11">
        <v>96588.09</v>
      </c>
      <c r="K180" s="1" t="str">
        <f t="shared" si="16"/>
        <v>KN3817</v>
      </c>
      <c r="L180" s="2" t="s">
        <v>581</v>
      </c>
      <c r="M180" s="2" t="s">
        <v>24</v>
      </c>
      <c r="N180" s="2" t="s">
        <v>60</v>
      </c>
      <c r="O180" s="2">
        <v>1.10751038E8</v>
      </c>
      <c r="Q180" s="8">
        <v>2025.0</v>
      </c>
      <c r="R180" s="8" t="s">
        <v>34</v>
      </c>
    </row>
    <row r="181">
      <c r="A181" s="4" t="s">
        <v>18</v>
      </c>
      <c r="B181" s="4" t="s">
        <v>582</v>
      </c>
      <c r="C181" s="5">
        <v>45861.0</v>
      </c>
      <c r="D181" s="5">
        <v>45861.0</v>
      </c>
      <c r="E181" s="4" t="s">
        <v>583</v>
      </c>
      <c r="F181" s="9"/>
      <c r="G181" s="6"/>
      <c r="H181" s="11">
        <v>1615.0</v>
      </c>
      <c r="I181" s="11">
        <v>98203.09</v>
      </c>
      <c r="K181" s="1" t="s">
        <v>127</v>
      </c>
      <c r="L181" s="2" t="s">
        <v>584</v>
      </c>
      <c r="M181" s="2" t="s">
        <v>24</v>
      </c>
      <c r="N181" s="2" t="s">
        <v>60</v>
      </c>
      <c r="O181" s="2">
        <v>1.10751038E8</v>
      </c>
      <c r="Q181" s="8">
        <v>2025.0</v>
      </c>
      <c r="R181" s="8" t="s">
        <v>34</v>
      </c>
    </row>
    <row r="182">
      <c r="A182" s="4" t="s">
        <v>18</v>
      </c>
      <c r="B182" s="4" t="s">
        <v>585</v>
      </c>
      <c r="C182" s="5">
        <v>45861.0</v>
      </c>
      <c r="D182" s="5">
        <v>45861.0</v>
      </c>
      <c r="E182" s="4" t="s">
        <v>586</v>
      </c>
      <c r="F182" s="9"/>
      <c r="G182" s="6"/>
      <c r="H182" s="7">
        <v>700.0</v>
      </c>
      <c r="I182" s="11">
        <v>98903.09</v>
      </c>
      <c r="K182" s="1" t="str">
        <f t="shared" ref="K182:K189" si="17">RIGHT(E182,6)</f>
        <v>KN3817</v>
      </c>
      <c r="L182" s="2" t="s">
        <v>587</v>
      </c>
      <c r="M182" s="2" t="s">
        <v>24</v>
      </c>
      <c r="N182" s="2" t="s">
        <v>60</v>
      </c>
      <c r="O182" s="2">
        <v>1.10751038E8</v>
      </c>
      <c r="Q182" s="8">
        <v>2025.0</v>
      </c>
      <c r="R182" s="8" t="s">
        <v>34</v>
      </c>
    </row>
    <row r="183">
      <c r="A183" s="4" t="s">
        <v>18</v>
      </c>
      <c r="B183" s="4" t="s">
        <v>588</v>
      </c>
      <c r="C183" s="5">
        <v>45861.0</v>
      </c>
      <c r="D183" s="5">
        <v>45861.0</v>
      </c>
      <c r="E183" s="4" t="s">
        <v>589</v>
      </c>
      <c r="F183" s="9"/>
      <c r="G183" s="6"/>
      <c r="H183" s="11">
        <v>1579.0</v>
      </c>
      <c r="I183" s="7" t="s">
        <v>590</v>
      </c>
      <c r="K183" s="1" t="str">
        <f t="shared" si="17"/>
        <v>SL1610</v>
      </c>
      <c r="L183" s="2" t="s">
        <v>591</v>
      </c>
      <c r="M183" s="2" t="s">
        <v>24</v>
      </c>
      <c r="N183" s="2" t="s">
        <v>60</v>
      </c>
      <c r="O183" s="2">
        <v>1.10751038E8</v>
      </c>
      <c r="Q183" s="8">
        <v>2025.0</v>
      </c>
      <c r="R183" s="8" t="s">
        <v>34</v>
      </c>
    </row>
    <row r="184">
      <c r="A184" s="4" t="s">
        <v>18</v>
      </c>
      <c r="B184" s="4" t="s">
        <v>592</v>
      </c>
      <c r="C184" s="5">
        <v>45861.0</v>
      </c>
      <c r="D184" s="5">
        <v>45861.0</v>
      </c>
      <c r="E184" s="4" t="s">
        <v>593</v>
      </c>
      <c r="F184" s="9"/>
      <c r="G184" s="6"/>
      <c r="H184" s="11">
        <v>1840.0</v>
      </c>
      <c r="I184" s="7" t="s">
        <v>594</v>
      </c>
      <c r="K184" s="1" t="str">
        <f t="shared" si="17"/>
        <v>UN3668</v>
      </c>
      <c r="L184" s="2" t="s">
        <v>595</v>
      </c>
      <c r="M184" s="2" t="s">
        <v>24</v>
      </c>
      <c r="N184" s="2" t="s">
        <v>60</v>
      </c>
      <c r="O184" s="2">
        <v>1.10751038E8</v>
      </c>
      <c r="Q184" s="8">
        <v>2025.0</v>
      </c>
      <c r="R184" s="8" t="s">
        <v>34</v>
      </c>
    </row>
    <row r="185">
      <c r="A185" s="4" t="s">
        <v>18</v>
      </c>
      <c r="B185" s="4" t="s">
        <v>596</v>
      </c>
      <c r="C185" s="5">
        <v>45861.0</v>
      </c>
      <c r="D185" s="5">
        <v>45861.0</v>
      </c>
      <c r="E185" s="4" t="s">
        <v>597</v>
      </c>
      <c r="F185" s="9"/>
      <c r="G185" s="6"/>
      <c r="H185" s="7">
        <v>327.0</v>
      </c>
      <c r="I185" s="7" t="s">
        <v>598</v>
      </c>
      <c r="K185" s="1" t="str">
        <f t="shared" si="17"/>
        <v>SC3567</v>
      </c>
      <c r="L185" s="2" t="s">
        <v>599</v>
      </c>
      <c r="M185" s="2" t="s">
        <v>24</v>
      </c>
      <c r="N185" s="2" t="s">
        <v>60</v>
      </c>
      <c r="O185" s="2">
        <v>1.10751038E8</v>
      </c>
      <c r="Q185" s="8">
        <v>2025.0</v>
      </c>
      <c r="R185" s="8" t="s">
        <v>34</v>
      </c>
    </row>
    <row r="186">
      <c r="A186" s="4" t="s">
        <v>18</v>
      </c>
      <c r="B186" s="4" t="s">
        <v>600</v>
      </c>
      <c r="C186" s="5">
        <v>45861.0</v>
      </c>
      <c r="D186" s="5">
        <v>45861.0</v>
      </c>
      <c r="E186" s="4" t="s">
        <v>601</v>
      </c>
      <c r="F186" s="9"/>
      <c r="G186" s="6"/>
      <c r="H186" s="7">
        <v>487.0</v>
      </c>
      <c r="I186" s="7" t="s">
        <v>602</v>
      </c>
      <c r="K186" s="1" t="str">
        <f t="shared" si="17"/>
        <v>KN3817</v>
      </c>
      <c r="L186" s="2" t="s">
        <v>603</v>
      </c>
      <c r="M186" s="2" t="s">
        <v>24</v>
      </c>
      <c r="N186" s="2" t="s">
        <v>60</v>
      </c>
      <c r="O186" s="2">
        <v>1.10751038E8</v>
      </c>
      <c r="Q186" s="8">
        <v>2025.0</v>
      </c>
      <c r="R186" s="8" t="s">
        <v>34</v>
      </c>
    </row>
    <row r="187">
      <c r="A187" s="4" t="s">
        <v>18</v>
      </c>
      <c r="B187" s="4" t="s">
        <v>604</v>
      </c>
      <c r="C187" s="5">
        <v>45861.0</v>
      </c>
      <c r="D187" s="5">
        <v>45861.0</v>
      </c>
      <c r="E187" s="4" t="s">
        <v>605</v>
      </c>
      <c r="F187" s="9"/>
      <c r="G187" s="6"/>
      <c r="H187" s="7">
        <v>322.0</v>
      </c>
      <c r="I187" s="7" t="s">
        <v>606</v>
      </c>
      <c r="K187" s="1" t="str">
        <f t="shared" si="17"/>
        <v>KN3817</v>
      </c>
      <c r="L187" s="2" t="s">
        <v>607</v>
      </c>
      <c r="M187" s="2" t="s">
        <v>24</v>
      </c>
      <c r="N187" s="2" t="s">
        <v>60</v>
      </c>
      <c r="O187" s="2">
        <v>1.10751038E8</v>
      </c>
      <c r="Q187" s="8">
        <v>2025.0</v>
      </c>
      <c r="R187" s="8" t="s">
        <v>34</v>
      </c>
    </row>
    <row r="188">
      <c r="A188" s="4" t="s">
        <v>18</v>
      </c>
      <c r="B188" s="4" t="s">
        <v>608</v>
      </c>
      <c r="C188" s="5">
        <v>45862.0</v>
      </c>
      <c r="D188" s="5">
        <v>45862.0</v>
      </c>
      <c r="E188" s="4" t="s">
        <v>609</v>
      </c>
      <c r="F188" s="9"/>
      <c r="G188" s="6"/>
      <c r="H188" s="7">
        <v>844.0</v>
      </c>
      <c r="I188" s="7" t="s">
        <v>610</v>
      </c>
      <c r="K188" s="1" t="str">
        <f t="shared" si="17"/>
        <v>SL1610</v>
      </c>
      <c r="L188" s="2" t="s">
        <v>611</v>
      </c>
      <c r="M188" s="2" t="s">
        <v>24</v>
      </c>
      <c r="N188" s="2" t="s">
        <v>60</v>
      </c>
      <c r="O188" s="2">
        <v>1.10751038E8</v>
      </c>
      <c r="Q188" s="8">
        <v>2025.0</v>
      </c>
      <c r="R188" s="8" t="s">
        <v>34</v>
      </c>
    </row>
    <row r="189">
      <c r="A189" s="4" t="s">
        <v>18</v>
      </c>
      <c r="B189" s="4" t="s">
        <v>612</v>
      </c>
      <c r="C189" s="5">
        <v>45862.0</v>
      </c>
      <c r="D189" s="5">
        <v>45862.0</v>
      </c>
      <c r="E189" s="4" t="s">
        <v>613</v>
      </c>
      <c r="F189" s="9"/>
      <c r="G189" s="6"/>
      <c r="H189" s="7">
        <v>109.0</v>
      </c>
      <c r="I189" s="7" t="s">
        <v>614</v>
      </c>
      <c r="K189" s="1" t="str">
        <f t="shared" si="17"/>
        <v>SC3567</v>
      </c>
      <c r="L189" s="2" t="s">
        <v>615</v>
      </c>
      <c r="M189" s="2" t="s">
        <v>24</v>
      </c>
      <c r="N189" s="2" t="s">
        <v>60</v>
      </c>
      <c r="O189" s="2">
        <v>1.10751038E8</v>
      </c>
      <c r="Q189" s="8">
        <v>2025.0</v>
      </c>
      <c r="R189" s="8" t="s">
        <v>34</v>
      </c>
    </row>
    <row r="190">
      <c r="A190" s="4" t="s">
        <v>18</v>
      </c>
      <c r="B190" s="4" t="s">
        <v>616</v>
      </c>
      <c r="C190" s="5">
        <v>45862.0</v>
      </c>
      <c r="D190" s="5">
        <v>45862.0</v>
      </c>
      <c r="E190" s="4" t="s">
        <v>617</v>
      </c>
      <c r="F190" s="9"/>
      <c r="G190" s="6"/>
      <c r="H190" s="11">
        <v>3000.0</v>
      </c>
      <c r="I190" s="7" t="s">
        <v>618</v>
      </c>
      <c r="K190" s="1" t="s">
        <v>123</v>
      </c>
      <c r="L190" s="2" t="s">
        <v>619</v>
      </c>
      <c r="M190" s="2" t="s">
        <v>24</v>
      </c>
      <c r="N190" s="2" t="s">
        <v>60</v>
      </c>
      <c r="O190" s="2">
        <v>1.10751038E8</v>
      </c>
      <c r="Q190" s="8">
        <v>2025.0</v>
      </c>
      <c r="R190" s="8" t="s">
        <v>34</v>
      </c>
    </row>
    <row r="191">
      <c r="A191" s="4" t="s">
        <v>18</v>
      </c>
      <c r="B191" s="4" t="s">
        <v>620</v>
      </c>
      <c r="C191" s="5">
        <v>45862.0</v>
      </c>
      <c r="D191" s="5">
        <v>45862.0</v>
      </c>
      <c r="E191" s="4" t="s">
        <v>621</v>
      </c>
      <c r="F191" s="9"/>
      <c r="G191" s="6"/>
      <c r="H191" s="7">
        <v>403.0</v>
      </c>
      <c r="I191" s="7" t="s">
        <v>622</v>
      </c>
      <c r="K191" s="1" t="str">
        <f>RIGHT(E191,6)</f>
        <v>SC3567</v>
      </c>
      <c r="L191" s="2" t="s">
        <v>623</v>
      </c>
      <c r="M191" s="2" t="s">
        <v>24</v>
      </c>
      <c r="N191" s="2" t="s">
        <v>60</v>
      </c>
      <c r="O191" s="2">
        <v>1.10751038E8</v>
      </c>
      <c r="Q191" s="8">
        <v>2025.0</v>
      </c>
      <c r="R191" s="8" t="s">
        <v>34</v>
      </c>
    </row>
    <row r="192">
      <c r="A192" s="4" t="s">
        <v>18</v>
      </c>
      <c r="B192" s="4" t="s">
        <v>624</v>
      </c>
      <c r="C192" s="5">
        <v>45862.0</v>
      </c>
      <c r="D192" s="5">
        <v>45862.0</v>
      </c>
      <c r="E192" s="4" t="s">
        <v>625</v>
      </c>
      <c r="F192" s="9"/>
      <c r="G192" s="6"/>
      <c r="H192" s="11">
        <v>1330.0</v>
      </c>
      <c r="I192" s="7" t="s">
        <v>626</v>
      </c>
      <c r="K192" s="1" t="s">
        <v>127</v>
      </c>
      <c r="L192" s="2" t="s">
        <v>627</v>
      </c>
      <c r="M192" s="2" t="s">
        <v>24</v>
      </c>
      <c r="N192" s="2" t="s">
        <v>60</v>
      </c>
      <c r="O192" s="2">
        <v>1.10751038E8</v>
      </c>
      <c r="Q192" s="8">
        <v>2025.0</v>
      </c>
      <c r="R192" s="8" t="s">
        <v>34</v>
      </c>
    </row>
    <row r="193">
      <c r="A193" s="4" t="s">
        <v>18</v>
      </c>
      <c r="B193" s="4" t="s">
        <v>628</v>
      </c>
      <c r="C193" s="5">
        <v>45862.0</v>
      </c>
      <c r="D193" s="5">
        <v>45862.0</v>
      </c>
      <c r="E193" s="4" t="s">
        <v>629</v>
      </c>
      <c r="F193" s="9"/>
      <c r="G193" s="6"/>
      <c r="H193" s="7">
        <v>425.0</v>
      </c>
      <c r="I193" s="7" t="s">
        <v>630</v>
      </c>
      <c r="K193" s="1" t="str">
        <f t="shared" ref="K193:K196" si="18">RIGHT(E193,6)</f>
        <v>SC3567</v>
      </c>
      <c r="L193" s="2" t="s">
        <v>631</v>
      </c>
      <c r="M193" s="2" t="s">
        <v>24</v>
      </c>
      <c r="N193" s="2" t="s">
        <v>60</v>
      </c>
      <c r="O193" s="2">
        <v>1.10751038E8</v>
      </c>
      <c r="Q193" s="8">
        <v>2025.0</v>
      </c>
      <c r="R193" s="8" t="s">
        <v>34</v>
      </c>
    </row>
    <row r="194">
      <c r="A194" s="4" t="s">
        <v>18</v>
      </c>
      <c r="B194" s="4" t="s">
        <v>632</v>
      </c>
      <c r="C194" s="5">
        <v>45862.0</v>
      </c>
      <c r="D194" s="5">
        <v>45862.0</v>
      </c>
      <c r="E194" s="4" t="s">
        <v>633</v>
      </c>
      <c r="F194" s="9"/>
      <c r="G194" s="6"/>
      <c r="H194" s="7">
        <v>354.0</v>
      </c>
      <c r="I194" s="7" t="s">
        <v>634</v>
      </c>
      <c r="K194" s="1" t="str">
        <f t="shared" si="18"/>
        <v>SL1610</v>
      </c>
      <c r="L194" s="2" t="s">
        <v>635</v>
      </c>
      <c r="M194" s="2" t="s">
        <v>24</v>
      </c>
      <c r="N194" s="2" t="s">
        <v>60</v>
      </c>
      <c r="O194" s="2">
        <v>1.10751038E8</v>
      </c>
      <c r="Q194" s="8">
        <v>2025.0</v>
      </c>
      <c r="R194" s="8" t="s">
        <v>34</v>
      </c>
    </row>
    <row r="195">
      <c r="A195" s="4" t="s">
        <v>18</v>
      </c>
      <c r="B195" s="4" t="s">
        <v>636</v>
      </c>
      <c r="C195" s="5">
        <v>45862.0</v>
      </c>
      <c r="D195" s="5">
        <v>45862.0</v>
      </c>
      <c r="E195" s="4" t="s">
        <v>637</v>
      </c>
      <c r="F195" s="9"/>
      <c r="G195" s="6"/>
      <c r="H195" s="7">
        <v>585.0</v>
      </c>
      <c r="I195" s="7" t="s">
        <v>638</v>
      </c>
      <c r="K195" s="1" t="str">
        <f t="shared" si="18"/>
        <v>UN3668</v>
      </c>
      <c r="L195" s="2" t="s">
        <v>639</v>
      </c>
      <c r="M195" s="2" t="s">
        <v>24</v>
      </c>
      <c r="N195" s="2" t="s">
        <v>60</v>
      </c>
      <c r="O195" s="2">
        <v>1.10751038E8</v>
      </c>
      <c r="Q195" s="8">
        <v>2025.0</v>
      </c>
      <c r="R195" s="8" t="s">
        <v>34</v>
      </c>
    </row>
    <row r="196">
      <c r="A196" s="4" t="s">
        <v>18</v>
      </c>
      <c r="B196" s="4" t="s">
        <v>640</v>
      </c>
      <c r="C196" s="5">
        <v>45862.0</v>
      </c>
      <c r="D196" s="5">
        <v>45862.0</v>
      </c>
      <c r="E196" s="4" t="s">
        <v>641</v>
      </c>
      <c r="F196" s="9"/>
      <c r="G196" s="6"/>
      <c r="H196" s="7">
        <v>949.0</v>
      </c>
      <c r="I196" s="7" t="s">
        <v>642</v>
      </c>
      <c r="K196" s="1" t="str">
        <f t="shared" si="18"/>
        <v>SL1610</v>
      </c>
      <c r="L196" s="2" t="s">
        <v>643</v>
      </c>
      <c r="M196" s="2" t="s">
        <v>24</v>
      </c>
      <c r="N196" s="2" t="s">
        <v>60</v>
      </c>
      <c r="O196" s="2">
        <v>1.10751038E8</v>
      </c>
      <c r="Q196" s="8">
        <v>2025.0</v>
      </c>
      <c r="R196" s="8" t="s">
        <v>34</v>
      </c>
    </row>
    <row r="197">
      <c r="A197" s="4" t="s">
        <v>18</v>
      </c>
      <c r="B197" s="4" t="s">
        <v>644</v>
      </c>
      <c r="C197" s="5">
        <v>45862.0</v>
      </c>
      <c r="D197" s="5">
        <v>45862.0</v>
      </c>
      <c r="E197" s="4" t="s">
        <v>645</v>
      </c>
      <c r="F197" s="9"/>
      <c r="G197" s="11">
        <v>37510.3</v>
      </c>
      <c r="H197" s="6"/>
      <c r="I197" s="11">
        <v>73946.79</v>
      </c>
      <c r="J197" s="2" t="s">
        <v>646</v>
      </c>
      <c r="K197" s="1" t="s">
        <v>23</v>
      </c>
      <c r="M197" s="2" t="s">
        <v>114</v>
      </c>
      <c r="N197" s="2" t="s">
        <v>478</v>
      </c>
      <c r="O197" s="2">
        <v>1.10751038E8</v>
      </c>
      <c r="Q197" s="8">
        <v>2025.0</v>
      </c>
      <c r="R197" s="8" t="s">
        <v>34</v>
      </c>
    </row>
    <row r="198">
      <c r="A198" s="4" t="s">
        <v>18</v>
      </c>
      <c r="B198" s="4" t="s">
        <v>647</v>
      </c>
      <c r="C198" s="5">
        <v>45862.0</v>
      </c>
      <c r="D198" s="5">
        <v>45862.0</v>
      </c>
      <c r="E198" s="4" t="s">
        <v>648</v>
      </c>
      <c r="F198" s="9"/>
      <c r="G198" s="6"/>
      <c r="H198" s="11">
        <v>1813.0</v>
      </c>
      <c r="I198" s="11">
        <v>75759.79</v>
      </c>
      <c r="K198" s="1" t="str">
        <f t="shared" ref="K198:K200" si="19">RIGHT(E198,6)</f>
        <v>SL1610</v>
      </c>
      <c r="L198" s="2" t="s">
        <v>649</v>
      </c>
      <c r="M198" s="2" t="s">
        <v>24</v>
      </c>
      <c r="N198" s="2" t="s">
        <v>60</v>
      </c>
      <c r="O198" s="2">
        <v>1.10751038E8</v>
      </c>
      <c r="Q198" s="8">
        <v>2025.0</v>
      </c>
      <c r="R198" s="8" t="s">
        <v>34</v>
      </c>
    </row>
    <row r="199">
      <c r="A199" s="4" t="s">
        <v>18</v>
      </c>
      <c r="B199" s="4" t="s">
        <v>650</v>
      </c>
      <c r="C199" s="5">
        <v>45862.0</v>
      </c>
      <c r="D199" s="5">
        <v>45862.0</v>
      </c>
      <c r="E199" s="4" t="s">
        <v>651</v>
      </c>
      <c r="F199" s="9"/>
      <c r="G199" s="6"/>
      <c r="H199" s="7">
        <v>534.0</v>
      </c>
      <c r="I199" s="11">
        <v>76293.79</v>
      </c>
      <c r="K199" s="1" t="str">
        <f t="shared" si="19"/>
        <v>UN3668</v>
      </c>
      <c r="L199" s="2" t="s">
        <v>652</v>
      </c>
      <c r="M199" s="2" t="s">
        <v>24</v>
      </c>
      <c r="N199" s="2" t="s">
        <v>60</v>
      </c>
      <c r="O199" s="2">
        <v>1.10751038E8</v>
      </c>
      <c r="Q199" s="8">
        <v>2025.0</v>
      </c>
      <c r="R199" s="8" t="s">
        <v>34</v>
      </c>
    </row>
    <row r="200">
      <c r="A200" s="4" t="s">
        <v>18</v>
      </c>
      <c r="B200" s="4" t="s">
        <v>653</v>
      </c>
      <c r="C200" s="5">
        <v>45862.0</v>
      </c>
      <c r="D200" s="5">
        <v>45862.0</v>
      </c>
      <c r="E200" s="4" t="s">
        <v>654</v>
      </c>
      <c r="F200" s="9"/>
      <c r="G200" s="6"/>
      <c r="H200" s="11">
        <v>1090.0</v>
      </c>
      <c r="I200" s="11">
        <v>77383.79</v>
      </c>
      <c r="K200" s="1" t="str">
        <f t="shared" si="19"/>
        <v>KN3817</v>
      </c>
      <c r="L200" s="2" t="s">
        <v>655</v>
      </c>
      <c r="M200" s="2" t="s">
        <v>24</v>
      </c>
      <c r="N200" s="2" t="s">
        <v>60</v>
      </c>
      <c r="O200" s="2">
        <v>1.10751038E8</v>
      </c>
      <c r="Q200" s="8">
        <v>2025.0</v>
      </c>
      <c r="R200" s="8" t="s">
        <v>34</v>
      </c>
    </row>
    <row r="201">
      <c r="A201" s="4" t="s">
        <v>18</v>
      </c>
      <c r="B201" s="4" t="s">
        <v>656</v>
      </c>
      <c r="C201" s="5">
        <v>45862.0</v>
      </c>
      <c r="D201" s="5">
        <v>45862.0</v>
      </c>
      <c r="E201" s="4" t="s">
        <v>657</v>
      </c>
      <c r="F201" s="9"/>
      <c r="G201" s="6"/>
      <c r="H201" s="11">
        <v>2371.0</v>
      </c>
      <c r="I201" s="11">
        <v>79754.79</v>
      </c>
      <c r="K201" s="1" t="s">
        <v>113</v>
      </c>
      <c r="L201" s="2" t="s">
        <v>658</v>
      </c>
      <c r="M201" s="2" t="s">
        <v>24</v>
      </c>
      <c r="N201" s="2" t="s">
        <v>60</v>
      </c>
      <c r="O201" s="2">
        <v>1.10751038E8</v>
      </c>
      <c r="Q201" s="8">
        <v>2025.0</v>
      </c>
      <c r="R201" s="8" t="s">
        <v>34</v>
      </c>
    </row>
    <row r="202">
      <c r="A202" s="4" t="s">
        <v>18</v>
      </c>
      <c r="B202" s="4" t="s">
        <v>659</v>
      </c>
      <c r="C202" s="5">
        <v>45862.0</v>
      </c>
      <c r="D202" s="5">
        <v>45862.0</v>
      </c>
      <c r="E202" s="4" t="s">
        <v>660</v>
      </c>
      <c r="F202" s="9"/>
      <c r="G202" s="6"/>
      <c r="H202" s="7">
        <v>427.0</v>
      </c>
      <c r="I202" s="11">
        <v>80181.79</v>
      </c>
      <c r="K202" s="1" t="str">
        <f t="shared" ref="K202:K205" si="20">RIGHT(E202,6)</f>
        <v>KN3817</v>
      </c>
      <c r="L202" s="2" t="s">
        <v>661</v>
      </c>
      <c r="M202" s="2" t="s">
        <v>24</v>
      </c>
      <c r="N202" s="2" t="s">
        <v>60</v>
      </c>
      <c r="O202" s="2">
        <v>1.10751038E8</v>
      </c>
      <c r="Q202" s="8">
        <v>2025.0</v>
      </c>
      <c r="R202" s="8" t="s">
        <v>34</v>
      </c>
    </row>
    <row r="203">
      <c r="A203" s="4" t="s">
        <v>18</v>
      </c>
      <c r="B203" s="4" t="s">
        <v>662</v>
      </c>
      <c r="C203" s="5">
        <v>45863.0</v>
      </c>
      <c r="D203" s="5">
        <v>45863.0</v>
      </c>
      <c r="E203" s="4" t="s">
        <v>663</v>
      </c>
      <c r="F203" s="9"/>
      <c r="G203" s="6"/>
      <c r="H203" s="7">
        <v>750.0</v>
      </c>
      <c r="I203" s="11">
        <v>80931.79</v>
      </c>
      <c r="K203" s="1" t="str">
        <f t="shared" si="20"/>
        <v>UN3668</v>
      </c>
      <c r="L203" s="2" t="s">
        <v>664</v>
      </c>
      <c r="M203" s="2" t="s">
        <v>24</v>
      </c>
      <c r="N203" s="2" t="s">
        <v>60</v>
      </c>
      <c r="O203" s="2">
        <v>1.10751038E8</v>
      </c>
      <c r="Q203" s="8">
        <v>2025.0</v>
      </c>
      <c r="R203" s="8" t="s">
        <v>34</v>
      </c>
    </row>
    <row r="204">
      <c r="A204" s="4" t="s">
        <v>18</v>
      </c>
      <c r="B204" s="4" t="s">
        <v>665</v>
      </c>
      <c r="C204" s="5">
        <v>45863.0</v>
      </c>
      <c r="D204" s="5">
        <v>45863.0</v>
      </c>
      <c r="E204" s="4" t="s">
        <v>666</v>
      </c>
      <c r="F204" s="9"/>
      <c r="G204" s="6"/>
      <c r="H204" s="7">
        <v>572.0</v>
      </c>
      <c r="I204" s="11">
        <v>81503.79</v>
      </c>
      <c r="K204" s="1" t="str">
        <f t="shared" si="20"/>
        <v>UN3668</v>
      </c>
      <c r="L204" s="2" t="s">
        <v>667</v>
      </c>
      <c r="M204" s="2" t="s">
        <v>24</v>
      </c>
      <c r="N204" s="2" t="s">
        <v>60</v>
      </c>
      <c r="O204" s="2">
        <v>1.10751038E8</v>
      </c>
      <c r="Q204" s="8">
        <v>2025.0</v>
      </c>
      <c r="R204" s="8" t="s">
        <v>34</v>
      </c>
    </row>
    <row r="205">
      <c r="A205" s="4" t="s">
        <v>18</v>
      </c>
      <c r="B205" s="4" t="s">
        <v>668</v>
      </c>
      <c r="C205" s="5">
        <v>45863.0</v>
      </c>
      <c r="D205" s="5">
        <v>45863.0</v>
      </c>
      <c r="E205" s="4" t="s">
        <v>669</v>
      </c>
      <c r="F205" s="9"/>
      <c r="G205" s="6"/>
      <c r="H205" s="7">
        <v>263.0</v>
      </c>
      <c r="I205" s="11">
        <v>81766.79</v>
      </c>
      <c r="K205" s="1" t="str">
        <f t="shared" si="20"/>
        <v>UN3668</v>
      </c>
      <c r="L205" s="2" t="s">
        <v>670</v>
      </c>
      <c r="M205" s="2" t="s">
        <v>24</v>
      </c>
      <c r="N205" s="2" t="s">
        <v>60</v>
      </c>
      <c r="O205" s="2">
        <v>1.10751038E8</v>
      </c>
      <c r="Q205" s="8">
        <v>2025.0</v>
      </c>
      <c r="R205" s="8" t="s">
        <v>34</v>
      </c>
    </row>
    <row r="206">
      <c r="A206" s="4" t="s">
        <v>18</v>
      </c>
      <c r="B206" s="4" t="s">
        <v>671</v>
      </c>
      <c r="C206" s="5">
        <v>45863.0</v>
      </c>
      <c r="D206" s="5">
        <v>45863.0</v>
      </c>
      <c r="E206" s="4" t="s">
        <v>672</v>
      </c>
      <c r="F206" s="9"/>
      <c r="G206" s="7">
        <v>647.42</v>
      </c>
      <c r="H206" s="6"/>
      <c r="I206" s="11">
        <v>81119.37</v>
      </c>
      <c r="J206" s="2" t="s">
        <v>275</v>
      </c>
      <c r="K206" s="2" t="s">
        <v>127</v>
      </c>
      <c r="M206" s="2" t="s">
        <v>114</v>
      </c>
      <c r="N206" s="2" t="s">
        <v>275</v>
      </c>
      <c r="O206" s="2">
        <v>1.10751038E8</v>
      </c>
      <c r="Q206" s="8">
        <v>2025.0</v>
      </c>
      <c r="R206" s="8" t="s">
        <v>34</v>
      </c>
    </row>
    <row r="207">
      <c r="A207" s="4" t="s">
        <v>18</v>
      </c>
      <c r="B207" s="4" t="s">
        <v>673</v>
      </c>
      <c r="C207" s="5">
        <v>45863.0</v>
      </c>
      <c r="D207" s="5">
        <v>45863.0</v>
      </c>
      <c r="E207" s="4" t="s">
        <v>674</v>
      </c>
      <c r="F207" s="9"/>
      <c r="G207" s="7">
        <v>491.06</v>
      </c>
      <c r="H207" s="6"/>
      <c r="I207" s="11">
        <v>80628.31</v>
      </c>
      <c r="J207" s="2" t="s">
        <v>275</v>
      </c>
      <c r="K207" s="2" t="s">
        <v>119</v>
      </c>
      <c r="M207" s="2" t="s">
        <v>114</v>
      </c>
      <c r="N207" s="2" t="s">
        <v>275</v>
      </c>
      <c r="O207" s="2">
        <v>1.10751038E8</v>
      </c>
      <c r="Q207" s="8">
        <v>2025.0</v>
      </c>
      <c r="R207" s="8" t="s">
        <v>34</v>
      </c>
    </row>
    <row r="208">
      <c r="A208" s="4" t="s">
        <v>18</v>
      </c>
      <c r="B208" s="4" t="s">
        <v>675</v>
      </c>
      <c r="C208" s="5">
        <v>45863.0</v>
      </c>
      <c r="D208" s="5">
        <v>45863.0</v>
      </c>
      <c r="E208" s="4" t="s">
        <v>676</v>
      </c>
      <c r="F208" s="9"/>
      <c r="G208" s="6"/>
      <c r="H208" s="7">
        <v>465.0</v>
      </c>
      <c r="I208" s="11">
        <v>81093.31</v>
      </c>
      <c r="K208" s="1" t="str">
        <f t="shared" ref="K208:K209" si="21">RIGHT(E208,6)</f>
        <v>SC3567</v>
      </c>
      <c r="L208" s="2" t="s">
        <v>677</v>
      </c>
      <c r="M208" s="2" t="s">
        <v>24</v>
      </c>
      <c r="N208" s="2" t="s">
        <v>60</v>
      </c>
      <c r="O208" s="2">
        <v>1.10751038E8</v>
      </c>
      <c r="Q208" s="8">
        <v>2025.0</v>
      </c>
      <c r="R208" s="8" t="s">
        <v>34</v>
      </c>
    </row>
    <row r="209">
      <c r="A209" s="4" t="s">
        <v>18</v>
      </c>
      <c r="B209" s="4" t="s">
        <v>678</v>
      </c>
      <c r="C209" s="5">
        <v>45863.0</v>
      </c>
      <c r="D209" s="5">
        <v>45863.0</v>
      </c>
      <c r="E209" s="4" t="s">
        <v>679</v>
      </c>
      <c r="F209" s="9"/>
      <c r="G209" s="6"/>
      <c r="H209" s="7">
        <v>315.0</v>
      </c>
      <c r="I209" s="11">
        <v>81408.31</v>
      </c>
      <c r="K209" s="1" t="str">
        <f t="shared" si="21"/>
        <v>UN3668</v>
      </c>
      <c r="L209" s="2" t="s">
        <v>680</v>
      </c>
      <c r="M209" s="2" t="s">
        <v>24</v>
      </c>
      <c r="N209" s="2" t="s">
        <v>60</v>
      </c>
      <c r="O209" s="2">
        <v>1.10751038E8</v>
      </c>
      <c r="Q209" s="8">
        <v>2025.0</v>
      </c>
      <c r="R209" s="8" t="s">
        <v>34</v>
      </c>
    </row>
    <row r="210">
      <c r="A210" s="4" t="s">
        <v>18</v>
      </c>
      <c r="B210" s="4" t="s">
        <v>681</v>
      </c>
      <c r="C210" s="5">
        <v>45863.0</v>
      </c>
      <c r="D210" s="5">
        <v>45863.0</v>
      </c>
      <c r="E210" s="4" t="s">
        <v>682</v>
      </c>
      <c r="F210" s="9"/>
      <c r="G210" s="6"/>
      <c r="H210" s="7">
        <v>75.0</v>
      </c>
      <c r="I210" s="11">
        <v>81483.31</v>
      </c>
      <c r="K210" s="1" t="s">
        <v>539</v>
      </c>
      <c r="M210" s="2" t="s">
        <v>24</v>
      </c>
      <c r="N210" s="2" t="s">
        <v>60</v>
      </c>
      <c r="O210" s="2">
        <v>1.10751038E8</v>
      </c>
      <c r="P210" s="12" t="str">
        <f>IFERROR(__xludf.DUMMYFUNCTION("CONCATENATE(B210,"", "", to_text(D210),"", "", E210,"", "", H210)"),"TSV-07-0207, 25-Jul-2025, UPI/CR/520653994533/AAYUSHMA/HDFC/8287626/Sent us, 75")</f>
        <v>TSV-07-0207, 25-Jul-2025, UPI/CR/520653994533/AAYUSHMA/HDFC/8287626/Sent us, 75</v>
      </c>
      <c r="Q210" s="8">
        <v>2025.0</v>
      </c>
      <c r="R210" s="8" t="s">
        <v>34</v>
      </c>
    </row>
    <row r="211">
      <c r="A211" s="4" t="s">
        <v>18</v>
      </c>
      <c r="B211" s="4" t="s">
        <v>683</v>
      </c>
      <c r="C211" s="5">
        <v>45864.0</v>
      </c>
      <c r="D211" s="5">
        <v>45864.0</v>
      </c>
      <c r="E211" s="4" t="s">
        <v>684</v>
      </c>
      <c r="F211" s="9"/>
      <c r="G211" s="6"/>
      <c r="H211" s="7">
        <v>353.0</v>
      </c>
      <c r="I211" s="11">
        <v>81836.31</v>
      </c>
      <c r="K211" s="1" t="str">
        <f t="shared" ref="K211:K217" si="22">RIGHT(E211,6)</f>
        <v>UN3668</v>
      </c>
      <c r="L211" s="2" t="s">
        <v>685</v>
      </c>
      <c r="M211" s="2" t="s">
        <v>24</v>
      </c>
      <c r="N211" s="2" t="s">
        <v>60</v>
      </c>
      <c r="O211" s="2">
        <v>1.10751038E8</v>
      </c>
      <c r="Q211" s="8">
        <v>2025.0</v>
      </c>
      <c r="R211" s="8" t="s">
        <v>34</v>
      </c>
    </row>
    <row r="212">
      <c r="A212" s="4" t="s">
        <v>18</v>
      </c>
      <c r="B212" s="4" t="s">
        <v>686</v>
      </c>
      <c r="C212" s="5">
        <v>45864.0</v>
      </c>
      <c r="D212" s="5">
        <v>45864.0</v>
      </c>
      <c r="E212" s="4" t="s">
        <v>687</v>
      </c>
      <c r="F212" s="9"/>
      <c r="G212" s="6"/>
      <c r="H212" s="7">
        <v>576.0</v>
      </c>
      <c r="I212" s="11">
        <v>82412.31</v>
      </c>
      <c r="K212" s="1" t="str">
        <f t="shared" si="22"/>
        <v>UN3668</v>
      </c>
      <c r="L212" s="2" t="s">
        <v>688</v>
      </c>
      <c r="M212" s="2" t="s">
        <v>24</v>
      </c>
      <c r="N212" s="2" t="s">
        <v>60</v>
      </c>
      <c r="O212" s="2">
        <v>1.10751038E8</v>
      </c>
      <c r="Q212" s="8">
        <v>2025.0</v>
      </c>
      <c r="R212" s="8" t="s">
        <v>34</v>
      </c>
    </row>
    <row r="213">
      <c r="A213" s="4" t="s">
        <v>18</v>
      </c>
      <c r="B213" s="4" t="s">
        <v>689</v>
      </c>
      <c r="C213" s="5">
        <v>45864.0</v>
      </c>
      <c r="D213" s="5">
        <v>45864.0</v>
      </c>
      <c r="E213" s="4" t="s">
        <v>690</v>
      </c>
      <c r="F213" s="9"/>
      <c r="G213" s="6"/>
      <c r="H213" s="7">
        <v>315.0</v>
      </c>
      <c r="I213" s="11">
        <v>82727.31</v>
      </c>
      <c r="K213" s="1" t="str">
        <f t="shared" si="22"/>
        <v>SC3567</v>
      </c>
      <c r="L213" s="2" t="s">
        <v>691</v>
      </c>
      <c r="M213" s="2" t="s">
        <v>24</v>
      </c>
      <c r="N213" s="2" t="s">
        <v>60</v>
      </c>
      <c r="O213" s="2">
        <v>1.10751038E8</v>
      </c>
      <c r="Q213" s="8">
        <v>2025.0</v>
      </c>
      <c r="R213" s="8" t="s">
        <v>34</v>
      </c>
    </row>
    <row r="214">
      <c r="A214" s="4" t="s">
        <v>18</v>
      </c>
      <c r="B214" s="4" t="s">
        <v>692</v>
      </c>
      <c r="C214" s="5">
        <v>45864.0</v>
      </c>
      <c r="D214" s="5">
        <v>45864.0</v>
      </c>
      <c r="E214" s="4" t="s">
        <v>693</v>
      </c>
      <c r="F214" s="9"/>
      <c r="G214" s="6"/>
      <c r="H214" s="7">
        <v>300.0</v>
      </c>
      <c r="I214" s="11">
        <v>83027.31</v>
      </c>
      <c r="K214" s="1" t="str">
        <f t="shared" si="22"/>
        <v>UN3668</v>
      </c>
      <c r="L214" s="2" t="s">
        <v>694</v>
      </c>
      <c r="M214" s="2" t="s">
        <v>24</v>
      </c>
      <c r="N214" s="2" t="s">
        <v>60</v>
      </c>
      <c r="O214" s="2">
        <v>1.10751038E8</v>
      </c>
      <c r="Q214" s="8">
        <v>2025.0</v>
      </c>
      <c r="R214" s="8" t="s">
        <v>34</v>
      </c>
    </row>
    <row r="215">
      <c r="A215" s="4" t="s">
        <v>18</v>
      </c>
      <c r="B215" s="4" t="s">
        <v>695</v>
      </c>
      <c r="C215" s="5">
        <v>45864.0</v>
      </c>
      <c r="D215" s="5">
        <v>45864.0</v>
      </c>
      <c r="E215" s="4" t="s">
        <v>696</v>
      </c>
      <c r="F215" s="9"/>
      <c r="G215" s="6"/>
      <c r="H215" s="7">
        <v>602.45</v>
      </c>
      <c r="I215" s="11">
        <v>83629.76</v>
      </c>
      <c r="K215" s="1" t="str">
        <f t="shared" si="22"/>
        <v>SC3567</v>
      </c>
      <c r="L215" s="2" t="s">
        <v>697</v>
      </c>
      <c r="M215" s="2" t="s">
        <v>24</v>
      </c>
      <c r="N215" s="2" t="s">
        <v>60</v>
      </c>
      <c r="O215" s="2">
        <v>1.10751038E8</v>
      </c>
      <c r="Q215" s="8">
        <v>2025.0</v>
      </c>
      <c r="R215" s="8" t="s">
        <v>34</v>
      </c>
    </row>
    <row r="216">
      <c r="A216" s="4" t="s">
        <v>18</v>
      </c>
      <c r="B216" s="4" t="s">
        <v>698</v>
      </c>
      <c r="C216" s="5">
        <v>45864.0</v>
      </c>
      <c r="D216" s="5">
        <v>45864.0</v>
      </c>
      <c r="E216" s="4" t="s">
        <v>699</v>
      </c>
      <c r="F216" s="9"/>
      <c r="G216" s="6"/>
      <c r="H216" s="7">
        <v>528.0</v>
      </c>
      <c r="I216" s="11">
        <v>84157.76</v>
      </c>
      <c r="K216" s="1" t="str">
        <f t="shared" si="22"/>
        <v>UN3668</v>
      </c>
      <c r="L216" s="2" t="s">
        <v>700</v>
      </c>
      <c r="M216" s="2" t="s">
        <v>24</v>
      </c>
      <c r="N216" s="2" t="s">
        <v>60</v>
      </c>
      <c r="O216" s="2">
        <v>1.10751038E8</v>
      </c>
      <c r="Q216" s="8">
        <v>2025.0</v>
      </c>
      <c r="R216" s="8" t="s">
        <v>34</v>
      </c>
    </row>
    <row r="217">
      <c r="A217" s="4" t="s">
        <v>18</v>
      </c>
      <c r="B217" s="4" t="s">
        <v>701</v>
      </c>
      <c r="C217" s="5">
        <v>45865.0</v>
      </c>
      <c r="D217" s="5">
        <v>45865.0</v>
      </c>
      <c r="E217" s="4" t="s">
        <v>702</v>
      </c>
      <c r="F217" s="9"/>
      <c r="G217" s="6"/>
      <c r="H217" s="7">
        <v>350.0</v>
      </c>
      <c r="I217" s="11">
        <v>84507.76</v>
      </c>
      <c r="K217" s="1" t="str">
        <f t="shared" si="22"/>
        <v>SC3567</v>
      </c>
      <c r="L217" s="2" t="s">
        <v>703</v>
      </c>
      <c r="M217" s="2" t="s">
        <v>24</v>
      </c>
      <c r="N217" s="2" t="s">
        <v>60</v>
      </c>
      <c r="O217" s="2">
        <v>1.10751038E8</v>
      </c>
      <c r="Q217" s="8">
        <v>2025.0</v>
      </c>
      <c r="R217" s="8" t="s">
        <v>34</v>
      </c>
    </row>
    <row r="218">
      <c r="A218" s="4" t="s">
        <v>18</v>
      </c>
      <c r="B218" s="4" t="s">
        <v>704</v>
      </c>
      <c r="C218" s="5">
        <v>45865.0</v>
      </c>
      <c r="D218" s="5">
        <v>45865.0</v>
      </c>
      <c r="E218" s="4" t="s">
        <v>705</v>
      </c>
      <c r="F218" s="9"/>
      <c r="G218" s="6"/>
      <c r="H218" s="7">
        <v>320.0</v>
      </c>
      <c r="I218" s="11">
        <v>84827.76</v>
      </c>
      <c r="K218" s="1" t="s">
        <v>127</v>
      </c>
      <c r="L218" s="2" t="s">
        <v>706</v>
      </c>
      <c r="M218" s="2" t="s">
        <v>24</v>
      </c>
      <c r="N218" s="2" t="s">
        <v>60</v>
      </c>
      <c r="O218" s="2">
        <v>1.10751038E8</v>
      </c>
      <c r="Q218" s="8">
        <v>2025.0</v>
      </c>
      <c r="R218" s="8" t="s">
        <v>34</v>
      </c>
    </row>
    <row r="219">
      <c r="A219" s="4" t="s">
        <v>18</v>
      </c>
      <c r="B219" s="4" t="s">
        <v>707</v>
      </c>
      <c r="C219" s="5">
        <v>45865.0</v>
      </c>
      <c r="D219" s="5">
        <v>45865.0</v>
      </c>
      <c r="E219" s="4" t="s">
        <v>708</v>
      </c>
      <c r="F219" s="9"/>
      <c r="G219" s="6"/>
      <c r="H219" s="11">
        <v>1735.0</v>
      </c>
      <c r="I219" s="11">
        <v>86562.76</v>
      </c>
      <c r="K219" s="1" t="str">
        <f t="shared" ref="K219:K225" si="23">RIGHT(E219,6)</f>
        <v>SL1610</v>
      </c>
      <c r="L219" s="2" t="s">
        <v>709</v>
      </c>
      <c r="M219" s="2" t="s">
        <v>24</v>
      </c>
      <c r="N219" s="2" t="s">
        <v>60</v>
      </c>
      <c r="O219" s="2">
        <v>1.10751038E8</v>
      </c>
      <c r="Q219" s="8">
        <v>2025.0</v>
      </c>
      <c r="R219" s="8" t="s">
        <v>34</v>
      </c>
    </row>
    <row r="220">
      <c r="A220" s="4" t="s">
        <v>18</v>
      </c>
      <c r="B220" s="4" t="s">
        <v>710</v>
      </c>
      <c r="C220" s="5">
        <v>45865.0</v>
      </c>
      <c r="D220" s="5">
        <v>45865.0</v>
      </c>
      <c r="E220" s="4" t="s">
        <v>711</v>
      </c>
      <c r="F220" s="9"/>
      <c r="G220" s="6"/>
      <c r="H220" s="7">
        <v>353.0</v>
      </c>
      <c r="I220" s="11">
        <v>86915.76</v>
      </c>
      <c r="K220" s="1" t="str">
        <f t="shared" si="23"/>
        <v>UN3668</v>
      </c>
      <c r="L220" s="2" t="s">
        <v>712</v>
      </c>
      <c r="M220" s="2" t="s">
        <v>24</v>
      </c>
      <c r="N220" s="2" t="s">
        <v>60</v>
      </c>
      <c r="O220" s="2">
        <v>1.10751038E8</v>
      </c>
      <c r="Q220" s="8">
        <v>2025.0</v>
      </c>
      <c r="R220" s="8" t="s">
        <v>34</v>
      </c>
    </row>
    <row r="221">
      <c r="A221" s="4" t="s">
        <v>18</v>
      </c>
      <c r="B221" s="4" t="s">
        <v>713</v>
      </c>
      <c r="C221" s="5">
        <v>45865.0</v>
      </c>
      <c r="D221" s="5">
        <v>45865.0</v>
      </c>
      <c r="E221" s="4" t="s">
        <v>714</v>
      </c>
      <c r="F221" s="9"/>
      <c r="G221" s="6"/>
      <c r="H221" s="11">
        <v>1094.0</v>
      </c>
      <c r="I221" s="11">
        <v>88009.76</v>
      </c>
      <c r="K221" s="1" t="str">
        <f t="shared" si="23"/>
        <v>SL1610</v>
      </c>
      <c r="L221" s="2" t="s">
        <v>715</v>
      </c>
      <c r="M221" s="2" t="s">
        <v>24</v>
      </c>
      <c r="N221" s="2" t="s">
        <v>60</v>
      </c>
      <c r="O221" s="2">
        <v>1.10751038E8</v>
      </c>
      <c r="Q221" s="8">
        <v>2025.0</v>
      </c>
      <c r="R221" s="8" t="s">
        <v>34</v>
      </c>
    </row>
    <row r="222">
      <c r="A222" s="4" t="s">
        <v>18</v>
      </c>
      <c r="B222" s="4" t="s">
        <v>716</v>
      </c>
      <c r="C222" s="5">
        <v>45865.0</v>
      </c>
      <c r="D222" s="5">
        <v>45865.0</v>
      </c>
      <c r="E222" s="4" t="s">
        <v>717</v>
      </c>
      <c r="F222" s="9"/>
      <c r="G222" s="6"/>
      <c r="H222" s="11">
        <v>1059.0</v>
      </c>
      <c r="I222" s="11">
        <v>89068.76</v>
      </c>
      <c r="K222" s="1" t="str">
        <f t="shared" si="23"/>
        <v>UN3668</v>
      </c>
      <c r="L222" s="2" t="s">
        <v>718</v>
      </c>
      <c r="M222" s="2" t="s">
        <v>24</v>
      </c>
      <c r="N222" s="2" t="s">
        <v>60</v>
      </c>
      <c r="O222" s="2">
        <v>1.10751038E8</v>
      </c>
      <c r="Q222" s="8">
        <v>2025.0</v>
      </c>
      <c r="R222" s="8" t="s">
        <v>34</v>
      </c>
    </row>
    <row r="223">
      <c r="A223" s="4" t="s">
        <v>18</v>
      </c>
      <c r="B223" s="4" t="s">
        <v>719</v>
      </c>
      <c r="C223" s="5">
        <v>45865.0</v>
      </c>
      <c r="D223" s="5">
        <v>45865.0</v>
      </c>
      <c r="E223" s="4" t="s">
        <v>720</v>
      </c>
      <c r="F223" s="9"/>
      <c r="G223" s="6"/>
      <c r="H223" s="7">
        <v>300.0</v>
      </c>
      <c r="I223" s="11">
        <v>89368.76</v>
      </c>
      <c r="K223" s="1" t="str">
        <f t="shared" si="23"/>
        <v>SL1610</v>
      </c>
      <c r="L223" s="2" t="s">
        <v>721</v>
      </c>
      <c r="M223" s="2" t="s">
        <v>24</v>
      </c>
      <c r="N223" s="2" t="s">
        <v>60</v>
      </c>
      <c r="O223" s="2">
        <v>1.10751038E8</v>
      </c>
      <c r="Q223" s="8">
        <v>2025.0</v>
      </c>
      <c r="R223" s="8" t="s">
        <v>34</v>
      </c>
    </row>
    <row r="224">
      <c r="A224" s="4" t="s">
        <v>18</v>
      </c>
      <c r="B224" s="4" t="s">
        <v>722</v>
      </c>
      <c r="C224" s="5">
        <v>45865.0</v>
      </c>
      <c r="D224" s="5">
        <v>45865.0</v>
      </c>
      <c r="E224" s="4" t="s">
        <v>723</v>
      </c>
      <c r="F224" s="9"/>
      <c r="G224" s="6"/>
      <c r="H224" s="11">
        <v>1923.0</v>
      </c>
      <c r="I224" s="11">
        <v>91291.76</v>
      </c>
      <c r="K224" s="1" t="str">
        <f t="shared" si="23"/>
        <v>SL1610</v>
      </c>
      <c r="L224" s="2" t="s">
        <v>724</v>
      </c>
      <c r="M224" s="2" t="s">
        <v>24</v>
      </c>
      <c r="N224" s="2" t="s">
        <v>60</v>
      </c>
      <c r="O224" s="2">
        <v>1.10751038E8</v>
      </c>
      <c r="Q224" s="8">
        <v>2025.0</v>
      </c>
      <c r="R224" s="8" t="s">
        <v>34</v>
      </c>
    </row>
    <row r="225">
      <c r="A225" s="4" t="s">
        <v>18</v>
      </c>
      <c r="B225" s="4" t="s">
        <v>725</v>
      </c>
      <c r="C225" s="5">
        <v>45865.0</v>
      </c>
      <c r="D225" s="5">
        <v>45865.0</v>
      </c>
      <c r="E225" s="4" t="s">
        <v>726</v>
      </c>
      <c r="F225" s="9"/>
      <c r="G225" s="6"/>
      <c r="H225" s="7">
        <v>468.0</v>
      </c>
      <c r="I225" s="11">
        <v>91759.76</v>
      </c>
      <c r="K225" s="1" t="str">
        <f t="shared" si="23"/>
        <v>UN3668</v>
      </c>
      <c r="L225" s="2" t="s">
        <v>727</v>
      </c>
      <c r="M225" s="2" t="s">
        <v>24</v>
      </c>
      <c r="N225" s="2" t="s">
        <v>60</v>
      </c>
      <c r="O225" s="2">
        <v>1.10751038E8</v>
      </c>
      <c r="Q225" s="8">
        <v>2025.0</v>
      </c>
      <c r="R225" s="8" t="s">
        <v>34</v>
      </c>
    </row>
    <row r="226">
      <c r="A226" s="4" t="s">
        <v>18</v>
      </c>
      <c r="B226" s="4" t="s">
        <v>728</v>
      </c>
      <c r="C226" s="5">
        <v>45866.0</v>
      </c>
      <c r="D226" s="5">
        <v>45866.0</v>
      </c>
      <c r="E226" s="4" t="s">
        <v>729</v>
      </c>
      <c r="F226" s="9"/>
      <c r="G226" s="6"/>
      <c r="H226" s="7">
        <v>10.0</v>
      </c>
      <c r="I226" s="11">
        <v>91769.76</v>
      </c>
      <c r="J226" s="2" t="s">
        <v>730</v>
      </c>
      <c r="K226" s="1" t="s">
        <v>119</v>
      </c>
      <c r="L226" s="2" t="s">
        <v>730</v>
      </c>
      <c r="M226" s="2" t="s">
        <v>24</v>
      </c>
      <c r="N226" s="2" t="s">
        <v>731</v>
      </c>
      <c r="O226" s="2">
        <v>1.10751038E8</v>
      </c>
      <c r="Q226" s="8">
        <v>2025.0</v>
      </c>
      <c r="R226" s="8" t="s">
        <v>34</v>
      </c>
    </row>
    <row r="227">
      <c r="A227" s="4" t="s">
        <v>18</v>
      </c>
      <c r="B227" s="4" t="s">
        <v>732</v>
      </c>
      <c r="C227" s="5">
        <v>45866.0</v>
      </c>
      <c r="D227" s="5">
        <v>45866.0</v>
      </c>
      <c r="E227" s="4" t="s">
        <v>733</v>
      </c>
      <c r="F227" s="9"/>
      <c r="G227" s="6"/>
      <c r="H227" s="7">
        <v>10.0</v>
      </c>
      <c r="I227" s="11">
        <v>91779.76</v>
      </c>
      <c r="J227" s="2" t="s">
        <v>730</v>
      </c>
      <c r="K227" s="1" t="s">
        <v>123</v>
      </c>
      <c r="L227" s="2" t="s">
        <v>730</v>
      </c>
      <c r="M227" s="2" t="s">
        <v>24</v>
      </c>
      <c r="N227" s="2" t="s">
        <v>731</v>
      </c>
      <c r="O227" s="2">
        <v>1.10751038E8</v>
      </c>
      <c r="Q227" s="8">
        <v>2025.0</v>
      </c>
      <c r="R227" s="8" t="s">
        <v>34</v>
      </c>
    </row>
    <row r="228">
      <c r="A228" s="4" t="s">
        <v>18</v>
      </c>
      <c r="B228" s="4" t="s">
        <v>734</v>
      </c>
      <c r="C228" s="5">
        <v>45866.0</v>
      </c>
      <c r="D228" s="5">
        <v>45866.0</v>
      </c>
      <c r="E228" s="4" t="s">
        <v>735</v>
      </c>
      <c r="F228" s="9"/>
      <c r="G228" s="6"/>
      <c r="H228" s="7">
        <v>10.0</v>
      </c>
      <c r="I228" s="11">
        <v>91789.76</v>
      </c>
      <c r="J228" s="2" t="s">
        <v>730</v>
      </c>
      <c r="K228" s="1" t="s">
        <v>113</v>
      </c>
      <c r="L228" s="2" t="s">
        <v>730</v>
      </c>
      <c r="M228" s="2" t="s">
        <v>24</v>
      </c>
      <c r="N228" s="2" t="s">
        <v>731</v>
      </c>
      <c r="O228" s="2">
        <v>1.10751038E8</v>
      </c>
      <c r="Q228" s="8">
        <v>2025.0</v>
      </c>
      <c r="R228" s="8" t="s">
        <v>34</v>
      </c>
    </row>
    <row r="229">
      <c r="A229" s="4" t="s">
        <v>18</v>
      </c>
      <c r="B229" s="4" t="s">
        <v>736</v>
      </c>
      <c r="C229" s="5">
        <v>45866.0</v>
      </c>
      <c r="D229" s="5">
        <v>45866.0</v>
      </c>
      <c r="E229" s="4" t="s">
        <v>737</v>
      </c>
      <c r="F229" s="9"/>
      <c r="G229" s="6"/>
      <c r="H229" s="7">
        <v>10.0</v>
      </c>
      <c r="I229" s="11">
        <v>91799.76</v>
      </c>
      <c r="J229" s="2" t="s">
        <v>730</v>
      </c>
      <c r="K229" s="1" t="s">
        <v>127</v>
      </c>
      <c r="L229" s="2" t="s">
        <v>730</v>
      </c>
      <c r="M229" s="2" t="s">
        <v>24</v>
      </c>
      <c r="N229" s="2" t="s">
        <v>731</v>
      </c>
      <c r="O229" s="2">
        <v>1.10751038E8</v>
      </c>
      <c r="Q229" s="8">
        <v>2025.0</v>
      </c>
      <c r="R229" s="8" t="s">
        <v>34</v>
      </c>
    </row>
    <row r="230">
      <c r="A230" s="4" t="s">
        <v>18</v>
      </c>
      <c r="B230" s="4" t="s">
        <v>738</v>
      </c>
      <c r="C230" s="5">
        <v>45866.0</v>
      </c>
      <c r="D230" s="5">
        <v>45866.0</v>
      </c>
      <c r="E230" s="4" t="s">
        <v>739</v>
      </c>
      <c r="F230" s="9"/>
      <c r="G230" s="6"/>
      <c r="H230" s="7">
        <v>128.0</v>
      </c>
      <c r="I230" s="11">
        <v>91927.76</v>
      </c>
      <c r="K230" s="1" t="str">
        <f t="shared" ref="K230:K238" si="24">RIGHT(E230,6)</f>
        <v>SC3567</v>
      </c>
      <c r="L230" s="2" t="s">
        <v>740</v>
      </c>
      <c r="M230" s="2" t="s">
        <v>24</v>
      </c>
      <c r="N230" s="2" t="s">
        <v>60</v>
      </c>
      <c r="O230" s="2">
        <v>1.10751038E8</v>
      </c>
      <c r="Q230" s="8">
        <v>2025.0</v>
      </c>
      <c r="R230" s="8" t="s">
        <v>34</v>
      </c>
    </row>
    <row r="231">
      <c r="A231" s="4" t="s">
        <v>18</v>
      </c>
      <c r="B231" s="4" t="s">
        <v>741</v>
      </c>
      <c r="C231" s="5">
        <v>45866.0</v>
      </c>
      <c r="D231" s="5">
        <v>45866.0</v>
      </c>
      <c r="E231" s="4" t="s">
        <v>742</v>
      </c>
      <c r="F231" s="9"/>
      <c r="G231" s="6"/>
      <c r="H231" s="11">
        <v>2860.0</v>
      </c>
      <c r="I231" s="11">
        <v>94787.76</v>
      </c>
      <c r="K231" s="1" t="str">
        <f t="shared" si="24"/>
        <v>UN3668</v>
      </c>
      <c r="L231" s="2" t="s">
        <v>743</v>
      </c>
      <c r="M231" s="2" t="s">
        <v>24</v>
      </c>
      <c r="N231" s="2" t="s">
        <v>60</v>
      </c>
      <c r="O231" s="2">
        <v>1.10751038E8</v>
      </c>
      <c r="Q231" s="8">
        <v>2025.0</v>
      </c>
      <c r="R231" s="8" t="s">
        <v>34</v>
      </c>
    </row>
    <row r="232">
      <c r="A232" s="4" t="s">
        <v>18</v>
      </c>
      <c r="B232" s="4" t="s">
        <v>744</v>
      </c>
      <c r="C232" s="5">
        <v>45866.0</v>
      </c>
      <c r="D232" s="5">
        <v>45866.0</v>
      </c>
      <c r="E232" s="4" t="s">
        <v>745</v>
      </c>
      <c r="F232" s="9"/>
      <c r="G232" s="6"/>
      <c r="H232" s="7">
        <v>740.0</v>
      </c>
      <c r="I232" s="11">
        <v>95527.76</v>
      </c>
      <c r="K232" s="1" t="str">
        <f t="shared" si="24"/>
        <v>UN3668</v>
      </c>
      <c r="L232" s="2" t="s">
        <v>746</v>
      </c>
      <c r="M232" s="2" t="s">
        <v>24</v>
      </c>
      <c r="N232" s="2" t="s">
        <v>60</v>
      </c>
      <c r="O232" s="2">
        <v>1.10751038E8</v>
      </c>
      <c r="Q232" s="8">
        <v>2025.0</v>
      </c>
      <c r="R232" s="8" t="s">
        <v>34</v>
      </c>
    </row>
    <row r="233">
      <c r="A233" s="4" t="s">
        <v>18</v>
      </c>
      <c r="B233" s="4" t="s">
        <v>747</v>
      </c>
      <c r="C233" s="5">
        <v>45866.0</v>
      </c>
      <c r="D233" s="5">
        <v>45866.0</v>
      </c>
      <c r="E233" s="4" t="s">
        <v>748</v>
      </c>
      <c r="F233" s="9"/>
      <c r="G233" s="6"/>
      <c r="H233" s="7">
        <v>578.0</v>
      </c>
      <c r="I233" s="11">
        <v>96105.76</v>
      </c>
      <c r="K233" s="1" t="str">
        <f t="shared" si="24"/>
        <v>UN3668</v>
      </c>
      <c r="L233" s="2" t="s">
        <v>749</v>
      </c>
      <c r="M233" s="2" t="s">
        <v>24</v>
      </c>
      <c r="N233" s="2" t="s">
        <v>60</v>
      </c>
      <c r="O233" s="2">
        <v>1.10751038E8</v>
      </c>
      <c r="Q233" s="8">
        <v>2025.0</v>
      </c>
      <c r="R233" s="8" t="s">
        <v>34</v>
      </c>
    </row>
    <row r="234">
      <c r="A234" s="4" t="s">
        <v>18</v>
      </c>
      <c r="B234" s="4" t="s">
        <v>750</v>
      </c>
      <c r="C234" s="5">
        <v>45866.0</v>
      </c>
      <c r="D234" s="5">
        <v>45866.0</v>
      </c>
      <c r="E234" s="4" t="s">
        <v>751</v>
      </c>
      <c r="F234" s="9"/>
      <c r="G234" s="6"/>
      <c r="H234" s="7">
        <v>207.9</v>
      </c>
      <c r="I234" s="11">
        <v>96313.66</v>
      </c>
      <c r="K234" s="1" t="str">
        <f t="shared" si="24"/>
        <v>SC3567</v>
      </c>
      <c r="L234" s="2" t="s">
        <v>752</v>
      </c>
      <c r="M234" s="2" t="s">
        <v>24</v>
      </c>
      <c r="N234" s="2" t="s">
        <v>60</v>
      </c>
      <c r="O234" s="2">
        <v>1.10751038E8</v>
      </c>
      <c r="Q234" s="8">
        <v>2025.0</v>
      </c>
      <c r="R234" s="8" t="s">
        <v>34</v>
      </c>
    </row>
    <row r="235">
      <c r="A235" s="4" t="s">
        <v>18</v>
      </c>
      <c r="B235" s="4" t="s">
        <v>753</v>
      </c>
      <c r="C235" s="5">
        <v>45866.0</v>
      </c>
      <c r="D235" s="5">
        <v>45866.0</v>
      </c>
      <c r="E235" s="4" t="s">
        <v>754</v>
      </c>
      <c r="F235" s="9"/>
      <c r="G235" s="6"/>
      <c r="H235" s="7">
        <v>110.0</v>
      </c>
      <c r="I235" s="11">
        <v>96423.66</v>
      </c>
      <c r="K235" s="1" t="str">
        <f t="shared" si="24"/>
        <v>SL1610</v>
      </c>
      <c r="L235" s="2" t="s">
        <v>755</v>
      </c>
      <c r="M235" s="2" t="s">
        <v>24</v>
      </c>
      <c r="N235" s="2" t="s">
        <v>60</v>
      </c>
      <c r="O235" s="2">
        <v>1.10751038E8</v>
      </c>
      <c r="Q235" s="8">
        <v>2025.0</v>
      </c>
      <c r="R235" s="8" t="s">
        <v>34</v>
      </c>
    </row>
    <row r="236">
      <c r="A236" s="4" t="s">
        <v>18</v>
      </c>
      <c r="B236" s="4" t="s">
        <v>756</v>
      </c>
      <c r="C236" s="5">
        <v>45866.0</v>
      </c>
      <c r="D236" s="5">
        <v>45866.0</v>
      </c>
      <c r="E236" s="4" t="s">
        <v>757</v>
      </c>
      <c r="F236" s="9"/>
      <c r="G236" s="6"/>
      <c r="H236" s="7">
        <v>347.0</v>
      </c>
      <c r="I236" s="11">
        <v>96770.66</v>
      </c>
      <c r="K236" s="1" t="str">
        <f t="shared" si="24"/>
        <v>KN3817</v>
      </c>
      <c r="L236" s="2" t="s">
        <v>758</v>
      </c>
      <c r="M236" s="2" t="s">
        <v>24</v>
      </c>
      <c r="N236" s="2" t="s">
        <v>60</v>
      </c>
      <c r="O236" s="2">
        <v>1.10751038E8</v>
      </c>
      <c r="Q236" s="8">
        <v>2025.0</v>
      </c>
      <c r="R236" s="8" t="s">
        <v>34</v>
      </c>
    </row>
    <row r="237">
      <c r="A237" s="4" t="s">
        <v>18</v>
      </c>
      <c r="B237" s="4" t="s">
        <v>759</v>
      </c>
      <c r="C237" s="5">
        <v>45866.0</v>
      </c>
      <c r="D237" s="5">
        <v>45866.0</v>
      </c>
      <c r="E237" s="4" t="s">
        <v>760</v>
      </c>
      <c r="F237" s="9"/>
      <c r="G237" s="6"/>
      <c r="H237" s="7">
        <v>445.0</v>
      </c>
      <c r="I237" s="11">
        <v>97215.66</v>
      </c>
      <c r="K237" s="1" t="str">
        <f t="shared" si="24"/>
        <v>KN3817</v>
      </c>
      <c r="L237" s="2" t="s">
        <v>761</v>
      </c>
      <c r="M237" s="2" t="s">
        <v>24</v>
      </c>
      <c r="N237" s="2" t="s">
        <v>60</v>
      </c>
      <c r="O237" s="2">
        <v>1.10751038E8</v>
      </c>
      <c r="Q237" s="8">
        <v>2025.0</v>
      </c>
      <c r="R237" s="8" t="s">
        <v>34</v>
      </c>
    </row>
    <row r="238">
      <c r="A238" s="4" t="s">
        <v>18</v>
      </c>
      <c r="B238" s="4" t="s">
        <v>762</v>
      </c>
      <c r="C238" s="5">
        <v>45866.0</v>
      </c>
      <c r="D238" s="5">
        <v>45866.0</v>
      </c>
      <c r="E238" s="4" t="s">
        <v>763</v>
      </c>
      <c r="F238" s="9"/>
      <c r="G238" s="6"/>
      <c r="H238" s="7">
        <v>273.0</v>
      </c>
      <c r="I238" s="11">
        <v>97488.66</v>
      </c>
      <c r="K238" s="1" t="str">
        <f t="shared" si="24"/>
        <v>UN3668</v>
      </c>
      <c r="L238" s="2" t="s">
        <v>764</v>
      </c>
      <c r="M238" s="2" t="s">
        <v>24</v>
      </c>
      <c r="N238" s="2" t="s">
        <v>60</v>
      </c>
      <c r="O238" s="2">
        <v>1.10751038E8</v>
      </c>
      <c r="Q238" s="8">
        <v>2025.0</v>
      </c>
      <c r="R238" s="8" t="s">
        <v>34</v>
      </c>
    </row>
    <row r="239">
      <c r="A239" s="4" t="s">
        <v>18</v>
      </c>
      <c r="B239" s="4" t="s">
        <v>765</v>
      </c>
      <c r="C239" s="5">
        <v>45866.0</v>
      </c>
      <c r="D239" s="5">
        <v>45866.0</v>
      </c>
      <c r="E239" s="4" t="s">
        <v>766</v>
      </c>
      <c r="F239" s="9"/>
      <c r="G239" s="6"/>
      <c r="H239" s="11">
        <v>1845.0</v>
      </c>
      <c r="I239" s="11">
        <v>99333.66</v>
      </c>
      <c r="K239" s="1" t="s">
        <v>539</v>
      </c>
      <c r="M239" s="2" t="s">
        <v>24</v>
      </c>
      <c r="N239" s="2" t="s">
        <v>60</v>
      </c>
      <c r="O239" s="2">
        <v>1.10751038E8</v>
      </c>
      <c r="P239" s="12" t="str">
        <f>IFERROR(__xludf.DUMMYFUNCTION("CONCATENATE(B239,"", "", to_text(D239),"", "", E239,"", "", H239)"),"TSV-07-0236, 28-Jul-2025, UPI/CR/520919251216/GAURAV G/KKBK/gaurav./Dryclea, 1845")</f>
        <v>TSV-07-0236, 28-Jul-2025, UPI/CR/520919251216/GAURAV G/KKBK/gaurav./Dryclea, 1845</v>
      </c>
      <c r="Q239" s="8">
        <v>2025.0</v>
      </c>
      <c r="R239" s="8" t="s">
        <v>34</v>
      </c>
    </row>
    <row r="240">
      <c r="A240" s="4" t="s">
        <v>18</v>
      </c>
      <c r="B240" s="4" t="s">
        <v>767</v>
      </c>
      <c r="C240" s="5">
        <v>45866.0</v>
      </c>
      <c r="D240" s="5">
        <v>45866.0</v>
      </c>
      <c r="E240" s="4" t="s">
        <v>768</v>
      </c>
      <c r="F240" s="9"/>
      <c r="G240" s="6"/>
      <c r="H240" s="7">
        <v>133.0</v>
      </c>
      <c r="I240" s="11">
        <v>99466.66</v>
      </c>
      <c r="K240" s="1" t="str">
        <f t="shared" ref="K240:K249" si="25">RIGHT(E240,6)</f>
        <v>UN3668</v>
      </c>
      <c r="L240" s="2" t="s">
        <v>769</v>
      </c>
      <c r="M240" s="2" t="s">
        <v>24</v>
      </c>
      <c r="N240" s="2" t="s">
        <v>60</v>
      </c>
      <c r="O240" s="2">
        <v>1.10751038E8</v>
      </c>
      <c r="Q240" s="8">
        <v>2025.0</v>
      </c>
      <c r="R240" s="8" t="s">
        <v>34</v>
      </c>
    </row>
    <row r="241">
      <c r="A241" s="4" t="s">
        <v>18</v>
      </c>
      <c r="B241" s="4" t="s">
        <v>770</v>
      </c>
      <c r="C241" s="5">
        <v>45866.0</v>
      </c>
      <c r="D241" s="5">
        <v>45866.0</v>
      </c>
      <c r="E241" s="4" t="s">
        <v>771</v>
      </c>
      <c r="F241" s="9"/>
      <c r="G241" s="6"/>
      <c r="H241" s="7">
        <v>416.0</v>
      </c>
      <c r="I241" s="11">
        <v>99882.66</v>
      </c>
      <c r="K241" s="1" t="str">
        <f t="shared" si="25"/>
        <v>UN3668</v>
      </c>
      <c r="L241" s="2" t="s">
        <v>772</v>
      </c>
      <c r="M241" s="2" t="s">
        <v>24</v>
      </c>
      <c r="N241" s="2" t="s">
        <v>60</v>
      </c>
      <c r="O241" s="2">
        <v>1.10751038E8</v>
      </c>
      <c r="Q241" s="8">
        <v>2025.0</v>
      </c>
      <c r="R241" s="8" t="s">
        <v>34</v>
      </c>
    </row>
    <row r="242">
      <c r="A242" s="4" t="s">
        <v>18</v>
      </c>
      <c r="B242" s="4" t="s">
        <v>773</v>
      </c>
      <c r="C242" s="5">
        <v>45867.0</v>
      </c>
      <c r="D242" s="5">
        <v>45867.0</v>
      </c>
      <c r="E242" s="4" t="s">
        <v>774</v>
      </c>
      <c r="F242" s="9"/>
      <c r="G242" s="6"/>
      <c r="H242" s="11">
        <v>1540.0</v>
      </c>
      <c r="I242" s="7" t="s">
        <v>775</v>
      </c>
      <c r="K242" s="1" t="str">
        <f t="shared" si="25"/>
        <v>UN3668</v>
      </c>
      <c r="L242" s="2" t="s">
        <v>776</v>
      </c>
      <c r="M242" s="2" t="s">
        <v>24</v>
      </c>
      <c r="N242" s="2" t="s">
        <v>60</v>
      </c>
      <c r="O242" s="2">
        <v>1.10751038E8</v>
      </c>
      <c r="Q242" s="8">
        <v>2025.0</v>
      </c>
      <c r="R242" s="8" t="s">
        <v>34</v>
      </c>
    </row>
    <row r="243">
      <c r="A243" s="4" t="s">
        <v>18</v>
      </c>
      <c r="B243" s="4" t="s">
        <v>777</v>
      </c>
      <c r="C243" s="5">
        <v>45867.0</v>
      </c>
      <c r="D243" s="5">
        <v>45867.0</v>
      </c>
      <c r="E243" s="4" t="s">
        <v>778</v>
      </c>
      <c r="F243" s="9"/>
      <c r="G243" s="6"/>
      <c r="H243" s="7">
        <v>450.0</v>
      </c>
      <c r="I243" s="7" t="s">
        <v>779</v>
      </c>
      <c r="K243" s="1" t="str">
        <f t="shared" si="25"/>
        <v>UN3668</v>
      </c>
      <c r="L243" s="2" t="s">
        <v>780</v>
      </c>
      <c r="M243" s="2" t="s">
        <v>24</v>
      </c>
      <c r="N243" s="2" t="s">
        <v>60</v>
      </c>
      <c r="O243" s="2">
        <v>1.10751038E8</v>
      </c>
      <c r="Q243" s="8">
        <v>2025.0</v>
      </c>
      <c r="R243" s="8" t="s">
        <v>34</v>
      </c>
    </row>
    <row r="244">
      <c r="A244" s="4" t="s">
        <v>18</v>
      </c>
      <c r="B244" s="4" t="s">
        <v>781</v>
      </c>
      <c r="C244" s="5">
        <v>45867.0</v>
      </c>
      <c r="D244" s="5">
        <v>45867.0</v>
      </c>
      <c r="E244" s="4" t="s">
        <v>782</v>
      </c>
      <c r="F244" s="9"/>
      <c r="G244" s="6"/>
      <c r="H244" s="7">
        <v>208.0</v>
      </c>
      <c r="I244" s="7" t="s">
        <v>783</v>
      </c>
      <c r="K244" s="1" t="str">
        <f t="shared" si="25"/>
        <v>UN3668</v>
      </c>
      <c r="L244" s="2" t="s">
        <v>784</v>
      </c>
      <c r="M244" s="2" t="s">
        <v>24</v>
      </c>
      <c r="N244" s="2" t="s">
        <v>60</v>
      </c>
      <c r="O244" s="2">
        <v>1.10751038E8</v>
      </c>
      <c r="Q244" s="8">
        <v>2025.0</v>
      </c>
      <c r="R244" s="8" t="s">
        <v>34</v>
      </c>
    </row>
    <row r="245">
      <c r="A245" s="4" t="s">
        <v>18</v>
      </c>
      <c r="B245" s="4" t="s">
        <v>785</v>
      </c>
      <c r="C245" s="5">
        <v>45867.0</v>
      </c>
      <c r="D245" s="5">
        <v>45867.0</v>
      </c>
      <c r="E245" s="4" t="s">
        <v>786</v>
      </c>
      <c r="F245" s="9"/>
      <c r="G245" s="6"/>
      <c r="H245" s="7">
        <v>620.0</v>
      </c>
      <c r="I245" s="7" t="s">
        <v>787</v>
      </c>
      <c r="K245" s="1" t="str">
        <f t="shared" si="25"/>
        <v>UN3668</v>
      </c>
      <c r="L245" s="2" t="s">
        <v>788</v>
      </c>
      <c r="M245" s="2" t="s">
        <v>24</v>
      </c>
      <c r="N245" s="2" t="s">
        <v>60</v>
      </c>
      <c r="O245" s="2">
        <v>1.10751038E8</v>
      </c>
      <c r="Q245" s="8">
        <v>2025.0</v>
      </c>
      <c r="R245" s="8" t="s">
        <v>34</v>
      </c>
    </row>
    <row r="246">
      <c r="A246" s="4" t="s">
        <v>18</v>
      </c>
      <c r="B246" s="4" t="s">
        <v>789</v>
      </c>
      <c r="C246" s="5">
        <v>45867.0</v>
      </c>
      <c r="D246" s="5">
        <v>45867.0</v>
      </c>
      <c r="E246" s="4" t="s">
        <v>790</v>
      </c>
      <c r="F246" s="9"/>
      <c r="G246" s="6"/>
      <c r="H246" s="7">
        <v>950.0</v>
      </c>
      <c r="I246" s="7" t="s">
        <v>791</v>
      </c>
      <c r="K246" s="1" t="str">
        <f t="shared" si="25"/>
        <v>SL1610</v>
      </c>
      <c r="L246" s="2" t="s">
        <v>792</v>
      </c>
      <c r="M246" s="2" t="s">
        <v>24</v>
      </c>
      <c r="N246" s="2" t="s">
        <v>60</v>
      </c>
      <c r="O246" s="2">
        <v>1.10751038E8</v>
      </c>
      <c r="Q246" s="8">
        <v>2025.0</v>
      </c>
      <c r="R246" s="8" t="s">
        <v>34</v>
      </c>
    </row>
    <row r="247">
      <c r="A247" s="4" t="s">
        <v>18</v>
      </c>
      <c r="B247" s="4" t="s">
        <v>793</v>
      </c>
      <c r="C247" s="5">
        <v>45867.0</v>
      </c>
      <c r="D247" s="5">
        <v>45867.0</v>
      </c>
      <c r="E247" s="4" t="s">
        <v>794</v>
      </c>
      <c r="F247" s="9"/>
      <c r="G247" s="6"/>
      <c r="H247" s="11">
        <v>2439.0</v>
      </c>
      <c r="I247" s="7" t="s">
        <v>795</v>
      </c>
      <c r="K247" s="1" t="str">
        <f t="shared" si="25"/>
        <v>SC3567</v>
      </c>
      <c r="L247" s="2" t="s">
        <v>796</v>
      </c>
      <c r="M247" s="2" t="s">
        <v>24</v>
      </c>
      <c r="N247" s="2" t="s">
        <v>60</v>
      </c>
      <c r="O247" s="2">
        <v>1.10751038E8</v>
      </c>
      <c r="Q247" s="8">
        <v>2025.0</v>
      </c>
      <c r="R247" s="8" t="s">
        <v>34</v>
      </c>
    </row>
    <row r="248">
      <c r="A248" s="4" t="s">
        <v>18</v>
      </c>
      <c r="B248" s="4" t="s">
        <v>797</v>
      </c>
      <c r="C248" s="5">
        <v>45867.0</v>
      </c>
      <c r="D248" s="5">
        <v>45867.0</v>
      </c>
      <c r="E248" s="4" t="s">
        <v>798</v>
      </c>
      <c r="F248" s="9"/>
      <c r="G248" s="6"/>
      <c r="H248" s="7">
        <v>535.0</v>
      </c>
      <c r="I248" s="7" t="s">
        <v>799</v>
      </c>
      <c r="K248" s="1" t="str">
        <f t="shared" si="25"/>
        <v>SL1610</v>
      </c>
      <c r="L248" s="2" t="s">
        <v>800</v>
      </c>
      <c r="M248" s="2" t="s">
        <v>24</v>
      </c>
      <c r="N248" s="2" t="s">
        <v>60</v>
      </c>
      <c r="O248" s="2">
        <v>1.10751038E8</v>
      </c>
      <c r="Q248" s="8">
        <v>2025.0</v>
      </c>
      <c r="R248" s="8" t="s">
        <v>34</v>
      </c>
    </row>
    <row r="249">
      <c r="A249" s="4" t="s">
        <v>18</v>
      </c>
      <c r="B249" s="4" t="s">
        <v>801</v>
      </c>
      <c r="C249" s="5">
        <v>45867.0</v>
      </c>
      <c r="D249" s="5">
        <v>45867.0</v>
      </c>
      <c r="E249" s="4" t="s">
        <v>802</v>
      </c>
      <c r="F249" s="9"/>
      <c r="G249" s="6"/>
      <c r="H249" s="7">
        <v>405.0</v>
      </c>
      <c r="I249" s="7" t="s">
        <v>803</v>
      </c>
      <c r="K249" s="1" t="str">
        <f t="shared" si="25"/>
        <v>SL1610</v>
      </c>
      <c r="L249" s="2" t="s">
        <v>804</v>
      </c>
      <c r="M249" s="2" t="s">
        <v>24</v>
      </c>
      <c r="N249" s="2" t="s">
        <v>60</v>
      </c>
      <c r="O249" s="2">
        <v>1.10751038E8</v>
      </c>
      <c r="Q249" s="8">
        <v>2025.0</v>
      </c>
      <c r="R249" s="8" t="s">
        <v>34</v>
      </c>
    </row>
    <row r="250">
      <c r="A250" s="4" t="s">
        <v>18</v>
      </c>
      <c r="B250" s="4" t="s">
        <v>805</v>
      </c>
      <c r="C250" s="5">
        <v>45867.0</v>
      </c>
      <c r="D250" s="5">
        <v>45867.0</v>
      </c>
      <c r="E250" s="4" t="s">
        <v>806</v>
      </c>
      <c r="F250" s="9"/>
      <c r="G250" s="6"/>
      <c r="H250" s="11">
        <v>2000.0</v>
      </c>
      <c r="I250" s="7" t="s">
        <v>807</v>
      </c>
      <c r="K250" s="1" t="s">
        <v>539</v>
      </c>
      <c r="M250" s="2" t="s">
        <v>24</v>
      </c>
      <c r="N250" s="2" t="s">
        <v>60</v>
      </c>
      <c r="O250" s="2">
        <v>1.10751038E8</v>
      </c>
      <c r="P250" s="12" t="str">
        <f>IFERROR(__xludf.DUMMYFUNCTION("CONCATENATE(B250,"", "", to_text(D250),"", "", E250,"", "", H250)"),"TSV-07-0247, 29-Jul-2025, UPI/CR/378530842105/MANISH G/KKBK/manish./UPI, 2000")</f>
        <v>TSV-07-0247, 29-Jul-2025, UPI/CR/378530842105/MANISH G/KKBK/manish./UPI, 2000</v>
      </c>
      <c r="Q250" s="8">
        <v>2025.0</v>
      </c>
      <c r="R250" s="8" t="s">
        <v>34</v>
      </c>
    </row>
    <row r="251">
      <c r="A251" s="4" t="s">
        <v>18</v>
      </c>
      <c r="B251" s="4" t="s">
        <v>808</v>
      </c>
      <c r="C251" s="5">
        <v>45867.0</v>
      </c>
      <c r="D251" s="5">
        <v>45867.0</v>
      </c>
      <c r="E251" s="4" t="s">
        <v>809</v>
      </c>
      <c r="F251" s="9"/>
      <c r="G251" s="6"/>
      <c r="H251" s="7">
        <v>158.0</v>
      </c>
      <c r="I251" s="7" t="s">
        <v>810</v>
      </c>
      <c r="K251" s="1" t="str">
        <f t="shared" ref="K251:K264" si="26">RIGHT(E251,6)</f>
        <v>UN3668</v>
      </c>
      <c r="L251" s="2" t="s">
        <v>811</v>
      </c>
      <c r="M251" s="2" t="s">
        <v>24</v>
      </c>
      <c r="N251" s="2" t="s">
        <v>60</v>
      </c>
      <c r="O251" s="2">
        <v>1.10751038E8</v>
      </c>
      <c r="Q251" s="8">
        <v>2025.0</v>
      </c>
      <c r="R251" s="8" t="s">
        <v>34</v>
      </c>
    </row>
    <row r="252">
      <c r="A252" s="4" t="s">
        <v>18</v>
      </c>
      <c r="B252" s="4" t="s">
        <v>812</v>
      </c>
      <c r="C252" s="5">
        <v>45867.0</v>
      </c>
      <c r="D252" s="5">
        <v>45867.0</v>
      </c>
      <c r="E252" s="4" t="s">
        <v>813</v>
      </c>
      <c r="F252" s="9"/>
      <c r="G252" s="6"/>
      <c r="H252" s="7">
        <v>572.0</v>
      </c>
      <c r="I252" s="7" t="s">
        <v>814</v>
      </c>
      <c r="K252" s="1" t="str">
        <f t="shared" si="26"/>
        <v>UN3668</v>
      </c>
      <c r="L252" s="2" t="s">
        <v>815</v>
      </c>
      <c r="M252" s="2" t="s">
        <v>24</v>
      </c>
      <c r="N252" s="2" t="s">
        <v>60</v>
      </c>
      <c r="O252" s="2">
        <v>1.10751038E8</v>
      </c>
      <c r="Q252" s="8">
        <v>2025.0</v>
      </c>
      <c r="R252" s="8" t="s">
        <v>34</v>
      </c>
    </row>
    <row r="253">
      <c r="A253" s="4" t="s">
        <v>18</v>
      </c>
      <c r="B253" s="4" t="s">
        <v>816</v>
      </c>
      <c r="C253" s="5">
        <v>45868.0</v>
      </c>
      <c r="D253" s="5">
        <v>45868.0</v>
      </c>
      <c r="E253" s="4" t="s">
        <v>817</v>
      </c>
      <c r="F253" s="9"/>
      <c r="G253" s="6"/>
      <c r="H253" s="7">
        <v>600.0</v>
      </c>
      <c r="I253" s="7" t="s">
        <v>818</v>
      </c>
      <c r="K253" s="1" t="str">
        <f t="shared" si="26"/>
        <v>UN3668</v>
      </c>
      <c r="L253" s="2" t="s">
        <v>819</v>
      </c>
      <c r="M253" s="2" t="s">
        <v>24</v>
      </c>
      <c r="N253" s="2" t="s">
        <v>60</v>
      </c>
      <c r="O253" s="2">
        <v>1.10751038E8</v>
      </c>
      <c r="Q253" s="8">
        <v>2025.0</v>
      </c>
      <c r="R253" s="8" t="s">
        <v>34</v>
      </c>
    </row>
    <row r="254">
      <c r="A254" s="4" t="s">
        <v>18</v>
      </c>
      <c r="B254" s="4" t="s">
        <v>820</v>
      </c>
      <c r="C254" s="5">
        <v>45868.0</v>
      </c>
      <c r="D254" s="5">
        <v>45868.0</v>
      </c>
      <c r="E254" s="4" t="s">
        <v>821</v>
      </c>
      <c r="F254" s="9"/>
      <c r="G254" s="6"/>
      <c r="H254" s="7">
        <v>752.0</v>
      </c>
      <c r="I254" s="7" t="s">
        <v>822</v>
      </c>
      <c r="K254" s="1" t="str">
        <f t="shared" si="26"/>
        <v>UN3668</v>
      </c>
      <c r="L254" s="2" t="s">
        <v>823</v>
      </c>
      <c r="M254" s="2" t="s">
        <v>24</v>
      </c>
      <c r="N254" s="2" t="s">
        <v>60</v>
      </c>
      <c r="O254" s="2">
        <v>1.10751038E8</v>
      </c>
      <c r="Q254" s="8">
        <v>2025.0</v>
      </c>
      <c r="R254" s="8" t="s">
        <v>34</v>
      </c>
    </row>
    <row r="255">
      <c r="A255" s="4" t="s">
        <v>18</v>
      </c>
      <c r="B255" s="4" t="s">
        <v>824</v>
      </c>
      <c r="C255" s="5">
        <v>45868.0</v>
      </c>
      <c r="D255" s="5">
        <v>45868.0</v>
      </c>
      <c r="E255" s="4" t="s">
        <v>825</v>
      </c>
      <c r="F255" s="9"/>
      <c r="G255" s="6"/>
      <c r="H255" s="7">
        <v>237.0</v>
      </c>
      <c r="I255" s="7" t="s">
        <v>826</v>
      </c>
      <c r="K255" s="1" t="str">
        <f t="shared" si="26"/>
        <v>SL1610</v>
      </c>
      <c r="L255" s="2" t="s">
        <v>827</v>
      </c>
      <c r="M255" s="2" t="s">
        <v>24</v>
      </c>
      <c r="N255" s="2" t="s">
        <v>60</v>
      </c>
      <c r="O255" s="2">
        <v>1.10751038E8</v>
      </c>
      <c r="Q255" s="8">
        <v>2025.0</v>
      </c>
      <c r="R255" s="8" t="s">
        <v>34</v>
      </c>
    </row>
    <row r="256">
      <c r="A256" s="4" t="s">
        <v>18</v>
      </c>
      <c r="B256" s="4" t="s">
        <v>828</v>
      </c>
      <c r="C256" s="5">
        <v>45868.0</v>
      </c>
      <c r="D256" s="5">
        <v>45868.0</v>
      </c>
      <c r="E256" s="4" t="s">
        <v>829</v>
      </c>
      <c r="F256" s="9"/>
      <c r="G256" s="6"/>
      <c r="H256" s="7">
        <v>445.0</v>
      </c>
      <c r="I256" s="7" t="s">
        <v>830</v>
      </c>
      <c r="K256" s="1" t="str">
        <f t="shared" si="26"/>
        <v>UN3668</v>
      </c>
      <c r="L256" s="2" t="s">
        <v>831</v>
      </c>
      <c r="M256" s="2" t="s">
        <v>24</v>
      </c>
      <c r="N256" s="2" t="s">
        <v>60</v>
      </c>
      <c r="O256" s="2">
        <v>1.10751038E8</v>
      </c>
      <c r="Q256" s="8">
        <v>2025.0</v>
      </c>
      <c r="R256" s="8" t="s">
        <v>34</v>
      </c>
    </row>
    <row r="257">
      <c r="A257" s="4" t="s">
        <v>18</v>
      </c>
      <c r="B257" s="4" t="s">
        <v>832</v>
      </c>
      <c r="C257" s="5">
        <v>45868.0</v>
      </c>
      <c r="D257" s="5">
        <v>45868.0</v>
      </c>
      <c r="E257" s="4" t="s">
        <v>833</v>
      </c>
      <c r="F257" s="9"/>
      <c r="G257" s="6"/>
      <c r="H257" s="7">
        <v>290.0</v>
      </c>
      <c r="I257" s="7" t="s">
        <v>834</v>
      </c>
      <c r="K257" s="1" t="str">
        <f t="shared" si="26"/>
        <v>UN3668</v>
      </c>
      <c r="L257" s="2" t="s">
        <v>835</v>
      </c>
      <c r="M257" s="2" t="s">
        <v>24</v>
      </c>
      <c r="N257" s="2" t="s">
        <v>60</v>
      </c>
      <c r="O257" s="2">
        <v>1.10751038E8</v>
      </c>
      <c r="Q257" s="8">
        <v>2025.0</v>
      </c>
      <c r="R257" s="8" t="s">
        <v>34</v>
      </c>
    </row>
    <row r="258">
      <c r="A258" s="4" t="s">
        <v>18</v>
      </c>
      <c r="B258" s="4" t="s">
        <v>836</v>
      </c>
      <c r="C258" s="5">
        <v>45868.0</v>
      </c>
      <c r="D258" s="5">
        <v>45868.0</v>
      </c>
      <c r="E258" s="4" t="s">
        <v>837</v>
      </c>
      <c r="F258" s="9"/>
      <c r="G258" s="6"/>
      <c r="H258" s="7">
        <v>420.0</v>
      </c>
      <c r="I258" s="7" t="s">
        <v>838</v>
      </c>
      <c r="K258" s="1" t="str">
        <f t="shared" si="26"/>
        <v>UN3668</v>
      </c>
      <c r="L258" s="2" t="s">
        <v>839</v>
      </c>
      <c r="M258" s="2" t="s">
        <v>24</v>
      </c>
      <c r="N258" s="2" t="s">
        <v>60</v>
      </c>
      <c r="O258" s="2">
        <v>1.10751038E8</v>
      </c>
      <c r="Q258" s="8">
        <v>2025.0</v>
      </c>
      <c r="R258" s="8" t="s">
        <v>34</v>
      </c>
    </row>
    <row r="259">
      <c r="A259" s="4" t="s">
        <v>18</v>
      </c>
      <c r="B259" s="4" t="s">
        <v>840</v>
      </c>
      <c r="C259" s="5">
        <v>45868.0</v>
      </c>
      <c r="D259" s="5">
        <v>45868.0</v>
      </c>
      <c r="E259" s="4" t="s">
        <v>841</v>
      </c>
      <c r="F259" s="9"/>
      <c r="G259" s="6"/>
      <c r="H259" s="7">
        <v>699.0</v>
      </c>
      <c r="I259" s="7" t="s">
        <v>842</v>
      </c>
      <c r="K259" s="1" t="str">
        <f t="shared" si="26"/>
        <v>SL1610</v>
      </c>
      <c r="L259" s="2" t="s">
        <v>843</v>
      </c>
      <c r="M259" s="2" t="s">
        <v>24</v>
      </c>
      <c r="N259" s="2" t="s">
        <v>60</v>
      </c>
      <c r="O259" s="2">
        <v>1.10751038E8</v>
      </c>
      <c r="Q259" s="8">
        <v>2025.0</v>
      </c>
      <c r="R259" s="8" t="s">
        <v>34</v>
      </c>
    </row>
    <row r="260">
      <c r="A260" s="4" t="s">
        <v>18</v>
      </c>
      <c r="B260" s="4" t="s">
        <v>844</v>
      </c>
      <c r="C260" s="5">
        <v>45868.0</v>
      </c>
      <c r="D260" s="5">
        <v>45868.0</v>
      </c>
      <c r="E260" s="4" t="s">
        <v>845</v>
      </c>
      <c r="F260" s="9"/>
      <c r="G260" s="6"/>
      <c r="H260" s="7">
        <v>148.05</v>
      </c>
      <c r="I260" s="7" t="s">
        <v>846</v>
      </c>
      <c r="K260" s="1" t="str">
        <f t="shared" si="26"/>
        <v>SC3567</v>
      </c>
      <c r="L260" s="2" t="s">
        <v>847</v>
      </c>
      <c r="M260" s="2" t="s">
        <v>24</v>
      </c>
      <c r="N260" s="2" t="s">
        <v>60</v>
      </c>
      <c r="O260" s="2">
        <v>1.10751038E8</v>
      </c>
      <c r="Q260" s="8">
        <v>2025.0</v>
      </c>
      <c r="R260" s="8" t="s">
        <v>34</v>
      </c>
    </row>
    <row r="261">
      <c r="A261" s="4" t="s">
        <v>18</v>
      </c>
      <c r="B261" s="4" t="s">
        <v>848</v>
      </c>
      <c r="C261" s="5">
        <v>45869.0</v>
      </c>
      <c r="D261" s="5">
        <v>45869.0</v>
      </c>
      <c r="E261" s="4" t="s">
        <v>849</v>
      </c>
      <c r="F261" s="9"/>
      <c r="G261" s="6"/>
      <c r="H261" s="7">
        <v>455.0</v>
      </c>
      <c r="I261" s="7" t="s">
        <v>850</v>
      </c>
      <c r="K261" s="1" t="str">
        <f t="shared" si="26"/>
        <v>KN3817</v>
      </c>
      <c r="L261" s="2" t="s">
        <v>493</v>
      </c>
      <c r="M261" s="2" t="s">
        <v>24</v>
      </c>
      <c r="N261" s="2" t="s">
        <v>60</v>
      </c>
      <c r="O261" s="2">
        <v>1.10751038E8</v>
      </c>
      <c r="Q261" s="8">
        <v>2025.0</v>
      </c>
      <c r="R261" s="8" t="s">
        <v>34</v>
      </c>
    </row>
    <row r="262">
      <c r="A262" s="4" t="s">
        <v>18</v>
      </c>
      <c r="B262" s="4" t="s">
        <v>851</v>
      </c>
      <c r="C262" s="5">
        <v>45869.0</v>
      </c>
      <c r="D262" s="5">
        <v>45869.0</v>
      </c>
      <c r="E262" s="4" t="s">
        <v>852</v>
      </c>
      <c r="F262" s="9"/>
      <c r="G262" s="6"/>
      <c r="H262" s="7">
        <v>224.0</v>
      </c>
      <c r="I262" s="7" t="s">
        <v>853</v>
      </c>
      <c r="K262" s="1" t="str">
        <f t="shared" si="26"/>
        <v>KN3817</v>
      </c>
      <c r="L262" s="2" t="s">
        <v>854</v>
      </c>
      <c r="M262" s="2" t="s">
        <v>24</v>
      </c>
      <c r="N262" s="2" t="s">
        <v>60</v>
      </c>
      <c r="O262" s="2">
        <v>1.10751038E8</v>
      </c>
      <c r="Q262" s="8">
        <v>2025.0</v>
      </c>
      <c r="R262" s="8" t="s">
        <v>34</v>
      </c>
    </row>
    <row r="263">
      <c r="A263" s="4" t="s">
        <v>18</v>
      </c>
      <c r="B263" s="4" t="s">
        <v>855</v>
      </c>
      <c r="C263" s="5">
        <v>45869.0</v>
      </c>
      <c r="D263" s="5">
        <v>45869.0</v>
      </c>
      <c r="E263" s="4" t="s">
        <v>856</v>
      </c>
      <c r="F263" s="9"/>
      <c r="G263" s="6"/>
      <c r="H263" s="7">
        <v>900.0</v>
      </c>
      <c r="I263" s="7" t="s">
        <v>857</v>
      </c>
      <c r="K263" s="1" t="str">
        <f t="shared" si="26"/>
        <v>UN3668</v>
      </c>
      <c r="L263" s="2" t="s">
        <v>858</v>
      </c>
      <c r="M263" s="2" t="s">
        <v>24</v>
      </c>
      <c r="N263" s="2" t="s">
        <v>60</v>
      </c>
      <c r="O263" s="2">
        <v>1.10751038E8</v>
      </c>
      <c r="Q263" s="8">
        <v>2025.0</v>
      </c>
      <c r="R263" s="8" t="s">
        <v>34</v>
      </c>
    </row>
    <row r="264">
      <c r="A264" s="4" t="s">
        <v>18</v>
      </c>
      <c r="B264" s="4" t="s">
        <v>859</v>
      </c>
      <c r="C264" s="5">
        <v>45869.0</v>
      </c>
      <c r="D264" s="5">
        <v>45869.0</v>
      </c>
      <c r="E264" s="4" t="s">
        <v>860</v>
      </c>
      <c r="F264" s="9"/>
      <c r="G264" s="6"/>
      <c r="H264" s="7">
        <v>252.0</v>
      </c>
      <c r="I264" s="7" t="s">
        <v>861</v>
      </c>
      <c r="K264" s="1" t="str">
        <f t="shared" si="26"/>
        <v>KN3817</v>
      </c>
      <c r="L264" s="2" t="s">
        <v>862</v>
      </c>
      <c r="M264" s="2" t="s">
        <v>24</v>
      </c>
      <c r="N264" s="2" t="s">
        <v>60</v>
      </c>
      <c r="O264" s="2">
        <v>1.10751038E8</v>
      </c>
      <c r="Q264" s="8">
        <v>2025.0</v>
      </c>
      <c r="R264" s="8" t="s">
        <v>34</v>
      </c>
    </row>
    <row r="265">
      <c r="A265" s="4" t="s">
        <v>18</v>
      </c>
      <c r="B265" s="4" t="s">
        <v>863</v>
      </c>
      <c r="C265" s="5">
        <v>45869.0</v>
      </c>
      <c r="D265" s="5">
        <v>45869.0</v>
      </c>
      <c r="E265" s="4" t="s">
        <v>864</v>
      </c>
      <c r="F265" s="9"/>
      <c r="G265" s="6"/>
      <c r="H265" s="7" t="s">
        <v>865</v>
      </c>
      <c r="I265" s="7" t="s">
        <v>866</v>
      </c>
      <c r="J265" s="2" t="s">
        <v>867</v>
      </c>
      <c r="K265" s="1" t="s">
        <v>23</v>
      </c>
      <c r="M265" s="2" t="s">
        <v>24</v>
      </c>
      <c r="N265" s="2" t="s">
        <v>25</v>
      </c>
      <c r="O265" s="2">
        <v>1.10751038E8</v>
      </c>
      <c r="Q265" s="8">
        <v>2025.0</v>
      </c>
      <c r="R265" s="8" t="s">
        <v>34</v>
      </c>
    </row>
    <row r="266">
      <c r="A266" s="4" t="s">
        <v>18</v>
      </c>
      <c r="B266" s="4" t="s">
        <v>868</v>
      </c>
      <c r="C266" s="5">
        <v>45869.0</v>
      </c>
      <c r="D266" s="5">
        <v>45869.0</v>
      </c>
      <c r="E266" s="4" t="s">
        <v>869</v>
      </c>
      <c r="F266" s="9"/>
      <c r="G266" s="6"/>
      <c r="H266" s="7">
        <v>792.0</v>
      </c>
      <c r="I266" s="7" t="s">
        <v>870</v>
      </c>
      <c r="K266" s="1" t="str">
        <f t="shared" ref="K266:K268" si="27">RIGHT(E266,6)</f>
        <v>UN3668</v>
      </c>
      <c r="L266" s="2" t="s">
        <v>871</v>
      </c>
      <c r="M266" s="2" t="s">
        <v>24</v>
      </c>
      <c r="N266" s="2" t="s">
        <v>60</v>
      </c>
      <c r="O266" s="2">
        <v>1.10751038E8</v>
      </c>
      <c r="Q266" s="8">
        <v>2025.0</v>
      </c>
      <c r="R266" s="8" t="s">
        <v>34</v>
      </c>
    </row>
    <row r="267">
      <c r="A267" s="4" t="s">
        <v>18</v>
      </c>
      <c r="B267" s="4" t="s">
        <v>872</v>
      </c>
      <c r="C267" s="5">
        <v>45869.0</v>
      </c>
      <c r="D267" s="5">
        <v>45869.0</v>
      </c>
      <c r="E267" s="4" t="s">
        <v>873</v>
      </c>
      <c r="F267" s="9"/>
      <c r="G267" s="6"/>
      <c r="H267" s="7">
        <v>960.0</v>
      </c>
      <c r="I267" s="7" t="s">
        <v>874</v>
      </c>
      <c r="K267" s="1" t="str">
        <f t="shared" si="27"/>
        <v>SC3567</v>
      </c>
      <c r="L267" s="2" t="s">
        <v>875</v>
      </c>
      <c r="M267" s="2" t="s">
        <v>24</v>
      </c>
      <c r="N267" s="2" t="s">
        <v>60</v>
      </c>
      <c r="O267" s="2">
        <v>1.10751038E8</v>
      </c>
      <c r="Q267" s="8">
        <v>2025.0</v>
      </c>
      <c r="R267" s="8" t="s">
        <v>34</v>
      </c>
    </row>
    <row r="268">
      <c r="A268" s="4" t="s">
        <v>18</v>
      </c>
      <c r="B268" s="4" t="s">
        <v>876</v>
      </c>
      <c r="C268" s="5">
        <v>45869.0</v>
      </c>
      <c r="D268" s="5">
        <v>45869.0</v>
      </c>
      <c r="E268" s="4" t="s">
        <v>877</v>
      </c>
      <c r="F268" s="9"/>
      <c r="G268" s="6"/>
      <c r="H268" s="7">
        <v>400.0</v>
      </c>
      <c r="I268" s="7" t="s">
        <v>878</v>
      </c>
      <c r="K268" s="1" t="str">
        <f t="shared" si="27"/>
        <v>SL1610</v>
      </c>
      <c r="L268" s="2" t="s">
        <v>879</v>
      </c>
      <c r="M268" s="2" t="s">
        <v>24</v>
      </c>
      <c r="N268" s="2" t="s">
        <v>60</v>
      </c>
      <c r="O268" s="2">
        <v>1.10751038E8</v>
      </c>
      <c r="Q268" s="8">
        <v>2025.0</v>
      </c>
      <c r="R268" s="8" t="s">
        <v>34</v>
      </c>
    </row>
    <row r="269">
      <c r="A269" s="4" t="s">
        <v>18</v>
      </c>
      <c r="B269" s="4" t="s">
        <v>880</v>
      </c>
      <c r="C269" s="5">
        <v>45869.0</v>
      </c>
      <c r="D269" s="5">
        <v>45869.0</v>
      </c>
      <c r="E269" s="4" t="s">
        <v>881</v>
      </c>
      <c r="F269" s="9"/>
      <c r="G269" s="11">
        <v>2090.92</v>
      </c>
      <c r="H269" s="6"/>
      <c r="I269" s="7" t="s">
        <v>882</v>
      </c>
      <c r="J269" s="2" t="s">
        <v>275</v>
      </c>
      <c r="K269" s="2" t="s">
        <v>119</v>
      </c>
      <c r="M269" s="2" t="s">
        <v>114</v>
      </c>
      <c r="N269" s="2" t="s">
        <v>275</v>
      </c>
      <c r="O269" s="2">
        <v>1.10751038E8</v>
      </c>
      <c r="Q269" s="8">
        <v>2025.0</v>
      </c>
      <c r="R269" s="8" t="s">
        <v>34</v>
      </c>
    </row>
    <row r="270">
      <c r="A270" s="4" t="s">
        <v>18</v>
      </c>
      <c r="B270" s="4" t="s">
        <v>883</v>
      </c>
      <c r="C270" s="5">
        <v>45869.0</v>
      </c>
      <c r="D270" s="5">
        <v>45869.0</v>
      </c>
      <c r="E270" s="4" t="s">
        <v>884</v>
      </c>
      <c r="F270" s="9"/>
      <c r="G270" s="7">
        <v>308.86</v>
      </c>
      <c r="H270" s="6"/>
      <c r="I270" s="7" t="s">
        <v>885</v>
      </c>
      <c r="J270" s="2" t="s">
        <v>275</v>
      </c>
      <c r="K270" s="2" t="s">
        <v>127</v>
      </c>
      <c r="M270" s="2" t="s">
        <v>114</v>
      </c>
      <c r="N270" s="2" t="s">
        <v>275</v>
      </c>
      <c r="O270" s="2">
        <v>1.10751038E8</v>
      </c>
      <c r="Q270" s="8">
        <v>2025.0</v>
      </c>
      <c r="R270" s="8" t="s">
        <v>34</v>
      </c>
    </row>
    <row r="271">
      <c r="A271" s="4" t="s">
        <v>18</v>
      </c>
      <c r="B271" s="4" t="s">
        <v>886</v>
      </c>
      <c r="C271" s="5">
        <v>45869.0</v>
      </c>
      <c r="D271" s="5">
        <v>45869.0</v>
      </c>
      <c r="E271" s="4" t="s">
        <v>887</v>
      </c>
      <c r="F271" s="9"/>
      <c r="G271" s="6"/>
      <c r="H271" s="7">
        <v>150.0</v>
      </c>
      <c r="I271" s="7" t="s">
        <v>888</v>
      </c>
      <c r="K271" s="1" t="str">
        <f>RIGHT(E271,6)</f>
        <v>SC3567</v>
      </c>
      <c r="L271" s="2" t="s">
        <v>889</v>
      </c>
      <c r="M271" s="2" t="s">
        <v>24</v>
      </c>
      <c r="N271" s="2" t="s">
        <v>60</v>
      </c>
      <c r="O271" s="2">
        <v>1.10751038E8</v>
      </c>
      <c r="Q271" s="8">
        <v>2025.0</v>
      </c>
      <c r="R271" s="8" t="s">
        <v>34</v>
      </c>
    </row>
    <row r="272">
      <c r="A272" s="4" t="s">
        <v>18</v>
      </c>
      <c r="B272" s="13" t="s">
        <v>890</v>
      </c>
      <c r="C272" s="14">
        <v>45870.0</v>
      </c>
      <c r="D272" s="14">
        <v>45870.0</v>
      </c>
      <c r="E272" s="13" t="s">
        <v>891</v>
      </c>
      <c r="F272" s="15"/>
      <c r="G272" s="16">
        <v>12500.0</v>
      </c>
      <c r="H272" s="15"/>
      <c r="I272" s="17" t="s">
        <v>892</v>
      </c>
      <c r="J272" s="13" t="s">
        <v>893</v>
      </c>
      <c r="K272" s="13" t="s">
        <v>123</v>
      </c>
      <c r="L272" s="15"/>
      <c r="M272" s="2" t="s">
        <v>114</v>
      </c>
      <c r="N272" s="18" t="s">
        <v>169</v>
      </c>
      <c r="O272" s="2">
        <v>1.10751038E8</v>
      </c>
      <c r="P272" s="15"/>
      <c r="Q272" s="8">
        <v>2025.0</v>
      </c>
      <c r="R272" s="8" t="s">
        <v>894</v>
      </c>
    </row>
    <row r="273">
      <c r="A273" s="4" t="s">
        <v>18</v>
      </c>
      <c r="B273" s="13" t="s">
        <v>895</v>
      </c>
      <c r="C273" s="14">
        <v>45870.0</v>
      </c>
      <c r="D273" s="14">
        <v>45870.0</v>
      </c>
      <c r="E273" s="13" t="s">
        <v>896</v>
      </c>
      <c r="F273" s="15"/>
      <c r="G273" s="15"/>
      <c r="H273" s="17">
        <v>250.0</v>
      </c>
      <c r="I273" s="17" t="s">
        <v>897</v>
      </c>
      <c r="J273" s="15"/>
      <c r="K273" s="13" t="str">
        <f t="shared" ref="K273:K280" si="28">RIGHT(E273,6)</f>
        <v>UN3668</v>
      </c>
      <c r="L273" s="18" t="s">
        <v>898</v>
      </c>
      <c r="M273" s="15" t="s">
        <v>24</v>
      </c>
      <c r="N273" s="2" t="s">
        <v>60</v>
      </c>
      <c r="O273" s="2">
        <v>1.10751038E8</v>
      </c>
      <c r="P273" s="15"/>
      <c r="Q273" s="8">
        <v>2025.0</v>
      </c>
      <c r="R273" s="8" t="s">
        <v>894</v>
      </c>
    </row>
    <row r="274">
      <c r="A274" s="4" t="s">
        <v>18</v>
      </c>
      <c r="B274" s="13" t="s">
        <v>899</v>
      </c>
      <c r="C274" s="19">
        <v>45870.0</v>
      </c>
      <c r="D274" s="19">
        <v>45870.0</v>
      </c>
      <c r="E274" s="13" t="s">
        <v>900</v>
      </c>
      <c r="F274" s="15"/>
      <c r="G274" s="15"/>
      <c r="H274" s="17">
        <v>334.0</v>
      </c>
      <c r="I274" s="17" t="s">
        <v>901</v>
      </c>
      <c r="J274" s="15"/>
      <c r="K274" s="13" t="str">
        <f t="shared" si="28"/>
        <v>SL1610</v>
      </c>
      <c r="L274" s="18" t="s">
        <v>902</v>
      </c>
      <c r="M274" s="15" t="s">
        <v>24</v>
      </c>
      <c r="N274" s="2" t="s">
        <v>60</v>
      </c>
      <c r="O274" s="2">
        <v>1.10751038E8</v>
      </c>
      <c r="P274" s="15"/>
      <c r="Q274" s="8">
        <v>2025.0</v>
      </c>
      <c r="R274" s="8" t="s">
        <v>894</v>
      </c>
    </row>
    <row r="275">
      <c r="A275" s="4" t="s">
        <v>18</v>
      </c>
      <c r="B275" s="13" t="s">
        <v>903</v>
      </c>
      <c r="C275" s="19">
        <v>45870.0</v>
      </c>
      <c r="D275" s="19">
        <v>45870.0</v>
      </c>
      <c r="E275" s="13" t="s">
        <v>904</v>
      </c>
      <c r="F275" s="15"/>
      <c r="G275" s="15"/>
      <c r="H275" s="17">
        <v>470.0</v>
      </c>
      <c r="I275" s="17" t="s">
        <v>905</v>
      </c>
      <c r="J275" s="15"/>
      <c r="K275" s="13" t="str">
        <f t="shared" si="28"/>
        <v>KN3817</v>
      </c>
      <c r="L275" s="18" t="s">
        <v>906</v>
      </c>
      <c r="M275" s="15" t="s">
        <v>24</v>
      </c>
      <c r="N275" s="2" t="s">
        <v>60</v>
      </c>
      <c r="O275" s="2">
        <v>1.10751038E8</v>
      </c>
      <c r="P275" s="15"/>
      <c r="Q275" s="8">
        <v>2025.0</v>
      </c>
      <c r="R275" s="8" t="s">
        <v>894</v>
      </c>
    </row>
    <row r="276">
      <c r="A276" s="4" t="s">
        <v>18</v>
      </c>
      <c r="B276" s="13" t="s">
        <v>907</v>
      </c>
      <c r="C276" s="19">
        <v>45870.0</v>
      </c>
      <c r="D276" s="19">
        <v>45870.0</v>
      </c>
      <c r="E276" s="13" t="s">
        <v>908</v>
      </c>
      <c r="F276" s="15"/>
      <c r="G276" s="15"/>
      <c r="H276" s="17">
        <v>560.0</v>
      </c>
      <c r="I276" s="17" t="s">
        <v>909</v>
      </c>
      <c r="J276" s="15"/>
      <c r="K276" s="13" t="str">
        <f t="shared" si="28"/>
        <v>KN3817</v>
      </c>
      <c r="L276" s="18" t="s">
        <v>910</v>
      </c>
      <c r="M276" s="15" t="s">
        <v>24</v>
      </c>
      <c r="N276" s="2" t="s">
        <v>60</v>
      </c>
      <c r="O276" s="2">
        <v>1.10751038E8</v>
      </c>
      <c r="P276" s="15"/>
      <c r="Q276" s="8">
        <v>2025.0</v>
      </c>
      <c r="R276" s="8" t="s">
        <v>894</v>
      </c>
    </row>
    <row r="277">
      <c r="A277" s="4" t="s">
        <v>18</v>
      </c>
      <c r="B277" s="13" t="s">
        <v>911</v>
      </c>
      <c r="C277" s="19">
        <v>45870.0</v>
      </c>
      <c r="D277" s="19">
        <v>45870.0</v>
      </c>
      <c r="E277" s="13" t="s">
        <v>912</v>
      </c>
      <c r="F277" s="15"/>
      <c r="G277" s="15"/>
      <c r="H277" s="17">
        <v>77.0</v>
      </c>
      <c r="I277" s="17" t="s">
        <v>913</v>
      </c>
      <c r="J277" s="15"/>
      <c r="K277" s="13" t="str">
        <f t="shared" si="28"/>
        <v>KN3817</v>
      </c>
      <c r="L277" s="18" t="s">
        <v>914</v>
      </c>
      <c r="M277" s="15" t="s">
        <v>24</v>
      </c>
      <c r="N277" s="2" t="s">
        <v>60</v>
      </c>
      <c r="O277" s="2">
        <v>1.10751038E8</v>
      </c>
      <c r="P277" s="15"/>
      <c r="Q277" s="8">
        <v>2025.0</v>
      </c>
      <c r="R277" s="8" t="s">
        <v>894</v>
      </c>
    </row>
    <row r="278">
      <c r="A278" s="4" t="s">
        <v>18</v>
      </c>
      <c r="B278" s="13" t="s">
        <v>915</v>
      </c>
      <c r="C278" s="19">
        <v>45870.0</v>
      </c>
      <c r="D278" s="19">
        <v>45870.0</v>
      </c>
      <c r="E278" s="13" t="s">
        <v>916</v>
      </c>
      <c r="F278" s="15"/>
      <c r="G278" s="15"/>
      <c r="H278" s="17">
        <v>232.0</v>
      </c>
      <c r="I278" s="17" t="s">
        <v>917</v>
      </c>
      <c r="J278" s="15"/>
      <c r="K278" s="13" t="str">
        <f t="shared" si="28"/>
        <v>SL1610</v>
      </c>
      <c r="L278" s="18" t="s">
        <v>918</v>
      </c>
      <c r="M278" s="15" t="s">
        <v>24</v>
      </c>
      <c r="N278" s="2" t="s">
        <v>60</v>
      </c>
      <c r="O278" s="2">
        <v>1.10751038E8</v>
      </c>
      <c r="P278" s="15"/>
      <c r="Q278" s="8">
        <v>2025.0</v>
      </c>
      <c r="R278" s="8" t="s">
        <v>894</v>
      </c>
    </row>
    <row r="279">
      <c r="A279" s="4" t="s">
        <v>18</v>
      </c>
      <c r="B279" s="13" t="s">
        <v>919</v>
      </c>
      <c r="C279" s="19">
        <v>45870.0</v>
      </c>
      <c r="D279" s="19">
        <v>45870.0</v>
      </c>
      <c r="E279" s="13" t="s">
        <v>920</v>
      </c>
      <c r="F279" s="15"/>
      <c r="G279" s="15"/>
      <c r="H279" s="17">
        <v>440.0</v>
      </c>
      <c r="I279" s="17" t="s">
        <v>921</v>
      </c>
      <c r="J279" s="15"/>
      <c r="K279" s="13" t="str">
        <f t="shared" si="28"/>
        <v>SL1610</v>
      </c>
      <c r="L279" s="18" t="s">
        <v>922</v>
      </c>
      <c r="M279" s="15" t="s">
        <v>24</v>
      </c>
      <c r="N279" s="2" t="s">
        <v>60</v>
      </c>
      <c r="O279" s="2">
        <v>1.10751038E8</v>
      </c>
      <c r="P279" s="15"/>
      <c r="Q279" s="8">
        <v>2025.0</v>
      </c>
      <c r="R279" s="8" t="s">
        <v>894</v>
      </c>
    </row>
    <row r="280">
      <c r="A280" s="4" t="s">
        <v>18</v>
      </c>
      <c r="B280" s="13" t="s">
        <v>923</v>
      </c>
      <c r="C280" s="19">
        <v>45871.0</v>
      </c>
      <c r="D280" s="19">
        <v>45871.0</v>
      </c>
      <c r="E280" s="13" t="s">
        <v>924</v>
      </c>
      <c r="F280" s="15"/>
      <c r="G280" s="15"/>
      <c r="H280" s="17">
        <v>384.0</v>
      </c>
      <c r="I280" s="17" t="s">
        <v>925</v>
      </c>
      <c r="J280" s="15"/>
      <c r="K280" s="13" t="str">
        <f t="shared" si="28"/>
        <v>UN3668</v>
      </c>
      <c r="L280" s="18" t="s">
        <v>926</v>
      </c>
      <c r="M280" s="15" t="s">
        <v>24</v>
      </c>
      <c r="N280" s="2" t="s">
        <v>60</v>
      </c>
      <c r="O280" s="2">
        <v>1.10751038E8</v>
      </c>
      <c r="P280" s="15"/>
      <c r="Q280" s="8">
        <v>2025.0</v>
      </c>
      <c r="R280" s="8" t="s">
        <v>894</v>
      </c>
    </row>
    <row r="281">
      <c r="A281" s="4" t="s">
        <v>18</v>
      </c>
      <c r="B281" s="13" t="s">
        <v>927</v>
      </c>
      <c r="C281" s="19">
        <v>45871.0</v>
      </c>
      <c r="D281" s="19">
        <v>45871.0</v>
      </c>
      <c r="E281" s="13" t="s">
        <v>928</v>
      </c>
      <c r="F281" s="15"/>
      <c r="G281" s="15"/>
      <c r="H281" s="16">
        <v>2090.92</v>
      </c>
      <c r="I281" s="17" t="s">
        <v>929</v>
      </c>
      <c r="J281" s="15"/>
      <c r="K281" s="13" t="s">
        <v>539</v>
      </c>
      <c r="L281" s="15"/>
      <c r="M281" s="15" t="s">
        <v>24</v>
      </c>
      <c r="N281" s="2" t="s">
        <v>60</v>
      </c>
      <c r="O281" s="2">
        <v>1.10751038E8</v>
      </c>
      <c r="P281" s="15" t="str">
        <f>IFERROR(__xludf.DUMMYFUNCTION("CONCATENATE(B281,"", "", to_text(D281),"", "", E281,"", "", H281)"),"TSV-08-0010, 02-Aug-2025, REF/ECOMMREFUND/CCAvenue/61185896/310725, 2090.92")</f>
        <v>TSV-08-0010, 02-Aug-2025, REF/ECOMMREFUND/CCAvenue/61185896/310725, 2090.92</v>
      </c>
      <c r="Q281" s="8">
        <v>2025.0</v>
      </c>
      <c r="R281" s="8" t="s">
        <v>894</v>
      </c>
    </row>
    <row r="282">
      <c r="A282" s="4" t="s">
        <v>18</v>
      </c>
      <c r="B282" s="13" t="s">
        <v>930</v>
      </c>
      <c r="C282" s="19">
        <v>45871.0</v>
      </c>
      <c r="D282" s="19">
        <v>45871.0</v>
      </c>
      <c r="E282" s="13" t="s">
        <v>931</v>
      </c>
      <c r="F282" s="15"/>
      <c r="G282" s="15"/>
      <c r="H282" s="16">
        <v>308.86</v>
      </c>
      <c r="I282" s="17" t="s">
        <v>932</v>
      </c>
      <c r="J282" s="15"/>
      <c r="K282" s="13" t="s">
        <v>539</v>
      </c>
      <c r="L282" s="15"/>
      <c r="M282" s="15" t="s">
        <v>24</v>
      </c>
      <c r="N282" s="2" t="s">
        <v>60</v>
      </c>
      <c r="O282" s="2">
        <v>1.10751038E8</v>
      </c>
      <c r="P282" s="15" t="str">
        <f>IFERROR(__xludf.DUMMYFUNCTION("CONCATENATE(B282,"", "", to_text(D282),"", "", E282,"", "", H282)"),"TSV-08-0011, 02-Aug-2025, REF/ECOMMREFUND/CCAvenue/61185940/310725, 308.86")</f>
        <v>TSV-08-0011, 02-Aug-2025, REF/ECOMMREFUND/CCAvenue/61185940/310725, 308.86</v>
      </c>
      <c r="Q282" s="8">
        <v>2025.0</v>
      </c>
      <c r="R282" s="8" t="s">
        <v>894</v>
      </c>
    </row>
    <row r="283">
      <c r="A283" s="4" t="s">
        <v>18</v>
      </c>
      <c r="B283" s="13" t="s">
        <v>933</v>
      </c>
      <c r="C283" s="19">
        <v>45871.0</v>
      </c>
      <c r="D283" s="19">
        <v>45871.0</v>
      </c>
      <c r="E283" s="13" t="s">
        <v>934</v>
      </c>
      <c r="F283" s="15"/>
      <c r="G283" s="15"/>
      <c r="H283" s="17">
        <v>383.0</v>
      </c>
      <c r="I283" s="17" t="s">
        <v>935</v>
      </c>
      <c r="J283" s="15"/>
      <c r="K283" s="13" t="str">
        <f t="shared" ref="K283:K289" si="29">RIGHT(E283,6)</f>
        <v>UN3668</v>
      </c>
      <c r="L283" s="18" t="s">
        <v>936</v>
      </c>
      <c r="M283" s="15" t="s">
        <v>24</v>
      </c>
      <c r="N283" s="2" t="s">
        <v>60</v>
      </c>
      <c r="O283" s="2">
        <v>1.10751038E8</v>
      </c>
      <c r="P283" s="15"/>
      <c r="Q283" s="8">
        <v>2025.0</v>
      </c>
      <c r="R283" s="8" t="s">
        <v>894</v>
      </c>
    </row>
    <row r="284">
      <c r="A284" s="4" t="s">
        <v>18</v>
      </c>
      <c r="B284" s="13" t="s">
        <v>937</v>
      </c>
      <c r="C284" s="19">
        <v>45871.0</v>
      </c>
      <c r="D284" s="19">
        <v>45871.0</v>
      </c>
      <c r="E284" s="13" t="s">
        <v>938</v>
      </c>
      <c r="F284" s="15"/>
      <c r="G284" s="15"/>
      <c r="H284" s="17">
        <v>892.0</v>
      </c>
      <c r="I284" s="17" t="s">
        <v>939</v>
      </c>
      <c r="J284" s="15"/>
      <c r="K284" s="13" t="str">
        <f t="shared" si="29"/>
        <v>UN3668</v>
      </c>
      <c r="L284" s="18" t="s">
        <v>940</v>
      </c>
      <c r="M284" s="15" t="s">
        <v>24</v>
      </c>
      <c r="N284" s="2" t="s">
        <v>60</v>
      </c>
      <c r="O284" s="2">
        <v>1.10751038E8</v>
      </c>
      <c r="P284" s="15"/>
      <c r="Q284" s="8">
        <v>2025.0</v>
      </c>
      <c r="R284" s="8" t="s">
        <v>894</v>
      </c>
    </row>
    <row r="285">
      <c r="A285" s="4" t="s">
        <v>18</v>
      </c>
      <c r="B285" s="13" t="s">
        <v>941</v>
      </c>
      <c r="C285" s="10">
        <v>45871.0</v>
      </c>
      <c r="D285" s="10">
        <v>45871.0</v>
      </c>
      <c r="E285" s="4" t="s">
        <v>942</v>
      </c>
      <c r="F285" s="9"/>
      <c r="G285" s="6"/>
      <c r="H285" s="7">
        <v>392.0</v>
      </c>
      <c r="I285" s="7" t="s">
        <v>943</v>
      </c>
      <c r="K285" s="13" t="str">
        <f t="shared" si="29"/>
        <v>KN3817</v>
      </c>
      <c r="L285" s="2" t="s">
        <v>944</v>
      </c>
      <c r="M285" s="15" t="s">
        <v>24</v>
      </c>
      <c r="N285" s="2" t="s">
        <v>60</v>
      </c>
      <c r="O285" s="2">
        <v>1.10751038E8</v>
      </c>
      <c r="P285" s="15"/>
      <c r="Q285" s="8">
        <v>2025.0</v>
      </c>
      <c r="R285" s="8" t="s">
        <v>894</v>
      </c>
    </row>
    <row r="286">
      <c r="A286" s="4" t="s">
        <v>18</v>
      </c>
      <c r="B286" s="13" t="s">
        <v>945</v>
      </c>
      <c r="C286" s="10">
        <v>45872.0</v>
      </c>
      <c r="D286" s="10">
        <v>45872.0</v>
      </c>
      <c r="E286" s="4" t="s">
        <v>946</v>
      </c>
      <c r="F286" s="9"/>
      <c r="G286" s="6"/>
      <c r="H286" s="7">
        <v>472.0</v>
      </c>
      <c r="I286" s="7" t="s">
        <v>947</v>
      </c>
      <c r="K286" s="13" t="str">
        <f t="shared" si="29"/>
        <v>SC3567</v>
      </c>
      <c r="L286" s="2" t="s">
        <v>948</v>
      </c>
      <c r="M286" s="15" t="s">
        <v>24</v>
      </c>
      <c r="N286" s="2" t="s">
        <v>60</v>
      </c>
      <c r="O286" s="2">
        <v>1.10751038E8</v>
      </c>
      <c r="P286" s="15"/>
      <c r="Q286" s="8">
        <v>2025.0</v>
      </c>
      <c r="R286" s="8" t="s">
        <v>894</v>
      </c>
    </row>
    <row r="287">
      <c r="A287" s="4" t="s">
        <v>18</v>
      </c>
      <c r="B287" s="13" t="s">
        <v>949</v>
      </c>
      <c r="C287" s="10">
        <v>45872.0</v>
      </c>
      <c r="D287" s="10">
        <v>45872.0</v>
      </c>
      <c r="E287" s="4" t="s">
        <v>950</v>
      </c>
      <c r="F287" s="9"/>
      <c r="G287" s="6"/>
      <c r="H287" s="7">
        <v>315.0</v>
      </c>
      <c r="I287" s="7" t="s">
        <v>951</v>
      </c>
      <c r="K287" s="13" t="str">
        <f t="shared" si="29"/>
        <v>SC3567</v>
      </c>
      <c r="L287" s="2" t="s">
        <v>691</v>
      </c>
      <c r="M287" s="15" t="s">
        <v>24</v>
      </c>
      <c r="N287" s="2" t="s">
        <v>60</v>
      </c>
      <c r="O287" s="2">
        <v>1.10751038E8</v>
      </c>
      <c r="P287" s="15"/>
      <c r="Q287" s="8">
        <v>2025.0</v>
      </c>
      <c r="R287" s="8" t="s">
        <v>894</v>
      </c>
    </row>
    <row r="288">
      <c r="A288" s="4" t="s">
        <v>18</v>
      </c>
      <c r="B288" s="13" t="s">
        <v>952</v>
      </c>
      <c r="C288" s="10">
        <v>45872.0</v>
      </c>
      <c r="D288" s="10">
        <v>45872.0</v>
      </c>
      <c r="E288" s="4" t="s">
        <v>953</v>
      </c>
      <c r="F288" s="9"/>
      <c r="G288" s="6"/>
      <c r="H288" s="7">
        <v>416.0</v>
      </c>
      <c r="I288" s="7" t="s">
        <v>954</v>
      </c>
      <c r="K288" s="13" t="str">
        <f t="shared" si="29"/>
        <v>UN3668</v>
      </c>
      <c r="L288" s="2" t="s">
        <v>955</v>
      </c>
      <c r="M288" s="15" t="s">
        <v>24</v>
      </c>
      <c r="N288" s="2" t="s">
        <v>60</v>
      </c>
      <c r="O288" s="2">
        <v>1.10751038E8</v>
      </c>
      <c r="P288" s="15"/>
      <c r="Q288" s="8">
        <v>2025.0</v>
      </c>
      <c r="R288" s="8" t="s">
        <v>894</v>
      </c>
    </row>
    <row r="289">
      <c r="A289" s="4" t="s">
        <v>18</v>
      </c>
      <c r="B289" s="13" t="s">
        <v>956</v>
      </c>
      <c r="C289" s="10">
        <v>45872.0</v>
      </c>
      <c r="D289" s="10">
        <v>45872.0</v>
      </c>
      <c r="E289" s="4" t="s">
        <v>957</v>
      </c>
      <c r="F289" s="9"/>
      <c r="G289" s="6"/>
      <c r="H289" s="7">
        <v>568.0</v>
      </c>
      <c r="I289" s="7" t="s">
        <v>958</v>
      </c>
      <c r="K289" s="13" t="str">
        <f t="shared" si="29"/>
        <v>SL1610</v>
      </c>
      <c r="L289" s="2" t="s">
        <v>959</v>
      </c>
      <c r="M289" s="15" t="s">
        <v>24</v>
      </c>
      <c r="N289" s="2" t="s">
        <v>60</v>
      </c>
      <c r="O289" s="2">
        <v>1.10751038E8</v>
      </c>
      <c r="P289" s="15"/>
      <c r="Q289" s="8">
        <v>2025.0</v>
      </c>
      <c r="R289" s="8" t="s">
        <v>894</v>
      </c>
    </row>
    <row r="290">
      <c r="A290" s="4" t="s">
        <v>18</v>
      </c>
      <c r="B290" s="13" t="s">
        <v>960</v>
      </c>
      <c r="C290" s="10">
        <v>45872.0</v>
      </c>
      <c r="D290" s="10">
        <v>45872.0</v>
      </c>
      <c r="E290" s="4" t="s">
        <v>961</v>
      </c>
      <c r="F290" s="9"/>
      <c r="G290" s="6"/>
      <c r="H290" s="11">
        <v>1600.0</v>
      </c>
      <c r="I290" s="7" t="s">
        <v>962</v>
      </c>
      <c r="K290" s="20" t="s">
        <v>539</v>
      </c>
      <c r="M290" s="15" t="s">
        <v>24</v>
      </c>
      <c r="N290" s="2" t="s">
        <v>60</v>
      </c>
      <c r="O290" s="2">
        <v>1.10751038E8</v>
      </c>
      <c r="P290" s="15" t="str">
        <f>IFERROR(__xludf.DUMMYFUNCTION("CONCATENATE(B290,"", "", to_text(D290),"", "", E290,"", "", H290)"),"TSV-08-0019, 03-Aug-2025, UPI/CR/109177617386/GOURAV S/HDFC/gourav./PAY BY, 1600")</f>
        <v>TSV-08-0019, 03-Aug-2025, UPI/CR/109177617386/GOURAV S/HDFC/gourav./PAY BY, 1600</v>
      </c>
      <c r="Q290" s="8">
        <v>2025.0</v>
      </c>
      <c r="R290" s="8" t="s">
        <v>894</v>
      </c>
    </row>
    <row r="291">
      <c r="A291" s="4" t="s">
        <v>18</v>
      </c>
      <c r="B291" s="13" t="s">
        <v>963</v>
      </c>
      <c r="C291" s="10">
        <v>45872.0</v>
      </c>
      <c r="D291" s="10">
        <v>45872.0</v>
      </c>
      <c r="E291" s="4" t="s">
        <v>964</v>
      </c>
      <c r="F291" s="9"/>
      <c r="G291" s="6"/>
      <c r="H291" s="7">
        <v>198.0</v>
      </c>
      <c r="I291" s="7" t="s">
        <v>965</v>
      </c>
      <c r="K291" s="13" t="str">
        <f t="shared" ref="K291:K299" si="30">RIGHT(E291,6)</f>
        <v>SC3567</v>
      </c>
      <c r="L291" s="2" t="s">
        <v>966</v>
      </c>
      <c r="M291" s="15" t="s">
        <v>24</v>
      </c>
      <c r="N291" s="2" t="s">
        <v>60</v>
      </c>
      <c r="O291" s="2">
        <v>1.10751038E8</v>
      </c>
      <c r="P291" s="15"/>
      <c r="Q291" s="8">
        <v>2025.0</v>
      </c>
      <c r="R291" s="8" t="s">
        <v>894</v>
      </c>
    </row>
    <row r="292">
      <c r="A292" s="4" t="s">
        <v>18</v>
      </c>
      <c r="B292" s="13" t="s">
        <v>967</v>
      </c>
      <c r="C292" s="10">
        <v>45872.0</v>
      </c>
      <c r="D292" s="10">
        <v>45872.0</v>
      </c>
      <c r="E292" s="4" t="s">
        <v>968</v>
      </c>
      <c r="F292" s="9"/>
      <c r="G292" s="6"/>
      <c r="H292" s="7">
        <v>575.0</v>
      </c>
      <c r="I292" s="7" t="s">
        <v>969</v>
      </c>
      <c r="K292" s="13" t="str">
        <f t="shared" si="30"/>
        <v>UN3668</v>
      </c>
      <c r="L292" s="2" t="s">
        <v>970</v>
      </c>
      <c r="M292" s="15" t="s">
        <v>24</v>
      </c>
      <c r="N292" s="2" t="s">
        <v>60</v>
      </c>
      <c r="O292" s="2">
        <v>1.10751038E8</v>
      </c>
      <c r="P292" s="15"/>
      <c r="Q292" s="8">
        <v>2025.0</v>
      </c>
      <c r="R292" s="8" t="s">
        <v>894</v>
      </c>
    </row>
    <row r="293">
      <c r="A293" s="4" t="s">
        <v>18</v>
      </c>
      <c r="B293" s="13" t="s">
        <v>971</v>
      </c>
      <c r="C293" s="10">
        <v>45872.0</v>
      </c>
      <c r="D293" s="10">
        <v>45872.0</v>
      </c>
      <c r="E293" s="4" t="s">
        <v>972</v>
      </c>
      <c r="F293" s="9"/>
      <c r="G293" s="6"/>
      <c r="H293" s="7">
        <v>400.0</v>
      </c>
      <c r="I293" s="7" t="s">
        <v>973</v>
      </c>
      <c r="K293" s="13" t="str">
        <f t="shared" si="30"/>
        <v>UN3668</v>
      </c>
      <c r="L293" s="2" t="s">
        <v>974</v>
      </c>
      <c r="M293" s="15" t="s">
        <v>24</v>
      </c>
      <c r="N293" s="2" t="s">
        <v>60</v>
      </c>
      <c r="O293" s="2">
        <v>1.10751038E8</v>
      </c>
      <c r="P293" s="15"/>
      <c r="Q293" s="8">
        <v>2025.0</v>
      </c>
      <c r="R293" s="8" t="s">
        <v>894</v>
      </c>
    </row>
    <row r="294">
      <c r="A294" s="4" t="s">
        <v>18</v>
      </c>
      <c r="B294" s="13" t="s">
        <v>975</v>
      </c>
      <c r="C294" s="10">
        <v>45872.0</v>
      </c>
      <c r="D294" s="10">
        <v>45872.0</v>
      </c>
      <c r="E294" s="4" t="s">
        <v>976</v>
      </c>
      <c r="F294" s="9"/>
      <c r="G294" s="6"/>
      <c r="H294" s="7">
        <v>320.0</v>
      </c>
      <c r="I294" s="7" t="s">
        <v>977</v>
      </c>
      <c r="K294" s="13" t="str">
        <f t="shared" si="30"/>
        <v>UN3668</v>
      </c>
      <c r="L294" s="2" t="s">
        <v>978</v>
      </c>
      <c r="M294" s="15" t="s">
        <v>24</v>
      </c>
      <c r="N294" s="2" t="s">
        <v>60</v>
      </c>
      <c r="O294" s="2">
        <v>1.10751038E8</v>
      </c>
      <c r="P294" s="15"/>
      <c r="Q294" s="8">
        <v>2025.0</v>
      </c>
      <c r="R294" s="8" t="s">
        <v>894</v>
      </c>
    </row>
    <row r="295">
      <c r="A295" s="4" t="s">
        <v>18</v>
      </c>
      <c r="B295" s="13" t="s">
        <v>979</v>
      </c>
      <c r="C295" s="10">
        <v>45872.0</v>
      </c>
      <c r="D295" s="10">
        <v>45872.0</v>
      </c>
      <c r="E295" s="4" t="s">
        <v>980</v>
      </c>
      <c r="F295" s="9"/>
      <c r="G295" s="6"/>
      <c r="H295" s="7">
        <v>737.0</v>
      </c>
      <c r="I295" s="7" t="s">
        <v>981</v>
      </c>
      <c r="K295" s="13" t="str">
        <f t="shared" si="30"/>
        <v>SL1610</v>
      </c>
      <c r="L295" s="2" t="s">
        <v>982</v>
      </c>
      <c r="M295" s="15" t="s">
        <v>24</v>
      </c>
      <c r="N295" s="2" t="s">
        <v>60</v>
      </c>
      <c r="O295" s="2">
        <v>1.10751038E8</v>
      </c>
      <c r="P295" s="15"/>
      <c r="Q295" s="8">
        <v>2025.0</v>
      </c>
      <c r="R295" s="8" t="s">
        <v>894</v>
      </c>
    </row>
    <row r="296">
      <c r="A296" s="4" t="s">
        <v>18</v>
      </c>
      <c r="B296" s="13" t="s">
        <v>983</v>
      </c>
      <c r="C296" s="10">
        <v>45873.0</v>
      </c>
      <c r="D296" s="10">
        <v>45873.0</v>
      </c>
      <c r="E296" s="4" t="s">
        <v>984</v>
      </c>
      <c r="F296" s="9"/>
      <c r="G296" s="6"/>
      <c r="H296" s="11">
        <v>1176.0</v>
      </c>
      <c r="I296" s="7" t="s">
        <v>985</v>
      </c>
      <c r="K296" s="13" t="str">
        <f t="shared" si="30"/>
        <v>KN3817</v>
      </c>
      <c r="L296" s="2" t="s">
        <v>986</v>
      </c>
      <c r="M296" s="15" t="s">
        <v>24</v>
      </c>
      <c r="N296" s="2" t="s">
        <v>60</v>
      </c>
      <c r="O296" s="2">
        <v>1.10751038E8</v>
      </c>
      <c r="P296" s="15"/>
      <c r="Q296" s="8">
        <v>2025.0</v>
      </c>
      <c r="R296" s="8" t="s">
        <v>894</v>
      </c>
    </row>
    <row r="297">
      <c r="A297" s="4" t="s">
        <v>18</v>
      </c>
      <c r="B297" s="13" t="s">
        <v>987</v>
      </c>
      <c r="C297" s="10">
        <v>45873.0</v>
      </c>
      <c r="D297" s="10">
        <v>45873.0</v>
      </c>
      <c r="E297" s="4" t="s">
        <v>988</v>
      </c>
      <c r="F297" s="9"/>
      <c r="G297" s="6"/>
      <c r="H297" s="11">
        <v>1018.0</v>
      </c>
      <c r="I297" s="7" t="s">
        <v>989</v>
      </c>
      <c r="K297" s="13" t="str">
        <f t="shared" si="30"/>
        <v>SL1610</v>
      </c>
      <c r="L297" s="2" t="s">
        <v>990</v>
      </c>
      <c r="M297" s="15" t="s">
        <v>24</v>
      </c>
      <c r="N297" s="2" t="s">
        <v>60</v>
      </c>
      <c r="O297" s="2">
        <v>1.10751038E8</v>
      </c>
      <c r="P297" s="15"/>
      <c r="Q297" s="8">
        <v>2025.0</v>
      </c>
      <c r="R297" s="8" t="s">
        <v>894</v>
      </c>
    </row>
    <row r="298">
      <c r="A298" s="4" t="s">
        <v>18</v>
      </c>
      <c r="B298" s="13" t="s">
        <v>991</v>
      </c>
      <c r="C298" s="10">
        <v>45873.0</v>
      </c>
      <c r="D298" s="10">
        <v>45873.0</v>
      </c>
      <c r="E298" s="4" t="s">
        <v>992</v>
      </c>
      <c r="F298" s="9"/>
      <c r="G298" s="6"/>
      <c r="H298" s="11">
        <v>1362.0</v>
      </c>
      <c r="I298" s="7" t="s">
        <v>993</v>
      </c>
      <c r="K298" s="13" t="str">
        <f t="shared" si="30"/>
        <v>SL1610</v>
      </c>
      <c r="L298" s="2" t="s">
        <v>994</v>
      </c>
      <c r="M298" s="15" t="s">
        <v>24</v>
      </c>
      <c r="N298" s="2" t="s">
        <v>60</v>
      </c>
      <c r="O298" s="2">
        <v>1.10751038E8</v>
      </c>
      <c r="P298" s="15"/>
      <c r="Q298" s="8">
        <v>2025.0</v>
      </c>
      <c r="R298" s="8" t="s">
        <v>894</v>
      </c>
    </row>
    <row r="299">
      <c r="A299" s="4" t="s">
        <v>18</v>
      </c>
      <c r="B299" s="13" t="s">
        <v>995</v>
      </c>
      <c r="C299" s="10">
        <v>45873.0</v>
      </c>
      <c r="D299" s="10">
        <v>45873.0</v>
      </c>
      <c r="E299" s="4" t="s">
        <v>996</v>
      </c>
      <c r="F299" s="9"/>
      <c r="G299" s="6"/>
      <c r="H299" s="7">
        <v>354.0</v>
      </c>
      <c r="I299" s="7" t="s">
        <v>997</v>
      </c>
      <c r="K299" s="13" t="str">
        <f t="shared" si="30"/>
        <v>SL1610</v>
      </c>
      <c r="L299" s="2" t="s">
        <v>998</v>
      </c>
      <c r="M299" s="15" t="s">
        <v>24</v>
      </c>
      <c r="N299" s="2" t="s">
        <v>60</v>
      </c>
      <c r="O299" s="2">
        <v>1.10751038E8</v>
      </c>
      <c r="P299" s="15"/>
      <c r="Q299" s="8">
        <v>2025.0</v>
      </c>
      <c r="R299" s="8" t="s">
        <v>894</v>
      </c>
    </row>
    <row r="300">
      <c r="A300" s="4" t="s">
        <v>18</v>
      </c>
      <c r="B300" s="13" t="s">
        <v>999</v>
      </c>
      <c r="C300" s="10">
        <v>45873.0</v>
      </c>
      <c r="D300" s="10">
        <v>45873.0</v>
      </c>
      <c r="E300" s="4" t="s">
        <v>1000</v>
      </c>
      <c r="F300" s="9"/>
      <c r="G300" s="6"/>
      <c r="H300" s="7">
        <v>550.0</v>
      </c>
      <c r="I300" s="7" t="s">
        <v>1001</v>
      </c>
      <c r="K300" s="20" t="s">
        <v>539</v>
      </c>
      <c r="M300" s="15" t="s">
        <v>24</v>
      </c>
      <c r="N300" s="2" t="s">
        <v>60</v>
      </c>
      <c r="O300" s="2">
        <v>1.10751038E8</v>
      </c>
      <c r="P300" s="15" t="str">
        <f>IFERROR(__xludf.DUMMYFUNCTION("CONCATENATE(B300,"", "", to_text(D300),"", "", E300,"", "", H300)"),"TSV-08-0029, 04-Aug-2025, UPI/CR/521670475641/BHAVYA L/ICIC/bhavya./na, 550")</f>
        <v>TSV-08-0029, 04-Aug-2025, UPI/CR/521670475641/BHAVYA L/ICIC/bhavya./na, 550</v>
      </c>
      <c r="Q300" s="8">
        <v>2025.0</v>
      </c>
      <c r="R300" s="8" t="s">
        <v>894</v>
      </c>
    </row>
    <row r="301">
      <c r="A301" s="4" t="s">
        <v>18</v>
      </c>
      <c r="B301" s="13" t="s">
        <v>1002</v>
      </c>
      <c r="C301" s="10">
        <v>45873.0</v>
      </c>
      <c r="D301" s="10">
        <v>45873.0</v>
      </c>
      <c r="E301" s="4" t="s">
        <v>1003</v>
      </c>
      <c r="F301" s="9"/>
      <c r="G301" s="6"/>
      <c r="H301" s="7">
        <v>300.0</v>
      </c>
      <c r="I301" s="7" t="s">
        <v>1004</v>
      </c>
      <c r="K301" s="13" t="str">
        <f t="shared" ref="K301:K311" si="31">RIGHT(E301,6)</f>
        <v>KN3817</v>
      </c>
      <c r="L301" s="2" t="s">
        <v>304</v>
      </c>
      <c r="M301" s="15" t="s">
        <v>24</v>
      </c>
      <c r="N301" s="2" t="s">
        <v>60</v>
      </c>
      <c r="O301" s="2">
        <v>1.10751038E8</v>
      </c>
      <c r="P301" s="15"/>
      <c r="Q301" s="8">
        <v>2025.0</v>
      </c>
      <c r="R301" s="8" t="s">
        <v>894</v>
      </c>
    </row>
    <row r="302">
      <c r="A302" s="4" t="s">
        <v>18</v>
      </c>
      <c r="B302" s="13" t="s">
        <v>1005</v>
      </c>
      <c r="C302" s="10">
        <v>45873.0</v>
      </c>
      <c r="D302" s="10">
        <v>45873.0</v>
      </c>
      <c r="E302" s="4" t="s">
        <v>1006</v>
      </c>
      <c r="F302" s="9"/>
      <c r="G302" s="6"/>
      <c r="H302" s="11">
        <v>1000.0</v>
      </c>
      <c r="I302" s="7" t="s">
        <v>1007</v>
      </c>
      <c r="K302" s="13" t="str">
        <f t="shared" si="31"/>
        <v>SL1610</v>
      </c>
      <c r="L302" s="2" t="s">
        <v>1008</v>
      </c>
      <c r="M302" s="15" t="s">
        <v>24</v>
      </c>
      <c r="N302" s="2" t="s">
        <v>60</v>
      </c>
      <c r="O302" s="2">
        <v>1.10751038E8</v>
      </c>
      <c r="P302" s="15"/>
      <c r="Q302" s="8">
        <v>2025.0</v>
      </c>
      <c r="R302" s="8" t="s">
        <v>894</v>
      </c>
    </row>
    <row r="303">
      <c r="A303" s="4" t="s">
        <v>18</v>
      </c>
      <c r="B303" s="13" t="s">
        <v>1009</v>
      </c>
      <c r="C303" s="10">
        <v>45873.0</v>
      </c>
      <c r="D303" s="10">
        <v>45873.0</v>
      </c>
      <c r="E303" s="4" t="s">
        <v>1010</v>
      </c>
      <c r="F303" s="9"/>
      <c r="G303" s="6"/>
      <c r="H303" s="7">
        <v>708.0</v>
      </c>
      <c r="I303" s="7" t="s">
        <v>1011</v>
      </c>
      <c r="K303" s="13" t="str">
        <f t="shared" si="31"/>
        <v>SL1610</v>
      </c>
      <c r="L303" s="2" t="s">
        <v>1012</v>
      </c>
      <c r="M303" s="15" t="s">
        <v>24</v>
      </c>
      <c r="N303" s="2" t="s">
        <v>60</v>
      </c>
      <c r="O303" s="2">
        <v>1.10751038E8</v>
      </c>
      <c r="P303" s="15"/>
      <c r="Q303" s="8">
        <v>2025.0</v>
      </c>
      <c r="R303" s="8" t="s">
        <v>894</v>
      </c>
    </row>
    <row r="304">
      <c r="A304" s="4" t="s">
        <v>18</v>
      </c>
      <c r="B304" s="13" t="s">
        <v>1013</v>
      </c>
      <c r="C304" s="10">
        <v>45873.0</v>
      </c>
      <c r="D304" s="10">
        <v>45873.0</v>
      </c>
      <c r="E304" s="4" t="s">
        <v>1014</v>
      </c>
      <c r="F304" s="9"/>
      <c r="G304" s="6"/>
      <c r="H304" s="7">
        <v>109.0</v>
      </c>
      <c r="I304" s="7" t="s">
        <v>1015</v>
      </c>
      <c r="K304" s="13" t="str">
        <f t="shared" si="31"/>
        <v>SL1610</v>
      </c>
      <c r="L304" s="2" t="s">
        <v>1016</v>
      </c>
      <c r="M304" s="15" t="s">
        <v>24</v>
      </c>
      <c r="N304" s="2" t="s">
        <v>60</v>
      </c>
      <c r="O304" s="2">
        <v>1.10751038E8</v>
      </c>
      <c r="P304" s="15"/>
      <c r="Q304" s="8">
        <v>2025.0</v>
      </c>
      <c r="R304" s="8" t="s">
        <v>894</v>
      </c>
    </row>
    <row r="305">
      <c r="A305" s="4" t="s">
        <v>18</v>
      </c>
      <c r="B305" s="13" t="s">
        <v>1017</v>
      </c>
      <c r="C305" s="10">
        <v>45873.0</v>
      </c>
      <c r="D305" s="10">
        <v>45873.0</v>
      </c>
      <c r="E305" s="4" t="s">
        <v>1018</v>
      </c>
      <c r="F305" s="9"/>
      <c r="G305" s="6"/>
      <c r="H305" s="7">
        <v>645.0</v>
      </c>
      <c r="I305" s="7" t="s">
        <v>1019</v>
      </c>
      <c r="K305" s="13" t="str">
        <f t="shared" si="31"/>
        <v>SL1610</v>
      </c>
      <c r="L305" s="2" t="s">
        <v>1020</v>
      </c>
      <c r="M305" s="15" t="s">
        <v>24</v>
      </c>
      <c r="N305" s="2" t="s">
        <v>60</v>
      </c>
      <c r="O305" s="2">
        <v>1.10751038E8</v>
      </c>
      <c r="P305" s="15"/>
      <c r="Q305" s="8">
        <v>2025.0</v>
      </c>
      <c r="R305" s="8" t="s">
        <v>894</v>
      </c>
    </row>
    <row r="306">
      <c r="A306" s="4" t="s">
        <v>18</v>
      </c>
      <c r="B306" s="13" t="s">
        <v>1021</v>
      </c>
      <c r="C306" s="10">
        <v>45873.0</v>
      </c>
      <c r="D306" s="10">
        <v>45873.0</v>
      </c>
      <c r="E306" s="4" t="s">
        <v>1022</v>
      </c>
      <c r="F306" s="9"/>
      <c r="G306" s="6"/>
      <c r="H306" s="7">
        <v>182.0</v>
      </c>
      <c r="I306" s="7" t="s">
        <v>1023</v>
      </c>
      <c r="K306" s="13" t="str">
        <f t="shared" si="31"/>
        <v>KN3817</v>
      </c>
      <c r="L306" s="2" t="s">
        <v>1024</v>
      </c>
      <c r="M306" s="15" t="s">
        <v>24</v>
      </c>
      <c r="N306" s="2" t="s">
        <v>60</v>
      </c>
      <c r="O306" s="2">
        <v>1.10751038E8</v>
      </c>
      <c r="P306" s="15"/>
      <c r="Q306" s="8">
        <v>2025.0</v>
      </c>
      <c r="R306" s="8" t="s">
        <v>894</v>
      </c>
    </row>
    <row r="307">
      <c r="A307" s="4" t="s">
        <v>18</v>
      </c>
      <c r="B307" s="13" t="s">
        <v>1025</v>
      </c>
      <c r="C307" s="10">
        <v>45873.0</v>
      </c>
      <c r="D307" s="10">
        <v>45873.0</v>
      </c>
      <c r="E307" s="4" t="s">
        <v>1026</v>
      </c>
      <c r="F307" s="9"/>
      <c r="G307" s="6"/>
      <c r="H307" s="11">
        <v>1305.0</v>
      </c>
      <c r="I307" s="7" t="s">
        <v>1027</v>
      </c>
      <c r="K307" s="13" t="str">
        <f t="shared" si="31"/>
        <v>SC3567</v>
      </c>
      <c r="L307" s="2" t="s">
        <v>1028</v>
      </c>
      <c r="M307" s="15" t="s">
        <v>24</v>
      </c>
      <c r="N307" s="2" t="s">
        <v>60</v>
      </c>
      <c r="O307" s="2">
        <v>1.10751038E8</v>
      </c>
      <c r="P307" s="15"/>
      <c r="Q307" s="8">
        <v>2025.0</v>
      </c>
      <c r="R307" s="8" t="s">
        <v>894</v>
      </c>
    </row>
    <row r="308">
      <c r="A308" s="4" t="s">
        <v>18</v>
      </c>
      <c r="B308" s="13" t="s">
        <v>1029</v>
      </c>
      <c r="C308" s="10">
        <v>45874.0</v>
      </c>
      <c r="D308" s="10">
        <v>45874.0</v>
      </c>
      <c r="E308" s="4" t="s">
        <v>1030</v>
      </c>
      <c r="F308" s="9"/>
      <c r="G308" s="6"/>
      <c r="H308" s="7">
        <v>264.0</v>
      </c>
      <c r="I308" s="7" t="s">
        <v>1031</v>
      </c>
      <c r="K308" s="13" t="str">
        <f t="shared" si="31"/>
        <v>SL1610</v>
      </c>
      <c r="L308" s="2" t="s">
        <v>1032</v>
      </c>
      <c r="M308" s="15" t="s">
        <v>24</v>
      </c>
      <c r="N308" s="2" t="s">
        <v>60</v>
      </c>
      <c r="O308" s="2">
        <v>1.10751038E8</v>
      </c>
      <c r="P308" s="15"/>
      <c r="Q308" s="8">
        <v>2025.0</v>
      </c>
      <c r="R308" s="8" t="s">
        <v>894</v>
      </c>
    </row>
    <row r="309">
      <c r="A309" s="4" t="s">
        <v>18</v>
      </c>
      <c r="B309" s="13" t="s">
        <v>1033</v>
      </c>
      <c r="C309" s="10">
        <v>45874.0</v>
      </c>
      <c r="D309" s="10">
        <v>45874.0</v>
      </c>
      <c r="E309" s="4" t="s">
        <v>1034</v>
      </c>
      <c r="F309" s="9"/>
      <c r="G309" s="6"/>
      <c r="H309" s="7">
        <v>672.0</v>
      </c>
      <c r="I309" s="7" t="s">
        <v>1035</v>
      </c>
      <c r="K309" s="13" t="str">
        <f t="shared" si="31"/>
        <v>SL1610</v>
      </c>
      <c r="L309" s="2" t="s">
        <v>1036</v>
      </c>
      <c r="M309" s="15" t="s">
        <v>24</v>
      </c>
      <c r="N309" s="2" t="s">
        <v>60</v>
      </c>
      <c r="O309" s="2">
        <v>1.10751038E8</v>
      </c>
      <c r="P309" s="15"/>
      <c r="Q309" s="8">
        <v>2025.0</v>
      </c>
      <c r="R309" s="8" t="s">
        <v>894</v>
      </c>
    </row>
    <row r="310">
      <c r="A310" s="4" t="s">
        <v>18</v>
      </c>
      <c r="B310" s="13" t="s">
        <v>1037</v>
      </c>
      <c r="C310" s="10">
        <v>45874.0</v>
      </c>
      <c r="D310" s="10">
        <v>45874.0</v>
      </c>
      <c r="E310" s="4" t="s">
        <v>1038</v>
      </c>
      <c r="F310" s="9"/>
      <c r="G310" s="6"/>
      <c r="H310" s="7">
        <v>390.0</v>
      </c>
      <c r="I310" s="7" t="s">
        <v>1039</v>
      </c>
      <c r="K310" s="13" t="str">
        <f t="shared" si="31"/>
        <v>UN3668</v>
      </c>
      <c r="L310" s="2" t="s">
        <v>1040</v>
      </c>
      <c r="M310" s="15" t="s">
        <v>24</v>
      </c>
      <c r="N310" s="2" t="s">
        <v>60</v>
      </c>
      <c r="O310" s="2">
        <v>1.10751038E8</v>
      </c>
      <c r="P310" s="15"/>
      <c r="Q310" s="8">
        <v>2025.0</v>
      </c>
      <c r="R310" s="8" t="s">
        <v>894</v>
      </c>
    </row>
    <row r="311">
      <c r="A311" s="4" t="s">
        <v>18</v>
      </c>
      <c r="B311" s="13" t="s">
        <v>1041</v>
      </c>
      <c r="C311" s="10">
        <v>45874.0</v>
      </c>
      <c r="D311" s="10">
        <v>45874.0</v>
      </c>
      <c r="E311" s="4" t="s">
        <v>1042</v>
      </c>
      <c r="F311" s="9"/>
      <c r="G311" s="6"/>
      <c r="H311" s="11">
        <v>2000.0</v>
      </c>
      <c r="I311" s="7" t="s">
        <v>1043</v>
      </c>
      <c r="K311" s="13" t="str">
        <f t="shared" si="31"/>
        <v>UN3668</v>
      </c>
      <c r="L311" s="2" t="s">
        <v>619</v>
      </c>
      <c r="M311" s="15" t="s">
        <v>24</v>
      </c>
      <c r="N311" s="2" t="s">
        <v>60</v>
      </c>
      <c r="O311" s="2">
        <v>1.10751038E8</v>
      </c>
      <c r="P311" s="15"/>
      <c r="Q311" s="8">
        <v>2025.0</v>
      </c>
      <c r="R311" s="8" t="s">
        <v>894</v>
      </c>
    </row>
    <row r="312">
      <c r="A312" s="4" t="s">
        <v>18</v>
      </c>
      <c r="B312" s="13" t="s">
        <v>1044</v>
      </c>
      <c r="C312" s="10">
        <v>45874.0</v>
      </c>
      <c r="D312" s="10">
        <v>45874.0</v>
      </c>
      <c r="E312" s="4" t="s">
        <v>1045</v>
      </c>
      <c r="F312" s="9"/>
      <c r="G312" s="6"/>
      <c r="H312" s="7">
        <v>331.0</v>
      </c>
      <c r="I312" s="7" t="s">
        <v>1046</v>
      </c>
      <c r="K312" s="20" t="s">
        <v>113</v>
      </c>
      <c r="L312" s="2" t="s">
        <v>1047</v>
      </c>
      <c r="M312" s="15" t="s">
        <v>24</v>
      </c>
      <c r="N312" s="2" t="s">
        <v>60</v>
      </c>
      <c r="O312" s="2">
        <v>1.10751038E8</v>
      </c>
      <c r="P312" s="15"/>
      <c r="Q312" s="8">
        <v>2025.0</v>
      </c>
      <c r="R312" s="8" t="s">
        <v>894</v>
      </c>
    </row>
    <row r="313">
      <c r="A313" s="4" t="s">
        <v>18</v>
      </c>
      <c r="B313" s="13" t="s">
        <v>1048</v>
      </c>
      <c r="C313" s="10">
        <v>45874.0</v>
      </c>
      <c r="D313" s="10">
        <v>45874.0</v>
      </c>
      <c r="E313" s="4" t="s">
        <v>1049</v>
      </c>
      <c r="F313" s="9"/>
      <c r="G313" s="6"/>
      <c r="H313" s="7">
        <v>452.0</v>
      </c>
      <c r="I313" s="7" t="s">
        <v>1050</v>
      </c>
      <c r="K313" s="13" t="str">
        <f t="shared" ref="K313:K319" si="32">RIGHT(E313,6)</f>
        <v>UN3668</v>
      </c>
      <c r="L313" s="2" t="s">
        <v>1051</v>
      </c>
      <c r="M313" s="15" t="s">
        <v>24</v>
      </c>
      <c r="N313" s="2" t="s">
        <v>60</v>
      </c>
      <c r="O313" s="2">
        <v>1.10751038E8</v>
      </c>
      <c r="P313" s="15"/>
      <c r="Q313" s="8">
        <v>2025.0</v>
      </c>
      <c r="R313" s="8" t="s">
        <v>894</v>
      </c>
    </row>
    <row r="314">
      <c r="A314" s="4" t="s">
        <v>18</v>
      </c>
      <c r="B314" s="13" t="s">
        <v>1052</v>
      </c>
      <c r="C314" s="10">
        <v>45874.0</v>
      </c>
      <c r="D314" s="10">
        <v>45874.0</v>
      </c>
      <c r="E314" s="4" t="s">
        <v>1053</v>
      </c>
      <c r="F314" s="9"/>
      <c r="G314" s="6"/>
      <c r="H314" s="7">
        <v>468.0</v>
      </c>
      <c r="I314" s="7" t="s">
        <v>1054</v>
      </c>
      <c r="K314" s="13" t="str">
        <f t="shared" si="32"/>
        <v>UN3668</v>
      </c>
      <c r="L314" s="2" t="s">
        <v>1055</v>
      </c>
      <c r="M314" s="15" t="s">
        <v>24</v>
      </c>
      <c r="N314" s="2" t="s">
        <v>60</v>
      </c>
      <c r="O314" s="2">
        <v>1.10751038E8</v>
      </c>
      <c r="P314" s="15"/>
      <c r="Q314" s="8">
        <v>2025.0</v>
      </c>
      <c r="R314" s="8" t="s">
        <v>894</v>
      </c>
    </row>
    <row r="315">
      <c r="A315" s="4" t="s">
        <v>18</v>
      </c>
      <c r="B315" s="13" t="s">
        <v>1056</v>
      </c>
      <c r="C315" s="10">
        <v>45875.0</v>
      </c>
      <c r="D315" s="10">
        <v>45875.0</v>
      </c>
      <c r="E315" s="4" t="s">
        <v>1057</v>
      </c>
      <c r="F315" s="9"/>
      <c r="G315" s="6"/>
      <c r="H315" s="7">
        <v>179.0</v>
      </c>
      <c r="I315" s="7" t="s">
        <v>1058</v>
      </c>
      <c r="K315" s="13" t="str">
        <f t="shared" si="32"/>
        <v>SC3567</v>
      </c>
      <c r="L315" s="2" t="s">
        <v>1059</v>
      </c>
      <c r="M315" s="15" t="s">
        <v>24</v>
      </c>
      <c r="N315" s="2" t="s">
        <v>60</v>
      </c>
      <c r="O315" s="2">
        <v>1.10751038E8</v>
      </c>
      <c r="P315" s="15"/>
      <c r="Q315" s="8">
        <v>2025.0</v>
      </c>
      <c r="R315" s="8" t="s">
        <v>894</v>
      </c>
    </row>
    <row r="316">
      <c r="A316" s="4" t="s">
        <v>18</v>
      </c>
      <c r="B316" s="13" t="s">
        <v>1060</v>
      </c>
      <c r="C316" s="10">
        <v>45875.0</v>
      </c>
      <c r="D316" s="10">
        <v>45875.0</v>
      </c>
      <c r="E316" s="4" t="s">
        <v>1061</v>
      </c>
      <c r="F316" s="9"/>
      <c r="G316" s="6"/>
      <c r="H316" s="7">
        <v>750.0</v>
      </c>
      <c r="I316" s="7" t="s">
        <v>1062</v>
      </c>
      <c r="K316" s="13" t="str">
        <f t="shared" si="32"/>
        <v>KN3817</v>
      </c>
      <c r="L316" s="21" t="s">
        <v>1063</v>
      </c>
      <c r="M316" s="15" t="s">
        <v>24</v>
      </c>
      <c r="N316" s="2" t="s">
        <v>60</v>
      </c>
      <c r="O316" s="2">
        <v>1.10751038E8</v>
      </c>
      <c r="P316" s="15"/>
      <c r="Q316" s="8">
        <v>2025.0</v>
      </c>
      <c r="R316" s="8" t="s">
        <v>894</v>
      </c>
    </row>
    <row r="317">
      <c r="A317" s="4" t="s">
        <v>18</v>
      </c>
      <c r="B317" s="13" t="s">
        <v>1064</v>
      </c>
      <c r="C317" s="10">
        <v>45875.0</v>
      </c>
      <c r="D317" s="10">
        <v>45875.0</v>
      </c>
      <c r="E317" s="4" t="s">
        <v>1065</v>
      </c>
      <c r="F317" s="9"/>
      <c r="G317" s="6"/>
      <c r="H317" s="7">
        <v>220.0</v>
      </c>
      <c r="I317" s="7" t="s">
        <v>1066</v>
      </c>
      <c r="K317" s="13" t="str">
        <f t="shared" si="32"/>
        <v>UN3668</v>
      </c>
      <c r="L317" s="2" t="s">
        <v>1067</v>
      </c>
      <c r="M317" s="15" t="s">
        <v>24</v>
      </c>
      <c r="N317" s="2" t="s">
        <v>60</v>
      </c>
      <c r="O317" s="2">
        <v>1.10751038E8</v>
      </c>
      <c r="P317" s="15"/>
      <c r="Q317" s="8">
        <v>2025.0</v>
      </c>
      <c r="R317" s="8" t="s">
        <v>894</v>
      </c>
    </row>
    <row r="318">
      <c r="A318" s="4" t="s">
        <v>18</v>
      </c>
      <c r="B318" s="13" t="s">
        <v>1068</v>
      </c>
      <c r="C318" s="10">
        <v>45875.0</v>
      </c>
      <c r="D318" s="10">
        <v>45875.0</v>
      </c>
      <c r="E318" s="4" t="s">
        <v>1069</v>
      </c>
      <c r="F318" s="9"/>
      <c r="G318" s="6"/>
      <c r="H318" s="7">
        <v>366.0</v>
      </c>
      <c r="I318" s="7" t="s">
        <v>1070</v>
      </c>
      <c r="K318" s="13" t="str">
        <f t="shared" si="32"/>
        <v>SC3567</v>
      </c>
      <c r="L318" s="2" t="s">
        <v>1071</v>
      </c>
      <c r="M318" s="15" t="s">
        <v>24</v>
      </c>
      <c r="N318" s="2" t="s">
        <v>60</v>
      </c>
      <c r="O318" s="2">
        <v>1.10751038E8</v>
      </c>
      <c r="P318" s="15"/>
      <c r="Q318" s="8">
        <v>2025.0</v>
      </c>
      <c r="R318" s="8" t="s">
        <v>894</v>
      </c>
    </row>
    <row r="319">
      <c r="A319" s="4" t="s">
        <v>18</v>
      </c>
      <c r="B319" s="13" t="s">
        <v>1072</v>
      </c>
      <c r="C319" s="10">
        <v>45875.0</v>
      </c>
      <c r="D319" s="10">
        <v>45875.0</v>
      </c>
      <c r="E319" s="4" t="s">
        <v>1073</v>
      </c>
      <c r="F319" s="9"/>
      <c r="G319" s="6"/>
      <c r="H319" s="7">
        <v>376.0</v>
      </c>
      <c r="I319" s="7" t="s">
        <v>1074</v>
      </c>
      <c r="K319" s="13" t="str">
        <f t="shared" si="32"/>
        <v>SL1610</v>
      </c>
      <c r="L319" s="2" t="s">
        <v>1075</v>
      </c>
      <c r="M319" s="15" t="s">
        <v>24</v>
      </c>
      <c r="N319" s="2" t="s">
        <v>60</v>
      </c>
      <c r="O319" s="2">
        <v>1.10751038E8</v>
      </c>
      <c r="P319" s="15"/>
      <c r="Q319" s="8">
        <v>2025.0</v>
      </c>
      <c r="R319" s="8" t="s">
        <v>894</v>
      </c>
    </row>
    <row r="320">
      <c r="A320" s="4" t="s">
        <v>18</v>
      </c>
      <c r="B320" s="13" t="s">
        <v>1076</v>
      </c>
      <c r="C320" s="10">
        <v>45875.0</v>
      </c>
      <c r="D320" s="10">
        <v>45875.0</v>
      </c>
      <c r="E320" s="4" t="s">
        <v>1077</v>
      </c>
      <c r="F320" s="9"/>
      <c r="G320" s="11">
        <v>6326.0</v>
      </c>
      <c r="H320" s="6"/>
      <c r="I320" s="7" t="s">
        <v>1078</v>
      </c>
      <c r="J320" s="2" t="s">
        <v>1079</v>
      </c>
      <c r="K320" s="2" t="s">
        <v>119</v>
      </c>
      <c r="M320" s="2" t="s">
        <v>114</v>
      </c>
      <c r="N320" s="2" t="s">
        <v>1080</v>
      </c>
      <c r="O320" s="2">
        <v>1.10751038E8</v>
      </c>
      <c r="Q320" s="8">
        <v>2025.0</v>
      </c>
      <c r="R320" s="8" t="s">
        <v>894</v>
      </c>
    </row>
    <row r="321">
      <c r="A321" s="4" t="s">
        <v>18</v>
      </c>
      <c r="B321" s="13" t="s">
        <v>1081</v>
      </c>
      <c r="C321" s="10">
        <v>45875.0</v>
      </c>
      <c r="D321" s="10">
        <v>45875.0</v>
      </c>
      <c r="E321" s="4" t="s">
        <v>1082</v>
      </c>
      <c r="F321" s="9"/>
      <c r="G321" s="6"/>
      <c r="H321" s="7">
        <v>520.0</v>
      </c>
      <c r="I321" s="7" t="s">
        <v>1083</v>
      </c>
      <c r="K321" s="13" t="str">
        <f>RIGHT(E321,6)</f>
        <v>SL1610</v>
      </c>
      <c r="L321" s="2" t="s">
        <v>1084</v>
      </c>
      <c r="M321" s="15" t="s">
        <v>24</v>
      </c>
      <c r="N321" s="2" t="s">
        <v>60</v>
      </c>
      <c r="O321" s="2">
        <v>1.10751038E8</v>
      </c>
      <c r="P321" s="15"/>
      <c r="Q321" s="8">
        <v>2025.0</v>
      </c>
      <c r="R321" s="8" t="s">
        <v>894</v>
      </c>
    </row>
    <row r="322">
      <c r="A322" s="4" t="s">
        <v>18</v>
      </c>
      <c r="B322" s="13" t="s">
        <v>1085</v>
      </c>
      <c r="C322" s="10">
        <v>45875.0</v>
      </c>
      <c r="D322" s="10">
        <v>45875.0</v>
      </c>
      <c r="E322" s="4" t="s">
        <v>1086</v>
      </c>
      <c r="F322" s="9"/>
      <c r="G322" s="11">
        <v>6326.0</v>
      </c>
      <c r="H322" s="6"/>
      <c r="I322" s="7" t="s">
        <v>1087</v>
      </c>
      <c r="J322" s="2" t="s">
        <v>1079</v>
      </c>
      <c r="K322" s="2" t="s">
        <v>113</v>
      </c>
      <c r="M322" s="2" t="s">
        <v>114</v>
      </c>
      <c r="N322" s="2" t="s">
        <v>1080</v>
      </c>
      <c r="O322" s="2">
        <v>1.10751038E8</v>
      </c>
      <c r="Q322" s="8">
        <v>2025.0</v>
      </c>
      <c r="R322" s="8" t="s">
        <v>894</v>
      </c>
    </row>
    <row r="323">
      <c r="A323" s="4" t="s">
        <v>18</v>
      </c>
      <c r="B323" s="13" t="s">
        <v>1088</v>
      </c>
      <c r="C323" s="10">
        <v>45875.0</v>
      </c>
      <c r="D323" s="10">
        <v>45875.0</v>
      </c>
      <c r="E323" s="4" t="s">
        <v>1089</v>
      </c>
      <c r="F323" s="9"/>
      <c r="G323" s="6"/>
      <c r="H323" s="7">
        <v>900.0</v>
      </c>
      <c r="I323" s="7" t="s">
        <v>1090</v>
      </c>
      <c r="K323" s="13" t="str">
        <f t="shared" ref="K323:K326" si="33">RIGHT(E323,6)</f>
        <v>KN3817</v>
      </c>
      <c r="L323" s="2" t="s">
        <v>1091</v>
      </c>
      <c r="M323" s="15" t="s">
        <v>24</v>
      </c>
      <c r="N323" s="2" t="s">
        <v>60</v>
      </c>
      <c r="O323" s="2">
        <v>1.10751038E8</v>
      </c>
      <c r="P323" s="15"/>
      <c r="Q323" s="8">
        <v>2025.0</v>
      </c>
      <c r="R323" s="8" t="s">
        <v>894</v>
      </c>
    </row>
    <row r="324">
      <c r="A324" s="4" t="s">
        <v>18</v>
      </c>
      <c r="B324" s="13" t="s">
        <v>1092</v>
      </c>
      <c r="C324" s="10">
        <v>45875.0</v>
      </c>
      <c r="D324" s="10">
        <v>45875.0</v>
      </c>
      <c r="E324" s="4" t="s">
        <v>1093</v>
      </c>
      <c r="F324" s="9"/>
      <c r="G324" s="6"/>
      <c r="H324" s="7">
        <v>399.0</v>
      </c>
      <c r="I324" s="7" t="s">
        <v>1094</v>
      </c>
      <c r="K324" s="13" t="str">
        <f t="shared" si="33"/>
        <v>SL1610</v>
      </c>
      <c r="L324" s="2" t="s">
        <v>1095</v>
      </c>
      <c r="M324" s="15" t="s">
        <v>24</v>
      </c>
      <c r="N324" s="2" t="s">
        <v>60</v>
      </c>
      <c r="O324" s="2">
        <v>1.10751038E8</v>
      </c>
      <c r="P324" s="15"/>
      <c r="Q324" s="8">
        <v>2025.0</v>
      </c>
      <c r="R324" s="8" t="s">
        <v>894</v>
      </c>
    </row>
    <row r="325">
      <c r="A325" s="4" t="s">
        <v>18</v>
      </c>
      <c r="B325" s="13" t="s">
        <v>1096</v>
      </c>
      <c r="C325" s="10">
        <v>45875.0</v>
      </c>
      <c r="D325" s="10">
        <v>45875.0</v>
      </c>
      <c r="E325" s="4" t="s">
        <v>1097</v>
      </c>
      <c r="F325" s="9"/>
      <c r="G325" s="6"/>
      <c r="H325" s="7">
        <v>697.0</v>
      </c>
      <c r="I325" s="7" t="s">
        <v>1098</v>
      </c>
      <c r="K325" s="13" t="str">
        <f t="shared" si="33"/>
        <v>UN3668</v>
      </c>
      <c r="L325" s="2" t="s">
        <v>1099</v>
      </c>
      <c r="M325" s="15" t="s">
        <v>24</v>
      </c>
      <c r="N325" s="2" t="s">
        <v>60</v>
      </c>
      <c r="O325" s="2">
        <v>1.10751038E8</v>
      </c>
      <c r="P325" s="15"/>
      <c r="Q325" s="8">
        <v>2025.0</v>
      </c>
      <c r="R325" s="8" t="s">
        <v>894</v>
      </c>
    </row>
    <row r="326">
      <c r="A326" s="4" t="s">
        <v>18</v>
      </c>
      <c r="B326" s="13" t="s">
        <v>1100</v>
      </c>
      <c r="C326" s="10">
        <v>45876.0</v>
      </c>
      <c r="D326" s="10">
        <v>45876.0</v>
      </c>
      <c r="E326" s="4" t="s">
        <v>1101</v>
      </c>
      <c r="F326" s="9"/>
      <c r="G326" s="6"/>
      <c r="H326" s="11">
        <v>1711.0</v>
      </c>
      <c r="I326" s="7" t="s">
        <v>1102</v>
      </c>
      <c r="K326" s="13" t="str">
        <f t="shared" si="33"/>
        <v>SL1610</v>
      </c>
      <c r="L326" s="2" t="s">
        <v>1103</v>
      </c>
      <c r="M326" s="15" t="s">
        <v>24</v>
      </c>
      <c r="N326" s="2" t="s">
        <v>60</v>
      </c>
      <c r="O326" s="2">
        <v>1.10751038E8</v>
      </c>
      <c r="P326" s="15"/>
      <c r="Q326" s="8">
        <v>2025.0</v>
      </c>
      <c r="R326" s="8" t="s">
        <v>894</v>
      </c>
    </row>
    <row r="327">
      <c r="A327" s="4" t="s">
        <v>18</v>
      </c>
      <c r="B327" s="13" t="s">
        <v>1104</v>
      </c>
      <c r="C327" s="10">
        <v>45876.0</v>
      </c>
      <c r="D327" s="10">
        <v>45876.0</v>
      </c>
      <c r="E327" s="4" t="s">
        <v>1105</v>
      </c>
      <c r="F327" s="9"/>
      <c r="G327" s="6"/>
      <c r="H327" s="11">
        <v>1196.0</v>
      </c>
      <c r="I327" s="7" t="s">
        <v>1106</v>
      </c>
      <c r="K327" s="20" t="s">
        <v>113</v>
      </c>
      <c r="L327" s="2" t="s">
        <v>1107</v>
      </c>
      <c r="M327" s="15" t="s">
        <v>24</v>
      </c>
      <c r="N327" s="2" t="s">
        <v>60</v>
      </c>
      <c r="O327" s="2">
        <v>1.10751038E8</v>
      </c>
      <c r="P327" s="15"/>
      <c r="Q327" s="8">
        <v>2025.0</v>
      </c>
      <c r="R327" s="8" t="s">
        <v>894</v>
      </c>
    </row>
    <row r="328">
      <c r="A328" s="4" t="s">
        <v>18</v>
      </c>
      <c r="B328" s="13" t="s">
        <v>1108</v>
      </c>
      <c r="C328" s="10">
        <v>45876.0</v>
      </c>
      <c r="D328" s="10">
        <v>45876.0</v>
      </c>
      <c r="E328" s="4" t="s">
        <v>1109</v>
      </c>
      <c r="F328" s="9"/>
      <c r="G328" s="6"/>
      <c r="H328" s="7">
        <v>315.0</v>
      </c>
      <c r="I328" s="7" t="s">
        <v>1110</v>
      </c>
      <c r="K328" s="13" t="str">
        <f t="shared" ref="K328:K329" si="34">RIGHT(E328,6)</f>
        <v>SL1610</v>
      </c>
      <c r="L328" s="2" t="s">
        <v>1111</v>
      </c>
      <c r="M328" s="15" t="s">
        <v>24</v>
      </c>
      <c r="N328" s="2" t="s">
        <v>60</v>
      </c>
      <c r="O328" s="2">
        <v>1.10751038E8</v>
      </c>
      <c r="P328" s="15"/>
      <c r="Q328" s="8">
        <v>2025.0</v>
      </c>
      <c r="R328" s="8" t="s">
        <v>894</v>
      </c>
    </row>
    <row r="329">
      <c r="A329" s="4" t="s">
        <v>18</v>
      </c>
      <c r="B329" s="13" t="s">
        <v>1112</v>
      </c>
      <c r="C329" s="10">
        <v>45876.0</v>
      </c>
      <c r="D329" s="10">
        <v>45876.0</v>
      </c>
      <c r="E329" s="4" t="s">
        <v>1113</v>
      </c>
      <c r="F329" s="9"/>
      <c r="G329" s="6"/>
      <c r="H329" s="7">
        <v>500.0</v>
      </c>
      <c r="I329" s="7" t="s">
        <v>1114</v>
      </c>
      <c r="K329" s="13" t="str">
        <f t="shared" si="34"/>
        <v>KN3817</v>
      </c>
      <c r="L329" s="2" t="s">
        <v>1115</v>
      </c>
      <c r="M329" s="15" t="s">
        <v>24</v>
      </c>
      <c r="N329" s="2" t="s">
        <v>60</v>
      </c>
      <c r="O329" s="2">
        <v>1.10751038E8</v>
      </c>
      <c r="P329" s="15"/>
      <c r="Q329" s="8">
        <v>2025.0</v>
      </c>
      <c r="R329" s="8" t="s">
        <v>894</v>
      </c>
    </row>
    <row r="330">
      <c r="A330" s="4" t="s">
        <v>18</v>
      </c>
      <c r="B330" s="13" t="s">
        <v>1116</v>
      </c>
      <c r="C330" s="10">
        <v>45876.0</v>
      </c>
      <c r="D330" s="10">
        <v>45876.0</v>
      </c>
      <c r="E330" s="4" t="s">
        <v>1117</v>
      </c>
      <c r="F330" s="9"/>
      <c r="G330" s="11">
        <v>40120.0</v>
      </c>
      <c r="H330" s="6"/>
      <c r="I330" s="7" t="s">
        <v>1118</v>
      </c>
      <c r="J330" s="2" t="s">
        <v>115</v>
      </c>
      <c r="K330" s="2" t="s">
        <v>123</v>
      </c>
      <c r="M330" s="2" t="s">
        <v>114</v>
      </c>
      <c r="N330" s="2" t="s">
        <v>115</v>
      </c>
      <c r="O330" s="2">
        <v>1.10751038E8</v>
      </c>
      <c r="Q330" s="8">
        <v>2025.0</v>
      </c>
      <c r="R330" s="8" t="s">
        <v>894</v>
      </c>
    </row>
    <row r="331">
      <c r="A331" s="4" t="s">
        <v>18</v>
      </c>
      <c r="B331" s="13" t="s">
        <v>1119</v>
      </c>
      <c r="C331" s="10">
        <v>45876.0</v>
      </c>
      <c r="D331" s="10">
        <v>45876.0</v>
      </c>
      <c r="E331" s="4" t="s">
        <v>1120</v>
      </c>
      <c r="F331" s="9"/>
      <c r="G331" s="11">
        <v>27000.0</v>
      </c>
      <c r="H331" s="6"/>
      <c r="I331" s="7" t="s">
        <v>1121</v>
      </c>
      <c r="J331" s="2" t="s">
        <v>115</v>
      </c>
      <c r="K331" s="2" t="s">
        <v>127</v>
      </c>
      <c r="M331" s="2" t="s">
        <v>114</v>
      </c>
      <c r="N331" s="2" t="s">
        <v>115</v>
      </c>
      <c r="O331" s="2">
        <v>1.10751038E8</v>
      </c>
      <c r="Q331" s="8">
        <v>2025.0</v>
      </c>
      <c r="R331" s="8" t="s">
        <v>894</v>
      </c>
    </row>
    <row r="332">
      <c r="A332" s="4" t="s">
        <v>18</v>
      </c>
      <c r="B332" s="13" t="s">
        <v>1122</v>
      </c>
      <c r="C332" s="10">
        <v>45876.0</v>
      </c>
      <c r="D332" s="10">
        <v>45876.0</v>
      </c>
      <c r="E332" s="4" t="s">
        <v>1123</v>
      </c>
      <c r="F332" s="9"/>
      <c r="G332" s="11">
        <v>29000.0</v>
      </c>
      <c r="H332" s="6"/>
      <c r="I332" s="7" t="s">
        <v>1124</v>
      </c>
      <c r="J332" s="2" t="s">
        <v>115</v>
      </c>
      <c r="K332" s="2" t="s">
        <v>113</v>
      </c>
      <c r="M332" s="2" t="s">
        <v>114</v>
      </c>
      <c r="N332" s="2" t="s">
        <v>115</v>
      </c>
      <c r="O332" s="2">
        <v>1.10751038E8</v>
      </c>
      <c r="Q332" s="8">
        <v>2025.0</v>
      </c>
      <c r="R332" s="8" t="s">
        <v>894</v>
      </c>
    </row>
    <row r="333">
      <c r="A333" s="4" t="s">
        <v>18</v>
      </c>
      <c r="B333" s="13" t="s">
        <v>1125</v>
      </c>
      <c r="C333" s="10">
        <v>45876.0</v>
      </c>
      <c r="D333" s="10">
        <v>45876.0</v>
      </c>
      <c r="E333" s="4" t="s">
        <v>1126</v>
      </c>
      <c r="F333" s="9"/>
      <c r="G333" s="11">
        <v>10000.0</v>
      </c>
      <c r="H333" s="6"/>
      <c r="I333" s="7" t="s">
        <v>1127</v>
      </c>
      <c r="J333" s="2" t="s">
        <v>115</v>
      </c>
      <c r="K333" s="2" t="s">
        <v>119</v>
      </c>
      <c r="M333" s="2" t="s">
        <v>114</v>
      </c>
      <c r="N333" s="2" t="s">
        <v>115</v>
      </c>
      <c r="O333" s="2">
        <v>1.10751038E8</v>
      </c>
      <c r="Q333" s="8">
        <v>2025.0</v>
      </c>
      <c r="R333" s="8" t="s">
        <v>894</v>
      </c>
    </row>
    <row r="334">
      <c r="A334" s="4" t="s">
        <v>18</v>
      </c>
      <c r="B334" s="13" t="s">
        <v>1128</v>
      </c>
      <c r="C334" s="10">
        <v>45876.0</v>
      </c>
      <c r="D334" s="10">
        <v>45876.0</v>
      </c>
      <c r="E334" s="4" t="s">
        <v>1129</v>
      </c>
      <c r="F334" s="9"/>
      <c r="G334" s="11">
        <v>13972.95</v>
      </c>
      <c r="H334" s="6"/>
      <c r="I334" s="7" t="s">
        <v>1130</v>
      </c>
      <c r="J334" s="2" t="s">
        <v>220</v>
      </c>
      <c r="K334" s="2" t="s">
        <v>127</v>
      </c>
      <c r="M334" s="2" t="s">
        <v>114</v>
      </c>
      <c r="N334" s="2" t="s">
        <v>220</v>
      </c>
      <c r="O334" s="2">
        <v>1.10751038E8</v>
      </c>
      <c r="Q334" s="8">
        <v>2025.0</v>
      </c>
      <c r="R334" s="8" t="s">
        <v>894</v>
      </c>
    </row>
    <row r="335">
      <c r="A335" s="4" t="s">
        <v>18</v>
      </c>
      <c r="B335" s="13" t="s">
        <v>1131</v>
      </c>
      <c r="C335" s="10">
        <v>45876.0</v>
      </c>
      <c r="D335" s="10">
        <v>45876.0</v>
      </c>
      <c r="E335" s="4" t="s">
        <v>1132</v>
      </c>
      <c r="F335" s="9"/>
      <c r="G335" s="6"/>
      <c r="H335" s="7">
        <v>150.0</v>
      </c>
      <c r="I335" s="7" t="s">
        <v>1133</v>
      </c>
      <c r="K335" s="13" t="str">
        <f>RIGHT(E335,6)</f>
        <v>SC3567</v>
      </c>
      <c r="L335" s="2" t="s">
        <v>1134</v>
      </c>
      <c r="M335" s="2" t="s">
        <v>24</v>
      </c>
      <c r="N335" s="2" t="s">
        <v>60</v>
      </c>
      <c r="O335" s="2">
        <v>1.10751038E8</v>
      </c>
      <c r="P335" s="15"/>
      <c r="Q335" s="8">
        <v>2025.0</v>
      </c>
      <c r="R335" s="8" t="s">
        <v>894</v>
      </c>
    </row>
    <row r="336">
      <c r="A336" s="4" t="s">
        <v>18</v>
      </c>
      <c r="B336" s="13" t="s">
        <v>1135</v>
      </c>
      <c r="C336" s="10">
        <v>45876.0</v>
      </c>
      <c r="D336" s="10">
        <v>45876.0</v>
      </c>
      <c r="E336" s="4" t="s">
        <v>1136</v>
      </c>
      <c r="F336" s="9"/>
      <c r="G336" s="11">
        <v>14750.0</v>
      </c>
      <c r="I336" s="7" t="s">
        <v>1137</v>
      </c>
      <c r="J336" s="21" t="s">
        <v>1138</v>
      </c>
      <c r="K336" s="2" t="s">
        <v>127</v>
      </c>
      <c r="M336" s="2" t="s">
        <v>114</v>
      </c>
      <c r="N336" s="18" t="s">
        <v>169</v>
      </c>
      <c r="O336" s="2">
        <v>1.10751038E8</v>
      </c>
      <c r="Q336" s="8">
        <v>2025.0</v>
      </c>
      <c r="R336" s="8" t="s">
        <v>894</v>
      </c>
    </row>
    <row r="337">
      <c r="A337" s="4" t="s">
        <v>18</v>
      </c>
      <c r="B337" s="13" t="s">
        <v>1139</v>
      </c>
      <c r="C337" s="10">
        <v>45876.0</v>
      </c>
      <c r="D337" s="10">
        <v>45876.0</v>
      </c>
      <c r="E337" s="4" t="s">
        <v>1140</v>
      </c>
      <c r="F337" s="9"/>
      <c r="G337" s="11">
        <v>5283.0</v>
      </c>
      <c r="I337" s="7" t="s">
        <v>1141</v>
      </c>
      <c r="J337" s="21" t="s">
        <v>1142</v>
      </c>
      <c r="K337" s="2" t="s">
        <v>123</v>
      </c>
      <c r="M337" s="2" t="s">
        <v>114</v>
      </c>
      <c r="N337" s="18" t="s">
        <v>169</v>
      </c>
      <c r="O337" s="2">
        <v>1.10751038E8</v>
      </c>
      <c r="Q337" s="8">
        <v>2025.0</v>
      </c>
      <c r="R337" s="8" t="s">
        <v>894</v>
      </c>
    </row>
    <row r="338">
      <c r="A338" s="4" t="s">
        <v>18</v>
      </c>
      <c r="B338" s="13" t="s">
        <v>1143</v>
      </c>
      <c r="C338" s="10">
        <v>45876.0</v>
      </c>
      <c r="D338" s="10">
        <v>45876.0</v>
      </c>
      <c r="E338" s="4" t="s">
        <v>1144</v>
      </c>
      <c r="F338" s="9"/>
      <c r="G338" s="11">
        <v>7825.0</v>
      </c>
      <c r="H338" s="6"/>
      <c r="I338" s="7" t="s">
        <v>1145</v>
      </c>
      <c r="J338" s="2" t="s">
        <v>1146</v>
      </c>
      <c r="K338" s="2" t="s">
        <v>127</v>
      </c>
      <c r="M338" s="2" t="s">
        <v>114</v>
      </c>
      <c r="N338" s="18" t="s">
        <v>169</v>
      </c>
      <c r="O338" s="2">
        <v>1.10751038E8</v>
      </c>
      <c r="Q338" s="8">
        <v>2025.0</v>
      </c>
      <c r="R338" s="8" t="s">
        <v>894</v>
      </c>
    </row>
    <row r="339">
      <c r="A339" s="4" t="s">
        <v>18</v>
      </c>
      <c r="B339" s="13" t="s">
        <v>1147</v>
      </c>
      <c r="C339" s="10">
        <v>45876.0</v>
      </c>
      <c r="D339" s="10">
        <v>45876.0</v>
      </c>
      <c r="E339" s="4" t="s">
        <v>1148</v>
      </c>
      <c r="F339" s="9"/>
      <c r="G339" s="11">
        <v>4933.0</v>
      </c>
      <c r="H339" s="6"/>
      <c r="I339" s="7" t="s">
        <v>1149</v>
      </c>
      <c r="J339" s="2" t="s">
        <v>1150</v>
      </c>
      <c r="K339" s="2" t="s">
        <v>119</v>
      </c>
      <c r="M339" s="2" t="s">
        <v>114</v>
      </c>
      <c r="N339" s="18" t="s">
        <v>169</v>
      </c>
      <c r="O339" s="2">
        <v>1.10751038E8</v>
      </c>
      <c r="Q339" s="8">
        <v>2025.0</v>
      </c>
      <c r="R339" s="8" t="s">
        <v>894</v>
      </c>
    </row>
    <row r="340">
      <c r="A340" s="4" t="s">
        <v>18</v>
      </c>
      <c r="B340" s="13" t="s">
        <v>1151</v>
      </c>
      <c r="C340" s="10">
        <v>45876.0</v>
      </c>
      <c r="D340" s="10">
        <v>45876.0</v>
      </c>
      <c r="E340" s="4" t="s">
        <v>1152</v>
      </c>
      <c r="F340" s="9"/>
      <c r="G340" s="11">
        <v>20000.0</v>
      </c>
      <c r="I340" s="7" t="s">
        <v>1153</v>
      </c>
      <c r="J340" s="21" t="s">
        <v>1154</v>
      </c>
      <c r="K340" s="1" t="s">
        <v>23</v>
      </c>
      <c r="M340" s="2" t="s">
        <v>114</v>
      </c>
      <c r="N340" s="18" t="s">
        <v>169</v>
      </c>
      <c r="O340" s="2">
        <v>1.10751038E8</v>
      </c>
      <c r="Q340" s="8">
        <v>2025.0</v>
      </c>
      <c r="R340" s="8" t="s">
        <v>894</v>
      </c>
    </row>
    <row r="341">
      <c r="A341" s="4" t="s">
        <v>18</v>
      </c>
      <c r="B341" s="13" t="s">
        <v>1155</v>
      </c>
      <c r="C341" s="10">
        <v>45876.0</v>
      </c>
      <c r="D341" s="10">
        <v>45876.0</v>
      </c>
      <c r="E341" s="4" t="s">
        <v>1156</v>
      </c>
      <c r="F341" s="9"/>
      <c r="G341" s="11">
        <v>13874.0</v>
      </c>
      <c r="I341" s="7" t="s">
        <v>1157</v>
      </c>
      <c r="J341" s="21" t="s">
        <v>1158</v>
      </c>
      <c r="K341" s="2" t="s">
        <v>113</v>
      </c>
      <c r="M341" s="2" t="s">
        <v>114</v>
      </c>
      <c r="N341" s="18" t="s">
        <v>169</v>
      </c>
      <c r="O341" s="2">
        <v>1.10751038E8</v>
      </c>
      <c r="Q341" s="8">
        <v>2025.0</v>
      </c>
      <c r="R341" s="8" t="s">
        <v>894</v>
      </c>
    </row>
    <row r="342">
      <c r="A342" s="4" t="s">
        <v>18</v>
      </c>
      <c r="B342" s="13" t="s">
        <v>1159</v>
      </c>
      <c r="C342" s="10">
        <v>45876.0</v>
      </c>
      <c r="D342" s="10">
        <v>45876.0</v>
      </c>
      <c r="E342" s="4" t="s">
        <v>1160</v>
      </c>
      <c r="F342" s="9"/>
      <c r="G342" s="11">
        <v>12079.0</v>
      </c>
      <c r="I342" s="7" t="s">
        <v>1161</v>
      </c>
      <c r="J342" s="21" t="s">
        <v>1162</v>
      </c>
      <c r="K342" s="2" t="s">
        <v>113</v>
      </c>
      <c r="M342" s="2" t="s">
        <v>114</v>
      </c>
      <c r="N342" s="18" t="s">
        <v>169</v>
      </c>
      <c r="O342" s="2">
        <v>1.10751038E8</v>
      </c>
      <c r="Q342" s="8">
        <v>2025.0</v>
      </c>
      <c r="R342" s="8" t="s">
        <v>894</v>
      </c>
    </row>
    <row r="343">
      <c r="A343" s="4" t="s">
        <v>18</v>
      </c>
      <c r="B343" s="13" t="s">
        <v>1163</v>
      </c>
      <c r="C343" s="10">
        <v>45876.0</v>
      </c>
      <c r="D343" s="10">
        <v>45876.0</v>
      </c>
      <c r="E343" s="4" t="s">
        <v>1164</v>
      </c>
      <c r="F343" s="9"/>
      <c r="G343" s="11">
        <v>14596.0</v>
      </c>
      <c r="I343" s="7" t="s">
        <v>1165</v>
      </c>
      <c r="J343" s="21" t="s">
        <v>1166</v>
      </c>
      <c r="K343" s="2" t="s">
        <v>113</v>
      </c>
      <c r="M343" s="2" t="s">
        <v>114</v>
      </c>
      <c r="N343" s="18" t="s">
        <v>169</v>
      </c>
      <c r="O343" s="2">
        <v>1.10751038E8</v>
      </c>
      <c r="Q343" s="8">
        <v>2025.0</v>
      </c>
      <c r="R343" s="8" t="s">
        <v>894</v>
      </c>
    </row>
    <row r="344">
      <c r="A344" s="4" t="s">
        <v>18</v>
      </c>
      <c r="B344" s="13" t="s">
        <v>1167</v>
      </c>
      <c r="C344" s="10">
        <v>45876.0</v>
      </c>
      <c r="D344" s="10">
        <v>45876.0</v>
      </c>
      <c r="E344" s="4" t="s">
        <v>1168</v>
      </c>
      <c r="F344" s="9"/>
      <c r="G344" s="11">
        <v>9067.0</v>
      </c>
      <c r="I344" s="7" t="s">
        <v>1169</v>
      </c>
      <c r="J344" s="21" t="s">
        <v>1170</v>
      </c>
      <c r="K344" s="2" t="s">
        <v>127</v>
      </c>
      <c r="M344" s="2" t="s">
        <v>114</v>
      </c>
      <c r="N344" s="18" t="s">
        <v>169</v>
      </c>
      <c r="O344" s="2">
        <v>1.10751038E8</v>
      </c>
      <c r="Q344" s="8">
        <v>2025.0</v>
      </c>
      <c r="R344" s="8" t="s">
        <v>894</v>
      </c>
    </row>
    <row r="345">
      <c r="A345" s="4" t="s">
        <v>18</v>
      </c>
      <c r="B345" s="13" t="s">
        <v>1171</v>
      </c>
      <c r="C345" s="10">
        <v>45876.0</v>
      </c>
      <c r="D345" s="10">
        <v>45876.0</v>
      </c>
      <c r="E345" s="4" t="s">
        <v>1172</v>
      </c>
      <c r="F345" s="9"/>
      <c r="G345" s="11">
        <v>14545.0</v>
      </c>
      <c r="H345" s="6"/>
      <c r="I345" s="7" t="s">
        <v>1173</v>
      </c>
      <c r="J345" s="2" t="s">
        <v>220</v>
      </c>
      <c r="K345" s="2" t="s">
        <v>113</v>
      </c>
      <c r="M345" s="2" t="s">
        <v>114</v>
      </c>
      <c r="N345" s="18" t="s">
        <v>220</v>
      </c>
      <c r="O345" s="2">
        <v>1.10751038E8</v>
      </c>
      <c r="Q345" s="8">
        <v>2025.0</v>
      </c>
      <c r="R345" s="8" t="s">
        <v>894</v>
      </c>
    </row>
    <row r="346">
      <c r="A346" s="4" t="s">
        <v>18</v>
      </c>
      <c r="B346" s="13" t="s">
        <v>1174</v>
      </c>
      <c r="C346" s="10">
        <v>45876.0</v>
      </c>
      <c r="D346" s="10">
        <v>45876.0</v>
      </c>
      <c r="E346" s="4" t="s">
        <v>1175</v>
      </c>
      <c r="F346" s="9"/>
      <c r="G346" s="6"/>
      <c r="H346" s="7">
        <v>350.0</v>
      </c>
      <c r="I346" s="7" t="s">
        <v>1176</v>
      </c>
      <c r="K346" s="12" t="str">
        <f t="shared" ref="K346:K355" si="35">RIGHT(E346,6)</f>
        <v>UN3668</v>
      </c>
      <c r="L346" s="2" t="s">
        <v>1177</v>
      </c>
      <c r="M346" s="2" t="s">
        <v>24</v>
      </c>
      <c r="N346" s="2" t="s">
        <v>60</v>
      </c>
      <c r="O346" s="2">
        <v>1.10751038E8</v>
      </c>
      <c r="P346" s="15"/>
      <c r="Q346" s="8">
        <v>2025.0</v>
      </c>
      <c r="R346" s="8" t="s">
        <v>894</v>
      </c>
    </row>
    <row r="347">
      <c r="A347" s="4" t="s">
        <v>18</v>
      </c>
      <c r="B347" s="13" t="s">
        <v>1178</v>
      </c>
      <c r="C347" s="10">
        <v>45877.0</v>
      </c>
      <c r="D347" s="10">
        <v>45877.0</v>
      </c>
      <c r="E347" s="4" t="s">
        <v>1179</v>
      </c>
      <c r="F347" s="9"/>
      <c r="G347" s="6"/>
      <c r="H347" s="7">
        <v>396.0</v>
      </c>
      <c r="I347" s="7" t="s">
        <v>1180</v>
      </c>
      <c r="K347" s="12" t="str">
        <f t="shared" si="35"/>
        <v>UN3668</v>
      </c>
      <c r="L347" s="2" t="s">
        <v>1181</v>
      </c>
      <c r="M347" s="2" t="s">
        <v>24</v>
      </c>
      <c r="N347" s="2" t="s">
        <v>60</v>
      </c>
      <c r="O347" s="2">
        <v>1.10751038E8</v>
      </c>
      <c r="P347" s="15"/>
      <c r="Q347" s="8">
        <v>2025.0</v>
      </c>
      <c r="R347" s="8" t="s">
        <v>894</v>
      </c>
    </row>
    <row r="348">
      <c r="A348" s="4" t="s">
        <v>18</v>
      </c>
      <c r="B348" s="13" t="s">
        <v>1182</v>
      </c>
      <c r="C348" s="10">
        <v>45877.0</v>
      </c>
      <c r="D348" s="10">
        <v>45877.0</v>
      </c>
      <c r="E348" s="4" t="s">
        <v>1183</v>
      </c>
      <c r="F348" s="9"/>
      <c r="G348" s="6"/>
      <c r="H348" s="7">
        <v>200.0</v>
      </c>
      <c r="I348" s="7" t="s">
        <v>1184</v>
      </c>
      <c r="K348" s="12" t="str">
        <f t="shared" si="35"/>
        <v>SC3567</v>
      </c>
      <c r="L348" s="2" t="s">
        <v>399</v>
      </c>
      <c r="M348" s="2" t="s">
        <v>24</v>
      </c>
      <c r="N348" s="2" t="s">
        <v>60</v>
      </c>
      <c r="O348" s="2">
        <v>1.10751038E8</v>
      </c>
      <c r="P348" s="15"/>
      <c r="Q348" s="8">
        <v>2025.0</v>
      </c>
      <c r="R348" s="8" t="s">
        <v>894</v>
      </c>
    </row>
    <row r="349">
      <c r="A349" s="4" t="s">
        <v>18</v>
      </c>
      <c r="B349" s="13" t="s">
        <v>1185</v>
      </c>
      <c r="C349" s="10">
        <v>45877.0</v>
      </c>
      <c r="D349" s="10">
        <v>45877.0</v>
      </c>
      <c r="E349" s="4" t="s">
        <v>1186</v>
      </c>
      <c r="F349" s="9"/>
      <c r="G349" s="6"/>
      <c r="H349" s="11">
        <v>1108.0</v>
      </c>
      <c r="I349" s="7" t="s">
        <v>1187</v>
      </c>
      <c r="K349" s="12" t="str">
        <f t="shared" si="35"/>
        <v>UN3668</v>
      </c>
      <c r="L349" s="2" t="s">
        <v>1188</v>
      </c>
      <c r="M349" s="2" t="s">
        <v>24</v>
      </c>
      <c r="N349" s="2" t="s">
        <v>60</v>
      </c>
      <c r="O349" s="2">
        <v>1.10751038E8</v>
      </c>
      <c r="P349" s="15"/>
      <c r="Q349" s="8">
        <v>2025.0</v>
      </c>
      <c r="R349" s="8" t="s">
        <v>894</v>
      </c>
    </row>
    <row r="350">
      <c r="A350" s="4" t="s">
        <v>18</v>
      </c>
      <c r="B350" s="13" t="s">
        <v>1189</v>
      </c>
      <c r="C350" s="10">
        <v>45877.0</v>
      </c>
      <c r="D350" s="10">
        <v>45877.0</v>
      </c>
      <c r="E350" s="4" t="s">
        <v>1190</v>
      </c>
      <c r="F350" s="9"/>
      <c r="G350" s="6"/>
      <c r="H350" s="11">
        <v>1504.0</v>
      </c>
      <c r="I350" s="7" t="s">
        <v>1191</v>
      </c>
      <c r="K350" s="12" t="str">
        <f t="shared" si="35"/>
        <v>UN3668</v>
      </c>
      <c r="L350" s="2" t="s">
        <v>1192</v>
      </c>
      <c r="M350" s="2" t="s">
        <v>24</v>
      </c>
      <c r="N350" s="2" t="s">
        <v>60</v>
      </c>
      <c r="O350" s="2">
        <v>1.10751038E8</v>
      </c>
      <c r="P350" s="15"/>
      <c r="Q350" s="8">
        <v>2025.0</v>
      </c>
      <c r="R350" s="8" t="s">
        <v>894</v>
      </c>
    </row>
    <row r="351">
      <c r="A351" s="4" t="s">
        <v>18</v>
      </c>
      <c r="B351" s="13" t="s">
        <v>1193</v>
      </c>
      <c r="C351" s="10">
        <v>45877.0</v>
      </c>
      <c r="D351" s="10">
        <v>45877.0</v>
      </c>
      <c r="E351" s="4" t="s">
        <v>1194</v>
      </c>
      <c r="F351" s="9"/>
      <c r="G351" s="11">
        <v>16435.0</v>
      </c>
      <c r="H351" s="6"/>
      <c r="I351" s="7" t="s">
        <v>1195</v>
      </c>
      <c r="J351" s="2" t="s">
        <v>1196</v>
      </c>
      <c r="K351" s="12" t="str">
        <f t="shared" si="35"/>
        <v>SL1610</v>
      </c>
      <c r="M351" s="2" t="s">
        <v>114</v>
      </c>
      <c r="N351" s="18" t="s">
        <v>169</v>
      </c>
      <c r="O351" s="2">
        <v>1.10751038E8</v>
      </c>
      <c r="Q351" s="8">
        <v>2025.0</v>
      </c>
      <c r="R351" s="8" t="s">
        <v>894</v>
      </c>
    </row>
    <row r="352">
      <c r="A352" s="4" t="s">
        <v>18</v>
      </c>
      <c r="B352" s="13" t="s">
        <v>1197</v>
      </c>
      <c r="C352" s="10">
        <v>45877.0</v>
      </c>
      <c r="D352" s="10">
        <v>45877.0</v>
      </c>
      <c r="E352" s="4" t="s">
        <v>1198</v>
      </c>
      <c r="F352" s="9"/>
      <c r="G352" s="11">
        <v>16420.0</v>
      </c>
      <c r="H352" s="6"/>
      <c r="I352" s="7" t="s">
        <v>1199</v>
      </c>
      <c r="J352" s="2" t="s">
        <v>1200</v>
      </c>
      <c r="K352" s="12" t="str">
        <f t="shared" si="35"/>
        <v>KN3817</v>
      </c>
      <c r="M352" s="2" t="s">
        <v>114</v>
      </c>
      <c r="N352" s="18" t="s">
        <v>169</v>
      </c>
      <c r="O352" s="2">
        <v>1.10751038E8</v>
      </c>
      <c r="Q352" s="8">
        <v>2025.0</v>
      </c>
      <c r="R352" s="8" t="s">
        <v>894</v>
      </c>
    </row>
    <row r="353">
      <c r="A353" s="4" t="s">
        <v>18</v>
      </c>
      <c r="B353" s="13" t="s">
        <v>1201</v>
      </c>
      <c r="C353" s="10">
        <v>45877.0</v>
      </c>
      <c r="D353" s="10">
        <v>45877.0</v>
      </c>
      <c r="E353" s="4" t="s">
        <v>1202</v>
      </c>
      <c r="F353" s="9"/>
      <c r="G353" s="11">
        <v>12667.0</v>
      </c>
      <c r="H353" s="6"/>
      <c r="I353" s="7" t="s">
        <v>1203</v>
      </c>
      <c r="J353" s="2" t="s">
        <v>1204</v>
      </c>
      <c r="K353" s="12" t="str">
        <f t="shared" si="35"/>
        <v>KN3817</v>
      </c>
      <c r="M353" s="2" t="s">
        <v>114</v>
      </c>
      <c r="N353" s="18" t="s">
        <v>169</v>
      </c>
      <c r="O353" s="2">
        <v>1.10751038E8</v>
      </c>
      <c r="Q353" s="8">
        <v>2025.0</v>
      </c>
      <c r="R353" s="8" t="s">
        <v>894</v>
      </c>
    </row>
    <row r="354">
      <c r="A354" s="4" t="s">
        <v>18</v>
      </c>
      <c r="B354" s="13" t="s">
        <v>1205</v>
      </c>
      <c r="C354" s="10">
        <v>45877.0</v>
      </c>
      <c r="D354" s="10">
        <v>45877.0</v>
      </c>
      <c r="E354" s="4" t="s">
        <v>1206</v>
      </c>
      <c r="F354" s="9"/>
      <c r="G354" s="11">
        <v>15263.0</v>
      </c>
      <c r="H354" s="6"/>
      <c r="I354" s="7" t="s">
        <v>1207</v>
      </c>
      <c r="J354" s="2" t="s">
        <v>1208</v>
      </c>
      <c r="K354" s="12" t="str">
        <f t="shared" si="35"/>
        <v>UN3668</v>
      </c>
      <c r="M354" s="2" t="s">
        <v>114</v>
      </c>
      <c r="N354" s="18" t="s">
        <v>169</v>
      </c>
      <c r="O354" s="2">
        <v>1.10751038E8</v>
      </c>
      <c r="Q354" s="8">
        <v>2025.0</v>
      </c>
      <c r="R354" s="8" t="s">
        <v>894</v>
      </c>
    </row>
    <row r="355">
      <c r="A355" s="4" t="s">
        <v>18</v>
      </c>
      <c r="B355" s="13" t="s">
        <v>1209</v>
      </c>
      <c r="C355" s="10">
        <v>45877.0</v>
      </c>
      <c r="D355" s="10">
        <v>45877.0</v>
      </c>
      <c r="E355" s="4" t="s">
        <v>1210</v>
      </c>
      <c r="F355" s="9"/>
      <c r="G355" s="11">
        <v>15675.0</v>
      </c>
      <c r="H355" s="6"/>
      <c r="I355" s="7" t="s">
        <v>1211</v>
      </c>
      <c r="J355" s="2" t="s">
        <v>1212</v>
      </c>
      <c r="K355" s="12" t="str">
        <f t="shared" si="35"/>
        <v>UN3668</v>
      </c>
      <c r="M355" s="2" t="s">
        <v>114</v>
      </c>
      <c r="N355" s="18" t="s">
        <v>169</v>
      </c>
      <c r="O355" s="2">
        <v>1.10751038E8</v>
      </c>
      <c r="Q355" s="8">
        <v>2025.0</v>
      </c>
      <c r="R355" s="8" t="s">
        <v>894</v>
      </c>
    </row>
    <row r="356">
      <c r="A356" s="4" t="s">
        <v>18</v>
      </c>
      <c r="B356" s="13" t="s">
        <v>1213</v>
      </c>
      <c r="C356" s="10">
        <v>45877.0</v>
      </c>
      <c r="D356" s="10">
        <v>45877.0</v>
      </c>
      <c r="E356" s="4" t="s">
        <v>1214</v>
      </c>
      <c r="F356" s="9"/>
      <c r="G356" s="6"/>
      <c r="H356" s="7">
        <v>770.0</v>
      </c>
      <c r="I356" s="7" t="s">
        <v>1215</v>
      </c>
      <c r="K356" s="2" t="s">
        <v>539</v>
      </c>
      <c r="M356" s="2" t="s">
        <v>24</v>
      </c>
      <c r="N356" s="2" t="s">
        <v>60</v>
      </c>
      <c r="O356" s="2">
        <v>1.10751038E8</v>
      </c>
      <c r="P356" s="15" t="str">
        <f>IFERROR(__xludf.DUMMYFUNCTION("CONCATENATE(B356,"", "", to_text(D356),"", "", E356,"", "", H356)"),"TSV-08-0085, 08-Aug-2025, UPI/CR/109455083486/AKARSH/KKBK/akarsh./PAY BY, 770")</f>
        <v>TSV-08-0085, 08-Aug-2025, UPI/CR/109455083486/AKARSH/KKBK/akarsh./PAY BY, 770</v>
      </c>
      <c r="Q356" s="8">
        <v>2025.0</v>
      </c>
      <c r="R356" s="8" t="s">
        <v>894</v>
      </c>
    </row>
    <row r="357">
      <c r="A357" s="4" t="s">
        <v>18</v>
      </c>
      <c r="B357" s="13" t="s">
        <v>1216</v>
      </c>
      <c r="C357" s="10">
        <v>45877.0</v>
      </c>
      <c r="D357" s="10">
        <v>45877.0</v>
      </c>
      <c r="E357" s="4" t="s">
        <v>1217</v>
      </c>
      <c r="F357" s="9"/>
      <c r="G357" s="6"/>
      <c r="H357" s="11">
        <v>15675.0</v>
      </c>
      <c r="I357" s="7" t="s">
        <v>1218</v>
      </c>
      <c r="K357" s="1" t="s">
        <v>23</v>
      </c>
      <c r="L357" s="2" t="s">
        <v>730</v>
      </c>
      <c r="M357" s="2" t="s">
        <v>24</v>
      </c>
      <c r="N357" s="2" t="s">
        <v>731</v>
      </c>
      <c r="O357" s="2">
        <v>1.10751038E8</v>
      </c>
      <c r="Q357" s="8">
        <v>2025.0</v>
      </c>
      <c r="R357" s="8" t="s">
        <v>894</v>
      </c>
    </row>
    <row r="358">
      <c r="A358" s="4" t="s">
        <v>18</v>
      </c>
      <c r="B358" s="13" t="s">
        <v>1219</v>
      </c>
      <c r="C358" s="10">
        <v>45877.0</v>
      </c>
      <c r="D358" s="10">
        <v>45877.0</v>
      </c>
      <c r="E358" s="4" t="s">
        <v>1220</v>
      </c>
      <c r="F358" s="9"/>
      <c r="G358" s="6"/>
      <c r="H358" s="11">
        <v>1980.0</v>
      </c>
      <c r="I358" s="7" t="s">
        <v>1221</v>
      </c>
      <c r="K358" s="12" t="str">
        <f>RIGHT(E358,6)</f>
        <v>KN3817</v>
      </c>
      <c r="L358" s="2" t="s">
        <v>1222</v>
      </c>
      <c r="M358" s="2" t="s">
        <v>24</v>
      </c>
      <c r="N358" s="2" t="s">
        <v>60</v>
      </c>
      <c r="O358" s="2">
        <v>1.10751038E8</v>
      </c>
      <c r="P358" s="15"/>
      <c r="Q358" s="8">
        <v>2025.0</v>
      </c>
      <c r="R358" s="8" t="s">
        <v>894</v>
      </c>
    </row>
    <row r="359">
      <c r="A359" s="4" t="s">
        <v>18</v>
      </c>
      <c r="B359" s="13" t="s">
        <v>1223</v>
      </c>
      <c r="C359" s="10">
        <v>45877.0</v>
      </c>
      <c r="D359" s="10">
        <v>45877.0</v>
      </c>
      <c r="E359" s="4" t="s">
        <v>1224</v>
      </c>
      <c r="F359" s="9"/>
      <c r="G359" s="6"/>
      <c r="H359" s="11">
        <v>16420.0</v>
      </c>
      <c r="I359" s="7" t="s">
        <v>1225</v>
      </c>
      <c r="K359" s="1" t="s">
        <v>23</v>
      </c>
      <c r="L359" s="2" t="s">
        <v>730</v>
      </c>
      <c r="M359" s="2" t="s">
        <v>24</v>
      </c>
      <c r="N359" s="2" t="s">
        <v>731</v>
      </c>
      <c r="O359" s="2">
        <v>1.10751038E8</v>
      </c>
      <c r="Q359" s="8">
        <v>2025.0</v>
      </c>
      <c r="R359" s="8" t="s">
        <v>894</v>
      </c>
    </row>
    <row r="360">
      <c r="A360" s="4" t="s">
        <v>18</v>
      </c>
      <c r="B360" s="13" t="s">
        <v>1226</v>
      </c>
      <c r="C360" s="10">
        <v>45877.0</v>
      </c>
      <c r="D360" s="10">
        <v>45877.0</v>
      </c>
      <c r="E360" s="4" t="s">
        <v>1227</v>
      </c>
      <c r="F360" s="9"/>
      <c r="G360" s="11">
        <v>15675.0</v>
      </c>
      <c r="H360" s="6"/>
      <c r="I360" s="7" t="s">
        <v>1228</v>
      </c>
      <c r="J360" s="2" t="s">
        <v>1229</v>
      </c>
      <c r="K360" s="12" t="str">
        <f t="shared" ref="K360:K391" si="36">RIGHT(E360,6)</f>
        <v>UN3668</v>
      </c>
      <c r="M360" s="2" t="s">
        <v>114</v>
      </c>
      <c r="N360" s="18" t="s">
        <v>169</v>
      </c>
      <c r="O360" s="2">
        <v>1.10751038E8</v>
      </c>
      <c r="Q360" s="8">
        <v>2025.0</v>
      </c>
      <c r="R360" s="8" t="s">
        <v>894</v>
      </c>
    </row>
    <row r="361">
      <c r="A361" s="4" t="s">
        <v>18</v>
      </c>
      <c r="B361" s="13" t="s">
        <v>1230</v>
      </c>
      <c r="C361" s="10">
        <v>45877.0</v>
      </c>
      <c r="D361" s="10">
        <v>45877.0</v>
      </c>
      <c r="E361" s="4" t="s">
        <v>1231</v>
      </c>
      <c r="F361" s="9"/>
      <c r="G361" s="6"/>
      <c r="H361" s="7">
        <v>107.0</v>
      </c>
      <c r="I361" s="7" t="s">
        <v>1232</v>
      </c>
      <c r="K361" s="12" t="str">
        <f t="shared" si="36"/>
        <v>SC3567</v>
      </c>
      <c r="L361" s="2" t="s">
        <v>1233</v>
      </c>
      <c r="M361" s="2" t="s">
        <v>24</v>
      </c>
      <c r="N361" s="2" t="s">
        <v>60</v>
      </c>
      <c r="O361" s="2">
        <v>1.10751038E8</v>
      </c>
      <c r="P361" s="15"/>
      <c r="Q361" s="8">
        <v>2025.0</v>
      </c>
      <c r="R361" s="8" t="s">
        <v>894</v>
      </c>
    </row>
    <row r="362">
      <c r="A362" s="4" t="s">
        <v>18</v>
      </c>
      <c r="B362" s="13" t="s">
        <v>1234</v>
      </c>
      <c r="C362" s="10">
        <v>45877.0</v>
      </c>
      <c r="D362" s="10">
        <v>45877.0</v>
      </c>
      <c r="E362" s="4" t="s">
        <v>1235</v>
      </c>
      <c r="F362" s="9"/>
      <c r="G362" s="6"/>
      <c r="H362" s="7">
        <v>322.0</v>
      </c>
      <c r="I362" s="7" t="s">
        <v>1236</v>
      </c>
      <c r="K362" s="12" t="str">
        <f t="shared" si="36"/>
        <v>SC3567</v>
      </c>
      <c r="L362" s="2" t="s">
        <v>1237</v>
      </c>
      <c r="M362" s="2" t="s">
        <v>24</v>
      </c>
      <c r="N362" s="2" t="s">
        <v>60</v>
      </c>
      <c r="O362" s="2">
        <v>1.10751038E8</v>
      </c>
      <c r="P362" s="15"/>
      <c r="Q362" s="8">
        <v>2025.0</v>
      </c>
      <c r="R362" s="8" t="s">
        <v>894</v>
      </c>
    </row>
    <row r="363">
      <c r="A363" s="4" t="s">
        <v>18</v>
      </c>
      <c r="B363" s="13" t="s">
        <v>1238</v>
      </c>
      <c r="C363" s="10">
        <v>45877.0</v>
      </c>
      <c r="D363" s="10">
        <v>45877.0</v>
      </c>
      <c r="E363" s="4" t="s">
        <v>1239</v>
      </c>
      <c r="F363" s="9"/>
      <c r="G363" s="6"/>
      <c r="H363" s="7">
        <v>290.0</v>
      </c>
      <c r="I363" s="7" t="s">
        <v>1240</v>
      </c>
      <c r="K363" s="12" t="str">
        <f t="shared" si="36"/>
        <v>SC3567</v>
      </c>
      <c r="L363" s="2" t="s">
        <v>1241</v>
      </c>
      <c r="M363" s="2" t="s">
        <v>24</v>
      </c>
      <c r="N363" s="2" t="s">
        <v>60</v>
      </c>
      <c r="O363" s="2">
        <v>1.10751038E8</v>
      </c>
      <c r="P363" s="15"/>
      <c r="Q363" s="8">
        <v>2025.0</v>
      </c>
      <c r="R363" s="8" t="s">
        <v>894</v>
      </c>
    </row>
    <row r="364">
      <c r="A364" s="4" t="s">
        <v>18</v>
      </c>
      <c r="B364" s="13" t="s">
        <v>1242</v>
      </c>
      <c r="C364" s="10">
        <v>45877.0</v>
      </c>
      <c r="D364" s="10">
        <v>45877.0</v>
      </c>
      <c r="E364" s="4" t="s">
        <v>1243</v>
      </c>
      <c r="F364" s="9"/>
      <c r="G364" s="6"/>
      <c r="H364" s="11">
        <v>15675.0</v>
      </c>
      <c r="I364" s="7" t="s">
        <v>1244</v>
      </c>
      <c r="K364" s="12" t="str">
        <f t="shared" si="36"/>
        <v>UN3668</v>
      </c>
      <c r="L364" s="2" t="s">
        <v>730</v>
      </c>
      <c r="M364" s="2" t="s">
        <v>24</v>
      </c>
      <c r="N364" s="2" t="s">
        <v>731</v>
      </c>
      <c r="O364" s="2">
        <v>1.10751038E8</v>
      </c>
      <c r="Q364" s="8">
        <v>2025.0</v>
      </c>
      <c r="R364" s="8" t="s">
        <v>894</v>
      </c>
    </row>
    <row r="365">
      <c r="A365" s="4" t="s">
        <v>18</v>
      </c>
      <c r="B365" s="13" t="s">
        <v>1245</v>
      </c>
      <c r="C365" s="10">
        <v>45877.0</v>
      </c>
      <c r="D365" s="10">
        <v>45877.0</v>
      </c>
      <c r="E365" s="4" t="s">
        <v>1246</v>
      </c>
      <c r="F365" s="9"/>
      <c r="G365" s="11">
        <v>16420.0</v>
      </c>
      <c r="H365" s="6"/>
      <c r="I365" s="7" t="s">
        <v>1247</v>
      </c>
      <c r="J365" s="2" t="s">
        <v>1200</v>
      </c>
      <c r="K365" s="12" t="str">
        <f t="shared" si="36"/>
        <v>KN3817</v>
      </c>
      <c r="M365" s="2" t="s">
        <v>114</v>
      </c>
      <c r="N365" s="18" t="s">
        <v>169</v>
      </c>
      <c r="O365" s="2">
        <v>1.10751038E8</v>
      </c>
      <c r="Q365" s="8">
        <v>2025.0</v>
      </c>
      <c r="R365" s="8" t="s">
        <v>894</v>
      </c>
    </row>
    <row r="366">
      <c r="A366" s="4" t="s">
        <v>18</v>
      </c>
      <c r="B366" s="13" t="s">
        <v>1248</v>
      </c>
      <c r="C366" s="10">
        <v>45877.0</v>
      </c>
      <c r="D366" s="10">
        <v>45877.0</v>
      </c>
      <c r="E366" s="4" t="s">
        <v>1249</v>
      </c>
      <c r="F366" s="9"/>
      <c r="G366" s="11">
        <v>15675.0</v>
      </c>
      <c r="H366" s="6"/>
      <c r="I366" s="7" t="s">
        <v>1250</v>
      </c>
      <c r="J366" s="2" t="s">
        <v>1212</v>
      </c>
      <c r="K366" s="12" t="str">
        <f t="shared" si="36"/>
        <v>UN3668</v>
      </c>
      <c r="M366" s="2" t="s">
        <v>114</v>
      </c>
      <c r="N366" s="18" t="s">
        <v>169</v>
      </c>
      <c r="O366" s="2">
        <v>1.10751038E8</v>
      </c>
      <c r="Q366" s="8">
        <v>2025.0</v>
      </c>
      <c r="R366" s="8" t="s">
        <v>894</v>
      </c>
    </row>
    <row r="367">
      <c r="A367" s="4" t="s">
        <v>18</v>
      </c>
      <c r="B367" s="13" t="s">
        <v>1251</v>
      </c>
      <c r="C367" s="10">
        <v>45877.0</v>
      </c>
      <c r="D367" s="10">
        <v>45877.0</v>
      </c>
      <c r="E367" s="4" t="s">
        <v>1252</v>
      </c>
      <c r="F367" s="9"/>
      <c r="G367" s="6"/>
      <c r="H367" s="7">
        <v>75.0</v>
      </c>
      <c r="I367" s="7" t="s">
        <v>1253</v>
      </c>
      <c r="K367" s="12" t="str">
        <f t="shared" si="36"/>
        <v>UN3668</v>
      </c>
      <c r="L367" s="2" t="s">
        <v>1254</v>
      </c>
      <c r="M367" s="2" t="s">
        <v>24</v>
      </c>
      <c r="N367" s="2" t="s">
        <v>60</v>
      </c>
      <c r="O367" s="2">
        <v>1.10751038E8</v>
      </c>
      <c r="P367" s="15"/>
      <c r="Q367" s="8">
        <v>2025.0</v>
      </c>
      <c r="R367" s="8" t="s">
        <v>894</v>
      </c>
    </row>
    <row r="368">
      <c r="A368" s="4" t="s">
        <v>18</v>
      </c>
      <c r="B368" s="13" t="s">
        <v>1255</v>
      </c>
      <c r="C368" s="10">
        <v>45877.0</v>
      </c>
      <c r="D368" s="10">
        <v>45877.0</v>
      </c>
      <c r="E368" s="4" t="s">
        <v>1256</v>
      </c>
      <c r="F368" s="9"/>
      <c r="G368" s="6"/>
      <c r="H368" s="7">
        <v>260.0</v>
      </c>
      <c r="I368" s="7" t="s">
        <v>1257</v>
      </c>
      <c r="K368" s="12" t="str">
        <f t="shared" si="36"/>
        <v>UN3668</v>
      </c>
      <c r="L368" s="2" t="s">
        <v>505</v>
      </c>
      <c r="M368" s="2" t="s">
        <v>24</v>
      </c>
      <c r="N368" s="2" t="s">
        <v>60</v>
      </c>
      <c r="O368" s="2">
        <v>1.10751038E8</v>
      </c>
      <c r="P368" s="15"/>
      <c r="Q368" s="8">
        <v>2025.0</v>
      </c>
      <c r="R368" s="8" t="s">
        <v>894</v>
      </c>
    </row>
    <row r="369">
      <c r="A369" s="4" t="s">
        <v>18</v>
      </c>
      <c r="B369" s="13" t="s">
        <v>1258</v>
      </c>
      <c r="C369" s="10">
        <v>45877.0</v>
      </c>
      <c r="D369" s="10">
        <v>45877.0</v>
      </c>
      <c r="E369" s="4" t="s">
        <v>1259</v>
      </c>
      <c r="F369" s="9"/>
      <c r="G369" s="6"/>
      <c r="H369" s="7">
        <v>576.0</v>
      </c>
      <c r="I369" s="7" t="s">
        <v>1260</v>
      </c>
      <c r="K369" s="12" t="str">
        <f t="shared" si="36"/>
        <v>SL1610</v>
      </c>
      <c r="L369" s="2" t="s">
        <v>1261</v>
      </c>
      <c r="M369" s="2" t="s">
        <v>24</v>
      </c>
      <c r="N369" s="2" t="s">
        <v>60</v>
      </c>
      <c r="O369" s="2">
        <v>1.10751038E8</v>
      </c>
      <c r="P369" s="15"/>
      <c r="Q369" s="8">
        <v>2025.0</v>
      </c>
      <c r="R369" s="8" t="s">
        <v>894</v>
      </c>
    </row>
    <row r="370">
      <c r="A370" s="4" t="s">
        <v>18</v>
      </c>
      <c r="B370" s="13" t="s">
        <v>1262</v>
      </c>
      <c r="C370" s="10">
        <v>45877.0</v>
      </c>
      <c r="D370" s="10">
        <v>45877.0</v>
      </c>
      <c r="E370" s="4" t="s">
        <v>1263</v>
      </c>
      <c r="F370" s="9"/>
      <c r="G370" s="6"/>
      <c r="H370" s="11">
        <v>1000.0</v>
      </c>
      <c r="I370" s="7" t="s">
        <v>1264</v>
      </c>
      <c r="K370" s="12" t="str">
        <f t="shared" si="36"/>
        <v>KN3817</v>
      </c>
      <c r="L370" s="2" t="s">
        <v>426</v>
      </c>
      <c r="M370" s="2" t="s">
        <v>24</v>
      </c>
      <c r="N370" s="2" t="s">
        <v>60</v>
      </c>
      <c r="O370" s="2">
        <v>1.10751038E8</v>
      </c>
      <c r="P370" s="15"/>
      <c r="Q370" s="8">
        <v>2025.0</v>
      </c>
      <c r="R370" s="8" t="s">
        <v>894</v>
      </c>
    </row>
    <row r="371">
      <c r="A371" s="4" t="s">
        <v>18</v>
      </c>
      <c r="B371" s="13" t="s">
        <v>1265</v>
      </c>
      <c r="C371" s="10">
        <v>45878.0</v>
      </c>
      <c r="D371" s="10">
        <v>45878.0</v>
      </c>
      <c r="E371" s="4" t="s">
        <v>1266</v>
      </c>
      <c r="F371" s="9"/>
      <c r="G371" s="6"/>
      <c r="H371" s="7">
        <v>274.0</v>
      </c>
      <c r="I371" s="7" t="s">
        <v>1267</v>
      </c>
      <c r="K371" s="12" t="str">
        <f t="shared" si="36"/>
        <v>SC3567</v>
      </c>
      <c r="L371" s="2" t="s">
        <v>1268</v>
      </c>
      <c r="M371" s="2" t="s">
        <v>24</v>
      </c>
      <c r="N371" s="2" t="s">
        <v>60</v>
      </c>
      <c r="O371" s="2">
        <v>1.10751038E8</v>
      </c>
      <c r="P371" s="15"/>
      <c r="Q371" s="8">
        <v>2025.0</v>
      </c>
      <c r="R371" s="8" t="s">
        <v>894</v>
      </c>
    </row>
    <row r="372">
      <c r="A372" s="4" t="s">
        <v>18</v>
      </c>
      <c r="B372" s="13" t="s">
        <v>1269</v>
      </c>
      <c r="C372" s="10">
        <v>45878.0</v>
      </c>
      <c r="D372" s="10">
        <v>45878.0</v>
      </c>
      <c r="E372" s="4" t="s">
        <v>1270</v>
      </c>
      <c r="F372" s="9"/>
      <c r="G372" s="6"/>
      <c r="H372" s="7">
        <v>312.0</v>
      </c>
      <c r="I372" s="7" t="s">
        <v>1271</v>
      </c>
      <c r="K372" s="12" t="str">
        <f t="shared" si="36"/>
        <v>UN3668</v>
      </c>
      <c r="L372" s="2" t="s">
        <v>1272</v>
      </c>
      <c r="M372" s="2" t="s">
        <v>24</v>
      </c>
      <c r="N372" s="2" t="s">
        <v>60</v>
      </c>
      <c r="O372" s="2">
        <v>1.10751038E8</v>
      </c>
      <c r="P372" s="15"/>
      <c r="Q372" s="8">
        <v>2025.0</v>
      </c>
      <c r="R372" s="8" t="s">
        <v>894</v>
      </c>
    </row>
    <row r="373">
      <c r="A373" s="4" t="s">
        <v>18</v>
      </c>
      <c r="B373" s="13" t="s">
        <v>1273</v>
      </c>
      <c r="C373" s="10">
        <v>45878.0</v>
      </c>
      <c r="D373" s="10">
        <v>45878.0</v>
      </c>
      <c r="E373" s="4" t="s">
        <v>1274</v>
      </c>
      <c r="F373" s="9"/>
      <c r="G373" s="11">
        <v>6317.0</v>
      </c>
      <c r="H373" s="6"/>
      <c r="I373" s="7" t="s">
        <v>1275</v>
      </c>
      <c r="J373" s="2" t="s">
        <v>1276</v>
      </c>
      <c r="K373" s="12" t="str">
        <f t="shared" si="36"/>
        <v>SC3567</v>
      </c>
      <c r="M373" s="2" t="s">
        <v>114</v>
      </c>
      <c r="N373" s="18" t="s">
        <v>169</v>
      </c>
      <c r="O373" s="2">
        <v>1.10751038E8</v>
      </c>
      <c r="Q373" s="8">
        <v>2025.0</v>
      </c>
      <c r="R373" s="8" t="s">
        <v>894</v>
      </c>
    </row>
    <row r="374">
      <c r="A374" s="4" t="s">
        <v>18</v>
      </c>
      <c r="B374" s="13" t="s">
        <v>1277</v>
      </c>
      <c r="C374" s="5">
        <v>45879.0</v>
      </c>
      <c r="D374" s="5">
        <v>45879.0</v>
      </c>
      <c r="E374" s="4" t="s">
        <v>1278</v>
      </c>
      <c r="F374" s="9"/>
      <c r="G374" s="6"/>
      <c r="H374" s="7">
        <v>600.0</v>
      </c>
      <c r="I374" s="7" t="s">
        <v>1279</v>
      </c>
      <c r="K374" s="12" t="str">
        <f t="shared" si="36"/>
        <v>UN3668</v>
      </c>
      <c r="L374" s="2" t="s">
        <v>1280</v>
      </c>
      <c r="M374" s="2" t="s">
        <v>24</v>
      </c>
      <c r="N374" s="2" t="s">
        <v>60</v>
      </c>
      <c r="O374" s="2">
        <v>1.10751038E8</v>
      </c>
      <c r="P374" s="15"/>
      <c r="Q374" s="8">
        <v>2025.0</v>
      </c>
      <c r="R374" s="8" t="s">
        <v>894</v>
      </c>
    </row>
    <row r="375">
      <c r="A375" s="4" t="s">
        <v>18</v>
      </c>
      <c r="B375" s="13" t="s">
        <v>1281</v>
      </c>
      <c r="C375" s="5">
        <v>45879.0</v>
      </c>
      <c r="D375" s="5">
        <v>45879.0</v>
      </c>
      <c r="E375" s="4" t="s">
        <v>1282</v>
      </c>
      <c r="F375" s="9"/>
      <c r="G375" s="6"/>
      <c r="H375" s="7">
        <v>187.0</v>
      </c>
      <c r="I375" s="7" t="s">
        <v>1283</v>
      </c>
      <c r="K375" s="12" t="str">
        <f t="shared" si="36"/>
        <v>SC3567</v>
      </c>
      <c r="L375" s="2" t="s">
        <v>1284</v>
      </c>
      <c r="M375" s="2" t="s">
        <v>24</v>
      </c>
      <c r="N375" s="2" t="s">
        <v>60</v>
      </c>
      <c r="O375" s="2">
        <v>1.10751038E8</v>
      </c>
      <c r="P375" s="15"/>
      <c r="Q375" s="8">
        <v>2025.0</v>
      </c>
      <c r="R375" s="8" t="s">
        <v>894</v>
      </c>
    </row>
    <row r="376">
      <c r="A376" s="4" t="s">
        <v>18</v>
      </c>
      <c r="B376" s="13" t="s">
        <v>1285</v>
      </c>
      <c r="C376" s="5">
        <v>45879.0</v>
      </c>
      <c r="D376" s="5">
        <v>45879.0</v>
      </c>
      <c r="E376" s="4" t="s">
        <v>1286</v>
      </c>
      <c r="F376" s="9"/>
      <c r="G376" s="6"/>
      <c r="H376" s="7">
        <v>299.0</v>
      </c>
      <c r="I376" s="7" t="s">
        <v>1287</v>
      </c>
      <c r="K376" s="12" t="str">
        <f t="shared" si="36"/>
        <v>SC3567</v>
      </c>
      <c r="L376" s="2" t="s">
        <v>1288</v>
      </c>
      <c r="M376" s="2" t="s">
        <v>24</v>
      </c>
      <c r="N376" s="2" t="s">
        <v>60</v>
      </c>
      <c r="O376" s="2">
        <v>1.10751038E8</v>
      </c>
      <c r="P376" s="15"/>
      <c r="Q376" s="8">
        <v>2025.0</v>
      </c>
      <c r="R376" s="8" t="s">
        <v>894</v>
      </c>
    </row>
    <row r="377">
      <c r="A377" s="4" t="s">
        <v>18</v>
      </c>
      <c r="B377" s="13" t="s">
        <v>1289</v>
      </c>
      <c r="C377" s="5">
        <v>45879.0</v>
      </c>
      <c r="D377" s="5">
        <v>45879.0</v>
      </c>
      <c r="E377" s="4" t="s">
        <v>1290</v>
      </c>
      <c r="F377" s="9"/>
      <c r="G377" s="6"/>
      <c r="H377" s="7">
        <v>391.0</v>
      </c>
      <c r="I377" s="7" t="s">
        <v>1291</v>
      </c>
      <c r="K377" s="12" t="str">
        <f t="shared" si="36"/>
        <v>UN3668</v>
      </c>
      <c r="L377" s="2" t="s">
        <v>1292</v>
      </c>
      <c r="M377" s="2" t="s">
        <v>24</v>
      </c>
      <c r="N377" s="2" t="s">
        <v>60</v>
      </c>
      <c r="O377" s="2">
        <v>1.10751038E8</v>
      </c>
      <c r="P377" s="15"/>
      <c r="Q377" s="8">
        <v>2025.0</v>
      </c>
      <c r="R377" s="8" t="s">
        <v>894</v>
      </c>
    </row>
    <row r="378">
      <c r="A378" s="4" t="s">
        <v>18</v>
      </c>
      <c r="B378" s="13" t="s">
        <v>1293</v>
      </c>
      <c r="C378" s="5">
        <v>45879.0</v>
      </c>
      <c r="D378" s="5">
        <v>45879.0</v>
      </c>
      <c r="E378" s="4" t="s">
        <v>1294</v>
      </c>
      <c r="F378" s="9"/>
      <c r="G378" s="6"/>
      <c r="H378" s="7">
        <v>149.0</v>
      </c>
      <c r="I378" s="7" t="s">
        <v>1295</v>
      </c>
      <c r="K378" s="12" t="str">
        <f t="shared" si="36"/>
        <v>SL1610</v>
      </c>
      <c r="L378" s="2" t="s">
        <v>1296</v>
      </c>
      <c r="M378" s="2" t="s">
        <v>24</v>
      </c>
      <c r="N378" s="2" t="s">
        <v>60</v>
      </c>
      <c r="O378" s="2">
        <v>1.10751038E8</v>
      </c>
      <c r="P378" s="15"/>
      <c r="Q378" s="8">
        <v>2025.0</v>
      </c>
      <c r="R378" s="8" t="s">
        <v>894</v>
      </c>
    </row>
    <row r="379">
      <c r="A379" s="4" t="s">
        <v>18</v>
      </c>
      <c r="B379" s="13" t="s">
        <v>1297</v>
      </c>
      <c r="C379" s="5">
        <v>45879.0</v>
      </c>
      <c r="D379" s="5">
        <v>45879.0</v>
      </c>
      <c r="E379" s="4" t="s">
        <v>1298</v>
      </c>
      <c r="F379" s="9"/>
      <c r="G379" s="6"/>
      <c r="H379" s="7">
        <v>318.0</v>
      </c>
      <c r="I379" s="7" t="s">
        <v>1299</v>
      </c>
      <c r="K379" s="12" t="str">
        <f t="shared" si="36"/>
        <v>SL1610</v>
      </c>
      <c r="L379" s="2" t="s">
        <v>1300</v>
      </c>
      <c r="M379" s="2" t="s">
        <v>24</v>
      </c>
      <c r="N379" s="2" t="s">
        <v>60</v>
      </c>
      <c r="O379" s="2">
        <v>1.10751038E8</v>
      </c>
      <c r="P379" s="15"/>
      <c r="Q379" s="8">
        <v>2025.0</v>
      </c>
      <c r="R379" s="8" t="s">
        <v>894</v>
      </c>
    </row>
    <row r="380">
      <c r="A380" s="4" t="s">
        <v>18</v>
      </c>
      <c r="B380" s="13" t="s">
        <v>1301</v>
      </c>
      <c r="C380" s="5">
        <v>45879.0</v>
      </c>
      <c r="D380" s="5">
        <v>45879.0</v>
      </c>
      <c r="E380" s="4" t="s">
        <v>1302</v>
      </c>
      <c r="F380" s="9"/>
      <c r="G380" s="6"/>
      <c r="H380" s="7">
        <v>536.0</v>
      </c>
      <c r="I380" s="7" t="s">
        <v>1303</v>
      </c>
      <c r="K380" s="12" t="str">
        <f t="shared" si="36"/>
        <v>SL1610</v>
      </c>
      <c r="L380" s="2" t="s">
        <v>1304</v>
      </c>
      <c r="M380" s="2" t="s">
        <v>24</v>
      </c>
      <c r="N380" s="2" t="s">
        <v>60</v>
      </c>
      <c r="O380" s="2">
        <v>1.10751038E8</v>
      </c>
      <c r="P380" s="15"/>
      <c r="Q380" s="8">
        <v>2025.0</v>
      </c>
      <c r="R380" s="8" t="s">
        <v>894</v>
      </c>
    </row>
    <row r="381">
      <c r="A381" s="4" t="s">
        <v>18</v>
      </c>
      <c r="B381" s="13" t="s">
        <v>1305</v>
      </c>
      <c r="C381" s="5">
        <v>45879.0</v>
      </c>
      <c r="D381" s="5">
        <v>45879.0</v>
      </c>
      <c r="E381" s="4" t="s">
        <v>1306</v>
      </c>
      <c r="F381" s="9"/>
      <c r="G381" s="6"/>
      <c r="H381" s="7">
        <v>608.0</v>
      </c>
      <c r="I381" s="7" t="s">
        <v>1307</v>
      </c>
      <c r="K381" s="12" t="str">
        <f t="shared" si="36"/>
        <v>SL1610</v>
      </c>
      <c r="L381" s="2" t="s">
        <v>1308</v>
      </c>
      <c r="M381" s="2" t="s">
        <v>24</v>
      </c>
      <c r="N381" s="2" t="s">
        <v>60</v>
      </c>
      <c r="O381" s="2">
        <v>1.10751038E8</v>
      </c>
      <c r="P381" s="15"/>
      <c r="Q381" s="8">
        <v>2025.0</v>
      </c>
      <c r="R381" s="8" t="s">
        <v>894</v>
      </c>
    </row>
    <row r="382">
      <c r="A382" s="4" t="s">
        <v>18</v>
      </c>
      <c r="B382" s="13" t="s">
        <v>1309</v>
      </c>
      <c r="C382" s="5">
        <v>45879.0</v>
      </c>
      <c r="D382" s="5">
        <v>45879.0</v>
      </c>
      <c r="E382" s="4" t="s">
        <v>1310</v>
      </c>
      <c r="F382" s="9"/>
      <c r="G382" s="6"/>
      <c r="H382" s="7">
        <v>416.0</v>
      </c>
      <c r="I382" s="7" t="s">
        <v>1311</v>
      </c>
      <c r="K382" s="12" t="str">
        <f t="shared" si="36"/>
        <v>UN3668</v>
      </c>
      <c r="L382" s="2" t="s">
        <v>1312</v>
      </c>
      <c r="M382" s="2" t="s">
        <v>24</v>
      </c>
      <c r="N382" s="2" t="s">
        <v>60</v>
      </c>
      <c r="O382" s="2">
        <v>1.10751038E8</v>
      </c>
      <c r="P382" s="15"/>
      <c r="Q382" s="8">
        <v>2025.0</v>
      </c>
      <c r="R382" s="8" t="s">
        <v>894</v>
      </c>
    </row>
    <row r="383">
      <c r="A383" s="4" t="s">
        <v>18</v>
      </c>
      <c r="B383" s="13" t="s">
        <v>1313</v>
      </c>
      <c r="C383" s="5">
        <v>45879.0</v>
      </c>
      <c r="D383" s="5">
        <v>45879.0</v>
      </c>
      <c r="E383" s="4" t="s">
        <v>1314</v>
      </c>
      <c r="F383" s="9"/>
      <c r="G383" s="11">
        <v>10490.0</v>
      </c>
      <c r="H383" s="6"/>
      <c r="I383" s="7" t="s">
        <v>1315</v>
      </c>
      <c r="J383" s="2" t="s">
        <v>220</v>
      </c>
      <c r="K383" s="12" t="str">
        <f t="shared" si="36"/>
        <v>KN3817</v>
      </c>
      <c r="M383" s="2" t="s">
        <v>114</v>
      </c>
      <c r="N383" s="18" t="s">
        <v>220</v>
      </c>
      <c r="O383" s="2">
        <v>1.10751038E8</v>
      </c>
      <c r="Q383" s="8">
        <v>2025.0</v>
      </c>
      <c r="R383" s="8" t="s">
        <v>894</v>
      </c>
    </row>
    <row r="384">
      <c r="A384" s="4" t="s">
        <v>18</v>
      </c>
      <c r="B384" s="13" t="s">
        <v>1316</v>
      </c>
      <c r="C384" s="5">
        <v>45880.0</v>
      </c>
      <c r="D384" s="5">
        <v>45880.0</v>
      </c>
      <c r="E384" s="4" t="s">
        <v>1317</v>
      </c>
      <c r="F384" s="9"/>
      <c r="G384" s="6"/>
      <c r="H384" s="7">
        <v>336.0</v>
      </c>
      <c r="I384" s="7" t="s">
        <v>1318</v>
      </c>
      <c r="K384" s="12" t="str">
        <f t="shared" si="36"/>
        <v>KN3817</v>
      </c>
      <c r="L384" s="2" t="s">
        <v>1319</v>
      </c>
      <c r="M384" s="2" t="s">
        <v>24</v>
      </c>
      <c r="N384" s="2" t="s">
        <v>60</v>
      </c>
      <c r="O384" s="2">
        <v>1.10751038E8</v>
      </c>
      <c r="P384" s="15"/>
      <c r="Q384" s="8">
        <v>2025.0</v>
      </c>
      <c r="R384" s="8" t="s">
        <v>894</v>
      </c>
    </row>
    <row r="385">
      <c r="A385" s="4" t="s">
        <v>18</v>
      </c>
      <c r="B385" s="13" t="s">
        <v>1320</v>
      </c>
      <c r="C385" s="5">
        <v>45880.0</v>
      </c>
      <c r="D385" s="5">
        <v>45880.0</v>
      </c>
      <c r="E385" s="4" t="s">
        <v>1321</v>
      </c>
      <c r="F385" s="9"/>
      <c r="G385" s="6"/>
      <c r="H385" s="11">
        <v>1464.0</v>
      </c>
      <c r="I385" s="7" t="s">
        <v>1322</v>
      </c>
      <c r="K385" s="12" t="str">
        <f t="shared" si="36"/>
        <v>UN3668</v>
      </c>
      <c r="L385" s="2" t="s">
        <v>1323</v>
      </c>
      <c r="M385" s="2" t="s">
        <v>24</v>
      </c>
      <c r="N385" s="2" t="s">
        <v>60</v>
      </c>
      <c r="O385" s="2">
        <v>1.10751038E8</v>
      </c>
      <c r="P385" s="15"/>
      <c r="Q385" s="8">
        <v>2025.0</v>
      </c>
      <c r="R385" s="8" t="s">
        <v>894</v>
      </c>
    </row>
    <row r="386">
      <c r="A386" s="4" t="s">
        <v>18</v>
      </c>
      <c r="B386" s="13" t="s">
        <v>1324</v>
      </c>
      <c r="C386" s="5">
        <v>45880.0</v>
      </c>
      <c r="D386" s="5">
        <v>45880.0</v>
      </c>
      <c r="E386" s="4" t="s">
        <v>1325</v>
      </c>
      <c r="F386" s="9"/>
      <c r="G386" s="6"/>
      <c r="H386" s="7">
        <v>300.0</v>
      </c>
      <c r="I386" s="7" t="s">
        <v>1326</v>
      </c>
      <c r="K386" s="12" t="str">
        <f t="shared" si="36"/>
        <v>UN3668</v>
      </c>
      <c r="L386" s="2" t="s">
        <v>1327</v>
      </c>
      <c r="M386" s="2" t="s">
        <v>24</v>
      </c>
      <c r="N386" s="2" t="s">
        <v>60</v>
      </c>
      <c r="O386" s="2">
        <v>1.10751038E8</v>
      </c>
      <c r="P386" s="15"/>
      <c r="Q386" s="8">
        <v>2025.0</v>
      </c>
      <c r="R386" s="8" t="s">
        <v>894</v>
      </c>
    </row>
    <row r="387">
      <c r="A387" s="4" t="s">
        <v>18</v>
      </c>
      <c r="B387" s="13" t="s">
        <v>1328</v>
      </c>
      <c r="C387" s="5">
        <v>45880.0</v>
      </c>
      <c r="D387" s="5">
        <v>45880.0</v>
      </c>
      <c r="E387" s="4" t="s">
        <v>1329</v>
      </c>
      <c r="F387" s="9"/>
      <c r="G387" s="11">
        <v>2076.59</v>
      </c>
      <c r="H387" s="6"/>
      <c r="I387" s="7" t="s">
        <v>1330</v>
      </c>
      <c r="J387" s="2" t="s">
        <v>275</v>
      </c>
      <c r="K387" s="12" t="str">
        <f t="shared" si="36"/>
        <v>KN3817</v>
      </c>
      <c r="M387" s="2" t="s">
        <v>114</v>
      </c>
      <c r="N387" s="2" t="s">
        <v>275</v>
      </c>
      <c r="O387" s="2">
        <v>1.10751038E8</v>
      </c>
      <c r="Q387" s="8">
        <v>2025.0</v>
      </c>
      <c r="R387" s="8" t="s">
        <v>894</v>
      </c>
    </row>
    <row r="388">
      <c r="A388" s="4" t="s">
        <v>18</v>
      </c>
      <c r="B388" s="13" t="s">
        <v>1331</v>
      </c>
      <c r="C388" s="5">
        <v>45880.0</v>
      </c>
      <c r="D388" s="5">
        <v>45880.0</v>
      </c>
      <c r="E388" s="4" t="s">
        <v>1332</v>
      </c>
      <c r="F388" s="9"/>
      <c r="G388" s="6"/>
      <c r="H388" s="7">
        <v>541.0</v>
      </c>
      <c r="I388" s="7" t="s">
        <v>1333</v>
      </c>
      <c r="K388" s="12" t="str">
        <f t="shared" si="36"/>
        <v>SC3567</v>
      </c>
      <c r="L388" s="2" t="s">
        <v>1334</v>
      </c>
      <c r="M388" s="2" t="s">
        <v>24</v>
      </c>
      <c r="N388" s="2" t="s">
        <v>60</v>
      </c>
      <c r="O388" s="2">
        <v>1.10751038E8</v>
      </c>
      <c r="P388" s="15"/>
      <c r="Q388" s="8">
        <v>2025.0</v>
      </c>
      <c r="R388" s="8" t="s">
        <v>894</v>
      </c>
    </row>
    <row r="389">
      <c r="A389" s="4" t="s">
        <v>18</v>
      </c>
      <c r="B389" s="13" t="s">
        <v>1335</v>
      </c>
      <c r="C389" s="5">
        <v>45880.0</v>
      </c>
      <c r="D389" s="5">
        <v>45880.0</v>
      </c>
      <c r="E389" s="4" t="s">
        <v>1336</v>
      </c>
      <c r="F389" s="9"/>
      <c r="G389" s="6"/>
      <c r="H389" s="11">
        <v>1180.0</v>
      </c>
      <c r="I389" s="7" t="s">
        <v>1337</v>
      </c>
      <c r="K389" s="12" t="str">
        <f t="shared" si="36"/>
        <v>KN3817</v>
      </c>
      <c r="L389" s="2" t="s">
        <v>1338</v>
      </c>
      <c r="M389" s="2" t="s">
        <v>24</v>
      </c>
      <c r="N389" s="2" t="s">
        <v>60</v>
      </c>
      <c r="O389" s="2">
        <v>1.10751038E8</v>
      </c>
      <c r="P389" s="15"/>
      <c r="Q389" s="8">
        <v>2025.0</v>
      </c>
      <c r="R389" s="8" t="s">
        <v>894</v>
      </c>
    </row>
    <row r="390">
      <c r="A390" s="4" t="s">
        <v>18</v>
      </c>
      <c r="B390" s="13" t="s">
        <v>1339</v>
      </c>
      <c r="C390" s="5">
        <v>45880.0</v>
      </c>
      <c r="D390" s="5">
        <v>45880.0</v>
      </c>
      <c r="E390" s="4" t="s">
        <v>1340</v>
      </c>
      <c r="F390" s="9"/>
      <c r="G390" s="6"/>
      <c r="H390" s="7">
        <v>355.0</v>
      </c>
      <c r="I390" s="7" t="s">
        <v>1341</v>
      </c>
      <c r="K390" s="12" t="str">
        <f t="shared" si="36"/>
        <v>SL1610</v>
      </c>
      <c r="L390" s="2" t="s">
        <v>1342</v>
      </c>
      <c r="M390" s="2" t="s">
        <v>24</v>
      </c>
      <c r="N390" s="2" t="s">
        <v>60</v>
      </c>
      <c r="O390" s="2">
        <v>1.10751038E8</v>
      </c>
      <c r="P390" s="15"/>
      <c r="Q390" s="8">
        <v>2025.0</v>
      </c>
      <c r="R390" s="8" t="s">
        <v>894</v>
      </c>
    </row>
    <row r="391">
      <c r="A391" s="4" t="s">
        <v>18</v>
      </c>
      <c r="B391" s="13" t="s">
        <v>1343</v>
      </c>
      <c r="C391" s="5">
        <v>45880.0</v>
      </c>
      <c r="D391" s="5">
        <v>45880.0</v>
      </c>
      <c r="E391" s="4" t="s">
        <v>1344</v>
      </c>
      <c r="F391" s="9"/>
      <c r="G391" s="6"/>
      <c r="H391" s="7">
        <v>878.0</v>
      </c>
      <c r="I391" s="7" t="s">
        <v>1345</v>
      </c>
      <c r="K391" s="12" t="str">
        <f t="shared" si="36"/>
        <v>SL1610</v>
      </c>
      <c r="L391" s="2" t="s">
        <v>1346</v>
      </c>
      <c r="M391" s="2" t="s">
        <v>24</v>
      </c>
      <c r="N391" s="2" t="s">
        <v>60</v>
      </c>
      <c r="O391" s="2">
        <v>1.10751038E8</v>
      </c>
      <c r="P391" s="15"/>
      <c r="Q391" s="8">
        <v>2025.0</v>
      </c>
      <c r="R391" s="8" t="s">
        <v>894</v>
      </c>
    </row>
    <row r="392">
      <c r="A392" s="4" t="s">
        <v>18</v>
      </c>
      <c r="B392" s="13" t="s">
        <v>1347</v>
      </c>
      <c r="C392" s="5">
        <v>45880.0</v>
      </c>
      <c r="D392" s="5">
        <v>45880.0</v>
      </c>
      <c r="E392" s="4" t="s">
        <v>1348</v>
      </c>
      <c r="F392" s="9"/>
      <c r="G392" s="7">
        <v>971.37</v>
      </c>
      <c r="H392" s="6"/>
      <c r="I392" s="7" t="s">
        <v>1349</v>
      </c>
      <c r="J392" s="2" t="s">
        <v>1350</v>
      </c>
      <c r="K392" s="1" t="s">
        <v>23</v>
      </c>
      <c r="M392" s="2" t="s">
        <v>114</v>
      </c>
      <c r="N392" s="2" t="s">
        <v>1351</v>
      </c>
      <c r="O392" s="2">
        <v>1.10751038E8</v>
      </c>
      <c r="Q392" s="8">
        <v>2025.0</v>
      </c>
      <c r="R392" s="8" t="s">
        <v>894</v>
      </c>
    </row>
    <row r="393">
      <c r="A393" s="4" t="s">
        <v>18</v>
      </c>
      <c r="B393" s="13" t="s">
        <v>1352</v>
      </c>
      <c r="C393" s="5">
        <v>45880.0</v>
      </c>
      <c r="D393" s="5">
        <v>45880.0</v>
      </c>
      <c r="E393" s="4" t="s">
        <v>1353</v>
      </c>
      <c r="F393" s="9"/>
      <c r="G393" s="6"/>
      <c r="H393" s="11">
        <v>4132.0</v>
      </c>
      <c r="I393" s="7" t="s">
        <v>1354</v>
      </c>
      <c r="K393" s="12" t="str">
        <f t="shared" ref="K393:K394" si="37">RIGHT(E393,6)</f>
        <v>SL1610</v>
      </c>
      <c r="L393" s="2" t="s">
        <v>1355</v>
      </c>
      <c r="M393" s="2" t="s">
        <v>24</v>
      </c>
      <c r="N393" s="2" t="s">
        <v>60</v>
      </c>
      <c r="O393" s="2">
        <v>1.10751038E8</v>
      </c>
      <c r="P393" s="15"/>
      <c r="Q393" s="8">
        <v>2025.0</v>
      </c>
      <c r="R393" s="8" t="s">
        <v>894</v>
      </c>
    </row>
    <row r="394">
      <c r="A394" s="4" t="s">
        <v>18</v>
      </c>
      <c r="B394" s="13" t="s">
        <v>1356</v>
      </c>
      <c r="C394" s="5">
        <v>45881.0</v>
      </c>
      <c r="D394" s="5">
        <v>45881.0</v>
      </c>
      <c r="E394" s="4" t="s">
        <v>1357</v>
      </c>
      <c r="F394" s="9"/>
      <c r="G394" s="6"/>
      <c r="H394" s="7">
        <v>228.0</v>
      </c>
      <c r="I394" s="7" t="s">
        <v>1358</v>
      </c>
      <c r="K394" s="12" t="str">
        <f t="shared" si="37"/>
        <v>SC3567</v>
      </c>
      <c r="L394" s="2" t="s">
        <v>1359</v>
      </c>
      <c r="M394" s="2" t="s">
        <v>24</v>
      </c>
      <c r="N394" s="2" t="s">
        <v>60</v>
      </c>
      <c r="O394" s="2">
        <v>1.10751038E8</v>
      </c>
      <c r="P394" s="15"/>
      <c r="Q394" s="8">
        <v>2025.0</v>
      </c>
      <c r="R394" s="8" t="s">
        <v>894</v>
      </c>
    </row>
    <row r="395">
      <c r="A395" s="4" t="s">
        <v>18</v>
      </c>
      <c r="B395" s="13" t="s">
        <v>1360</v>
      </c>
      <c r="C395" s="5">
        <v>45881.0</v>
      </c>
      <c r="D395" s="5">
        <v>45881.0</v>
      </c>
      <c r="E395" s="4" t="s">
        <v>1361</v>
      </c>
      <c r="F395" s="9"/>
      <c r="G395" s="11">
        <v>1000.0</v>
      </c>
      <c r="H395" s="6"/>
      <c r="I395" s="7" t="s">
        <v>1362</v>
      </c>
      <c r="J395" s="2" t="s">
        <v>1363</v>
      </c>
      <c r="K395" s="1" t="s">
        <v>23</v>
      </c>
      <c r="M395" s="2" t="s">
        <v>114</v>
      </c>
      <c r="N395" s="2" t="s">
        <v>1363</v>
      </c>
      <c r="O395" s="2">
        <v>1.10751038E8</v>
      </c>
      <c r="Q395" s="8">
        <v>2025.0</v>
      </c>
      <c r="R395" s="8" t="s">
        <v>894</v>
      </c>
    </row>
    <row r="396">
      <c r="A396" s="4" t="s">
        <v>18</v>
      </c>
      <c r="B396" s="13" t="s">
        <v>1364</v>
      </c>
      <c r="C396" s="5">
        <v>45881.0</v>
      </c>
      <c r="D396" s="5">
        <v>45881.0</v>
      </c>
      <c r="E396" s="4" t="s">
        <v>1365</v>
      </c>
      <c r="F396" s="9"/>
      <c r="G396" s="7">
        <v>90.0</v>
      </c>
      <c r="H396" s="6"/>
      <c r="I396" s="7" t="s">
        <v>1366</v>
      </c>
      <c r="J396" s="2" t="s">
        <v>1363</v>
      </c>
      <c r="K396" s="1" t="s">
        <v>23</v>
      </c>
      <c r="M396" s="2" t="s">
        <v>114</v>
      </c>
      <c r="N396" s="2" t="s">
        <v>1363</v>
      </c>
      <c r="O396" s="2">
        <v>1.10751038E8</v>
      </c>
      <c r="Q396" s="8">
        <v>2025.0</v>
      </c>
      <c r="R396" s="8" t="s">
        <v>894</v>
      </c>
    </row>
    <row r="397">
      <c r="A397" s="4" t="s">
        <v>18</v>
      </c>
      <c r="B397" s="13" t="s">
        <v>1367</v>
      </c>
      <c r="C397" s="5">
        <v>45881.0</v>
      </c>
      <c r="D397" s="5">
        <v>45881.0</v>
      </c>
      <c r="E397" s="4" t="s">
        <v>1368</v>
      </c>
      <c r="F397" s="9"/>
      <c r="G397" s="7">
        <v>90.0</v>
      </c>
      <c r="H397" s="6"/>
      <c r="I397" s="7" t="s">
        <v>1369</v>
      </c>
      <c r="J397" s="2" t="s">
        <v>1363</v>
      </c>
      <c r="K397" s="1" t="s">
        <v>23</v>
      </c>
      <c r="M397" s="2" t="s">
        <v>114</v>
      </c>
      <c r="N397" s="2" t="s">
        <v>1363</v>
      </c>
      <c r="O397" s="2">
        <v>1.10751038E8</v>
      </c>
      <c r="Q397" s="8">
        <v>2025.0</v>
      </c>
      <c r="R397" s="8" t="s">
        <v>894</v>
      </c>
    </row>
    <row r="398">
      <c r="A398" s="4" t="s">
        <v>18</v>
      </c>
      <c r="B398" s="13" t="s">
        <v>1370</v>
      </c>
      <c r="C398" s="5">
        <v>45881.0</v>
      </c>
      <c r="D398" s="5">
        <v>45881.0</v>
      </c>
      <c r="E398" s="4" t="s">
        <v>1371</v>
      </c>
      <c r="F398" s="9"/>
      <c r="G398" s="6"/>
      <c r="H398" s="7">
        <v>447.0</v>
      </c>
      <c r="I398" s="7" t="s">
        <v>1372</v>
      </c>
      <c r="K398" s="12" t="str">
        <f t="shared" ref="K398:K405" si="38">RIGHT(E398,6)</f>
        <v>SL1610</v>
      </c>
      <c r="L398" s="2" t="s">
        <v>1373</v>
      </c>
      <c r="M398" s="2" t="s">
        <v>24</v>
      </c>
      <c r="N398" s="2" t="s">
        <v>60</v>
      </c>
      <c r="O398" s="2">
        <v>1.10751038E8</v>
      </c>
      <c r="P398" s="15"/>
      <c r="Q398" s="8">
        <v>2025.0</v>
      </c>
      <c r="R398" s="8" t="s">
        <v>894</v>
      </c>
    </row>
    <row r="399">
      <c r="A399" s="4" t="s">
        <v>18</v>
      </c>
      <c r="B399" s="13" t="s">
        <v>1374</v>
      </c>
      <c r="C399" s="5">
        <v>45881.0</v>
      </c>
      <c r="D399" s="5">
        <v>45881.0</v>
      </c>
      <c r="E399" s="4" t="s">
        <v>1375</v>
      </c>
      <c r="F399" s="9"/>
      <c r="G399" s="6"/>
      <c r="H399" s="7">
        <v>173.0</v>
      </c>
      <c r="I399" s="7" t="s">
        <v>1376</v>
      </c>
      <c r="K399" s="12" t="str">
        <f t="shared" si="38"/>
        <v>UN3668</v>
      </c>
      <c r="L399" s="2" t="s">
        <v>1377</v>
      </c>
      <c r="M399" s="2" t="s">
        <v>24</v>
      </c>
      <c r="N399" s="2" t="s">
        <v>60</v>
      </c>
      <c r="O399" s="2">
        <v>1.10751038E8</v>
      </c>
      <c r="P399" s="15"/>
      <c r="Q399" s="8">
        <v>2025.0</v>
      </c>
      <c r="R399" s="8" t="s">
        <v>894</v>
      </c>
    </row>
    <row r="400">
      <c r="A400" s="4" t="s">
        <v>18</v>
      </c>
      <c r="B400" s="13" t="s">
        <v>1378</v>
      </c>
      <c r="C400" s="5">
        <v>45881.0</v>
      </c>
      <c r="D400" s="5">
        <v>45881.0</v>
      </c>
      <c r="E400" s="4" t="s">
        <v>1379</v>
      </c>
      <c r="F400" s="9"/>
      <c r="G400" s="6"/>
      <c r="H400" s="7">
        <v>445.0</v>
      </c>
      <c r="I400" s="7" t="s">
        <v>1380</v>
      </c>
      <c r="K400" s="12" t="str">
        <f t="shared" si="38"/>
        <v>UN3668</v>
      </c>
      <c r="L400" s="2" t="s">
        <v>1381</v>
      </c>
      <c r="M400" s="2" t="s">
        <v>24</v>
      </c>
      <c r="N400" s="2" t="s">
        <v>60</v>
      </c>
      <c r="O400" s="2">
        <v>1.10751038E8</v>
      </c>
      <c r="P400" s="15"/>
      <c r="Q400" s="8">
        <v>2025.0</v>
      </c>
      <c r="R400" s="8" t="s">
        <v>894</v>
      </c>
    </row>
    <row r="401">
      <c r="A401" s="4" t="s">
        <v>18</v>
      </c>
      <c r="B401" s="13" t="s">
        <v>1382</v>
      </c>
      <c r="C401" s="5">
        <v>45881.0</v>
      </c>
      <c r="D401" s="5">
        <v>45881.0</v>
      </c>
      <c r="E401" s="4" t="s">
        <v>1383</v>
      </c>
      <c r="F401" s="9"/>
      <c r="G401" s="6"/>
      <c r="H401" s="7">
        <v>300.0</v>
      </c>
      <c r="I401" s="7" t="s">
        <v>1384</v>
      </c>
      <c r="K401" s="12" t="str">
        <f t="shared" si="38"/>
        <v>UN3668</v>
      </c>
      <c r="L401" s="2" t="s">
        <v>1385</v>
      </c>
      <c r="M401" s="2" t="s">
        <v>24</v>
      </c>
      <c r="N401" s="2" t="s">
        <v>60</v>
      </c>
      <c r="O401" s="2">
        <v>1.10751038E8</v>
      </c>
      <c r="P401" s="15"/>
      <c r="Q401" s="8">
        <v>2025.0</v>
      </c>
      <c r="R401" s="8" t="s">
        <v>894</v>
      </c>
    </row>
    <row r="402">
      <c r="A402" s="4" t="s">
        <v>18</v>
      </c>
      <c r="B402" s="13" t="s">
        <v>1386</v>
      </c>
      <c r="C402" s="5">
        <v>45881.0</v>
      </c>
      <c r="D402" s="5">
        <v>45881.0</v>
      </c>
      <c r="E402" s="4" t="s">
        <v>1387</v>
      </c>
      <c r="F402" s="9"/>
      <c r="G402" s="6"/>
      <c r="H402" s="7">
        <v>723.0</v>
      </c>
      <c r="I402" s="7" t="s">
        <v>1388</v>
      </c>
      <c r="K402" s="12" t="str">
        <f t="shared" si="38"/>
        <v>SL1610</v>
      </c>
      <c r="L402" s="2" t="s">
        <v>1389</v>
      </c>
      <c r="M402" s="2" t="s">
        <v>24</v>
      </c>
      <c r="N402" s="2" t="s">
        <v>60</v>
      </c>
      <c r="O402" s="2">
        <v>1.10751038E8</v>
      </c>
      <c r="P402" s="15"/>
      <c r="Q402" s="8">
        <v>2025.0</v>
      </c>
      <c r="R402" s="8" t="s">
        <v>894</v>
      </c>
    </row>
    <row r="403">
      <c r="A403" s="4" t="s">
        <v>18</v>
      </c>
      <c r="B403" s="13" t="s">
        <v>1390</v>
      </c>
      <c r="C403" s="5">
        <v>45881.0</v>
      </c>
      <c r="D403" s="5">
        <v>45881.0</v>
      </c>
      <c r="E403" s="4" t="s">
        <v>1391</v>
      </c>
      <c r="F403" s="9"/>
      <c r="G403" s="6"/>
      <c r="H403" s="11">
        <v>1155.0</v>
      </c>
      <c r="I403" s="7" t="s">
        <v>1392</v>
      </c>
      <c r="K403" s="12" t="str">
        <f t="shared" si="38"/>
        <v>SL1610</v>
      </c>
      <c r="L403" s="2" t="s">
        <v>1393</v>
      </c>
      <c r="M403" s="2" t="s">
        <v>24</v>
      </c>
      <c r="N403" s="2" t="s">
        <v>60</v>
      </c>
      <c r="O403" s="2">
        <v>1.10751038E8</v>
      </c>
      <c r="P403" s="15"/>
      <c r="Q403" s="8">
        <v>2025.0</v>
      </c>
      <c r="R403" s="8" t="s">
        <v>894</v>
      </c>
    </row>
    <row r="404">
      <c r="A404" s="4" t="s">
        <v>18</v>
      </c>
      <c r="B404" s="13" t="s">
        <v>1394</v>
      </c>
      <c r="C404" s="5">
        <v>45881.0</v>
      </c>
      <c r="D404" s="5">
        <v>45881.0</v>
      </c>
      <c r="E404" s="4" t="s">
        <v>1395</v>
      </c>
      <c r="F404" s="9"/>
      <c r="G404" s="6"/>
      <c r="H404" s="7">
        <v>392.0</v>
      </c>
      <c r="I404" s="7" t="s">
        <v>1396</v>
      </c>
      <c r="K404" s="12" t="str">
        <f t="shared" si="38"/>
        <v>SL1610</v>
      </c>
      <c r="L404" s="2" t="s">
        <v>1397</v>
      </c>
      <c r="M404" s="2" t="s">
        <v>24</v>
      </c>
      <c r="N404" s="2" t="s">
        <v>60</v>
      </c>
      <c r="O404" s="2">
        <v>1.10751038E8</v>
      </c>
      <c r="P404" s="15"/>
      <c r="Q404" s="8">
        <v>2025.0</v>
      </c>
      <c r="R404" s="8" t="s">
        <v>894</v>
      </c>
    </row>
    <row r="405">
      <c r="A405" s="4" t="s">
        <v>18</v>
      </c>
      <c r="B405" s="13" t="s">
        <v>1398</v>
      </c>
      <c r="C405" s="5">
        <v>45881.0</v>
      </c>
      <c r="D405" s="5">
        <v>45881.0</v>
      </c>
      <c r="E405" s="4" t="s">
        <v>1399</v>
      </c>
      <c r="F405" s="9"/>
      <c r="G405" s="6"/>
      <c r="H405" s="7">
        <v>570.0</v>
      </c>
      <c r="I405" s="7" t="s">
        <v>1400</v>
      </c>
      <c r="K405" s="12" t="str">
        <f t="shared" si="38"/>
        <v>SL1610</v>
      </c>
      <c r="L405" s="2" t="s">
        <v>1401</v>
      </c>
      <c r="M405" s="2" t="s">
        <v>24</v>
      </c>
      <c r="N405" s="2" t="s">
        <v>60</v>
      </c>
      <c r="O405" s="2">
        <v>1.10751038E8</v>
      </c>
      <c r="P405" s="15"/>
      <c r="Q405" s="8">
        <v>2025.0</v>
      </c>
      <c r="R405" s="8" t="s">
        <v>894</v>
      </c>
    </row>
    <row r="406">
      <c r="A406" s="4" t="s">
        <v>18</v>
      </c>
      <c r="B406" s="13" t="s">
        <v>1402</v>
      </c>
      <c r="C406" s="5">
        <v>45881.0</v>
      </c>
      <c r="D406" s="5">
        <v>45881.0</v>
      </c>
      <c r="E406" s="4" t="s">
        <v>1403</v>
      </c>
      <c r="F406" s="9"/>
      <c r="G406" s="11">
        <v>2400.0</v>
      </c>
      <c r="H406" s="6"/>
      <c r="I406" s="7" t="s">
        <v>1404</v>
      </c>
      <c r="J406" s="2" t="s">
        <v>1405</v>
      </c>
      <c r="K406" s="2" t="s">
        <v>123</v>
      </c>
      <c r="M406" s="2" t="s">
        <v>114</v>
      </c>
      <c r="N406" s="18" t="s">
        <v>169</v>
      </c>
      <c r="O406" s="2">
        <v>1.10751038E8</v>
      </c>
      <c r="Q406" s="8">
        <v>2025.0</v>
      </c>
      <c r="R406" s="8" t="s">
        <v>894</v>
      </c>
    </row>
    <row r="407">
      <c r="A407" s="4" t="s">
        <v>18</v>
      </c>
      <c r="B407" s="13" t="s">
        <v>1406</v>
      </c>
      <c r="C407" s="5">
        <v>45881.0</v>
      </c>
      <c r="D407" s="5">
        <v>45881.0</v>
      </c>
      <c r="E407" s="4" t="s">
        <v>1407</v>
      </c>
      <c r="F407" s="9"/>
      <c r="G407" s="11">
        <v>7441.0</v>
      </c>
      <c r="H407" s="6"/>
      <c r="I407" s="7" t="s">
        <v>1408</v>
      </c>
      <c r="J407" s="2" t="s">
        <v>1409</v>
      </c>
      <c r="K407" s="2" t="s">
        <v>123</v>
      </c>
      <c r="M407" s="2" t="s">
        <v>114</v>
      </c>
      <c r="N407" s="2" t="s">
        <v>1410</v>
      </c>
      <c r="O407" s="2">
        <v>1.10751038E8</v>
      </c>
      <c r="Q407" s="8">
        <v>2025.0</v>
      </c>
      <c r="R407" s="8" t="s">
        <v>894</v>
      </c>
    </row>
    <row r="408">
      <c r="A408" s="4" t="s">
        <v>18</v>
      </c>
      <c r="B408" s="13" t="s">
        <v>1411</v>
      </c>
      <c r="C408" s="5">
        <v>45881.0</v>
      </c>
      <c r="D408" s="5">
        <v>45881.0</v>
      </c>
      <c r="E408" s="4" t="s">
        <v>1412</v>
      </c>
      <c r="F408" s="9"/>
      <c r="G408" s="11">
        <v>10398.0</v>
      </c>
      <c r="H408" s="6"/>
      <c r="I408" s="7" t="s">
        <v>1413</v>
      </c>
      <c r="J408" s="2" t="s">
        <v>220</v>
      </c>
      <c r="K408" s="2" t="s">
        <v>123</v>
      </c>
      <c r="M408" s="2" t="s">
        <v>114</v>
      </c>
      <c r="N408" s="2" t="s">
        <v>220</v>
      </c>
      <c r="O408" s="2">
        <v>1.10751038E8</v>
      </c>
      <c r="Q408" s="8">
        <v>2025.0</v>
      </c>
      <c r="R408" s="8" t="s">
        <v>894</v>
      </c>
    </row>
    <row r="409">
      <c r="A409" s="4" t="s">
        <v>18</v>
      </c>
      <c r="B409" s="13" t="s">
        <v>1414</v>
      </c>
      <c r="C409" s="5">
        <v>45881.0</v>
      </c>
      <c r="D409" s="5">
        <v>45881.0</v>
      </c>
      <c r="E409" s="4" t="s">
        <v>1415</v>
      </c>
      <c r="F409" s="9"/>
      <c r="G409" s="7">
        <v>862.0</v>
      </c>
      <c r="H409" s="6"/>
      <c r="I409" s="7" t="s">
        <v>1416</v>
      </c>
      <c r="J409" s="2" t="s">
        <v>1417</v>
      </c>
      <c r="K409" s="2" t="s">
        <v>123</v>
      </c>
      <c r="M409" s="2" t="s">
        <v>114</v>
      </c>
      <c r="N409" s="2" t="s">
        <v>220</v>
      </c>
      <c r="O409" s="2">
        <v>1.10751038E8</v>
      </c>
      <c r="Q409" s="8">
        <v>2025.0</v>
      </c>
      <c r="R409" s="8" t="s">
        <v>894</v>
      </c>
    </row>
    <row r="410">
      <c r="A410" s="4" t="s">
        <v>18</v>
      </c>
      <c r="B410" s="13" t="s">
        <v>1418</v>
      </c>
      <c r="C410" s="5">
        <v>45882.0</v>
      </c>
      <c r="D410" s="5">
        <v>45882.0</v>
      </c>
      <c r="E410" s="4" t="s">
        <v>1419</v>
      </c>
      <c r="F410" s="9"/>
      <c r="G410" s="6"/>
      <c r="H410" s="7">
        <v>400.0</v>
      </c>
      <c r="I410" s="7" t="s">
        <v>1420</v>
      </c>
      <c r="K410" s="12" t="str">
        <f t="shared" ref="K410:K418" si="39">RIGHT(E410,6)</f>
        <v>UN3668</v>
      </c>
      <c r="L410" s="2" t="s">
        <v>1421</v>
      </c>
      <c r="M410" s="2" t="s">
        <v>24</v>
      </c>
      <c r="N410" s="2" t="s">
        <v>60</v>
      </c>
      <c r="O410" s="2">
        <v>1.10751038E8</v>
      </c>
      <c r="P410" s="15"/>
      <c r="Q410" s="8">
        <v>2025.0</v>
      </c>
      <c r="R410" s="8" t="s">
        <v>894</v>
      </c>
    </row>
    <row r="411">
      <c r="A411" s="4" t="s">
        <v>18</v>
      </c>
      <c r="B411" s="13" t="s">
        <v>1422</v>
      </c>
      <c r="C411" s="5">
        <v>45882.0</v>
      </c>
      <c r="D411" s="5">
        <v>45882.0</v>
      </c>
      <c r="E411" s="4" t="s">
        <v>1423</v>
      </c>
      <c r="F411" s="9"/>
      <c r="G411" s="6"/>
      <c r="H411" s="11">
        <v>1144.0</v>
      </c>
      <c r="I411" s="7" t="s">
        <v>1424</v>
      </c>
      <c r="K411" s="12" t="str">
        <f t="shared" si="39"/>
        <v>UN3668</v>
      </c>
      <c r="L411" s="2" t="s">
        <v>1425</v>
      </c>
      <c r="M411" s="2" t="s">
        <v>24</v>
      </c>
      <c r="N411" s="2" t="s">
        <v>60</v>
      </c>
      <c r="O411" s="2">
        <v>1.10751038E8</v>
      </c>
      <c r="P411" s="15"/>
      <c r="Q411" s="8">
        <v>2025.0</v>
      </c>
      <c r="R411" s="8" t="s">
        <v>894</v>
      </c>
    </row>
    <row r="412">
      <c r="A412" s="4" t="s">
        <v>18</v>
      </c>
      <c r="B412" s="13" t="s">
        <v>1426</v>
      </c>
      <c r="C412" s="5">
        <v>45882.0</v>
      </c>
      <c r="D412" s="5">
        <v>45882.0</v>
      </c>
      <c r="E412" s="4" t="s">
        <v>1427</v>
      </c>
      <c r="F412" s="9"/>
      <c r="G412" s="6"/>
      <c r="H412" s="11">
        <v>1133.0</v>
      </c>
      <c r="I412" s="7" t="s">
        <v>1428</v>
      </c>
      <c r="K412" s="12" t="str">
        <f t="shared" si="39"/>
        <v>UN3668</v>
      </c>
      <c r="L412" s="2" t="s">
        <v>1429</v>
      </c>
      <c r="M412" s="2" t="s">
        <v>24</v>
      </c>
      <c r="N412" s="2" t="s">
        <v>60</v>
      </c>
      <c r="O412" s="2">
        <v>1.10751038E8</v>
      </c>
      <c r="P412" s="15"/>
      <c r="Q412" s="8">
        <v>2025.0</v>
      </c>
      <c r="R412" s="8" t="s">
        <v>894</v>
      </c>
    </row>
    <row r="413">
      <c r="A413" s="4" t="s">
        <v>18</v>
      </c>
      <c r="B413" s="13" t="s">
        <v>1430</v>
      </c>
      <c r="C413" s="5">
        <v>45882.0</v>
      </c>
      <c r="D413" s="5">
        <v>45882.0</v>
      </c>
      <c r="E413" s="4" t="s">
        <v>1431</v>
      </c>
      <c r="F413" s="9"/>
      <c r="G413" s="6"/>
      <c r="H413" s="7">
        <v>390.0</v>
      </c>
      <c r="I413" s="7" t="s">
        <v>1432</v>
      </c>
      <c r="K413" s="12" t="str">
        <f t="shared" si="39"/>
        <v>SC3567</v>
      </c>
      <c r="L413" s="2" t="s">
        <v>1433</v>
      </c>
      <c r="M413" s="2" t="s">
        <v>24</v>
      </c>
      <c r="N413" s="2" t="s">
        <v>60</v>
      </c>
      <c r="O413" s="2">
        <v>1.10751038E8</v>
      </c>
      <c r="P413" s="15"/>
      <c r="Q413" s="8">
        <v>2025.0</v>
      </c>
      <c r="R413" s="8" t="s">
        <v>894</v>
      </c>
    </row>
    <row r="414">
      <c r="A414" s="4" t="s">
        <v>18</v>
      </c>
      <c r="B414" s="13" t="s">
        <v>1434</v>
      </c>
      <c r="C414" s="5">
        <v>45882.0</v>
      </c>
      <c r="D414" s="5">
        <v>45882.0</v>
      </c>
      <c r="E414" s="4" t="s">
        <v>1435</v>
      </c>
      <c r="F414" s="9"/>
      <c r="G414" s="6"/>
      <c r="H414" s="7">
        <v>150.0</v>
      </c>
      <c r="I414" s="7" t="s">
        <v>1436</v>
      </c>
      <c r="K414" s="12" t="str">
        <f t="shared" si="39"/>
        <v>KN3817</v>
      </c>
      <c r="L414" s="2" t="s">
        <v>1437</v>
      </c>
      <c r="M414" s="2" t="s">
        <v>24</v>
      </c>
      <c r="N414" s="2" t="s">
        <v>60</v>
      </c>
      <c r="O414" s="2">
        <v>1.10751038E8</v>
      </c>
      <c r="P414" s="15"/>
      <c r="Q414" s="8">
        <v>2025.0</v>
      </c>
      <c r="R414" s="8" t="s">
        <v>894</v>
      </c>
    </row>
    <row r="415">
      <c r="A415" s="4" t="s">
        <v>18</v>
      </c>
      <c r="B415" s="13" t="s">
        <v>1438</v>
      </c>
      <c r="C415" s="5">
        <v>45882.0</v>
      </c>
      <c r="D415" s="5">
        <v>45882.0</v>
      </c>
      <c r="E415" s="4" t="s">
        <v>1439</v>
      </c>
      <c r="F415" s="9"/>
      <c r="G415" s="6"/>
      <c r="H415" s="7">
        <v>380.0</v>
      </c>
      <c r="I415" s="7" t="s">
        <v>1440</v>
      </c>
      <c r="K415" s="12" t="str">
        <f t="shared" si="39"/>
        <v>UN3668</v>
      </c>
      <c r="L415" s="2" t="s">
        <v>1441</v>
      </c>
      <c r="M415" s="2" t="s">
        <v>24</v>
      </c>
      <c r="N415" s="2" t="s">
        <v>60</v>
      </c>
      <c r="O415" s="2">
        <v>1.10751038E8</v>
      </c>
      <c r="P415" s="15"/>
      <c r="Q415" s="8">
        <v>2025.0</v>
      </c>
      <c r="R415" s="8" t="s">
        <v>894</v>
      </c>
    </row>
    <row r="416">
      <c r="A416" s="4" t="s">
        <v>18</v>
      </c>
      <c r="B416" s="13" t="s">
        <v>1442</v>
      </c>
      <c r="C416" s="5">
        <v>45883.0</v>
      </c>
      <c r="D416" s="5">
        <v>45883.0</v>
      </c>
      <c r="E416" s="4" t="s">
        <v>1443</v>
      </c>
      <c r="F416" s="9"/>
      <c r="G416" s="6"/>
      <c r="H416" s="7">
        <v>356.0</v>
      </c>
      <c r="I416" s="7" t="s">
        <v>1444</v>
      </c>
      <c r="K416" s="12" t="str">
        <f t="shared" si="39"/>
        <v>SC3567</v>
      </c>
      <c r="L416" s="2" t="s">
        <v>1445</v>
      </c>
      <c r="M416" s="2" t="s">
        <v>24</v>
      </c>
      <c r="N416" s="2" t="s">
        <v>60</v>
      </c>
      <c r="O416" s="2">
        <v>1.10751038E8</v>
      </c>
      <c r="P416" s="15"/>
      <c r="Q416" s="8">
        <v>2025.0</v>
      </c>
      <c r="R416" s="8" t="s">
        <v>894</v>
      </c>
    </row>
    <row r="417">
      <c r="A417" s="4" t="s">
        <v>18</v>
      </c>
      <c r="B417" s="13" t="s">
        <v>1446</v>
      </c>
      <c r="C417" s="5">
        <v>45883.0</v>
      </c>
      <c r="D417" s="5">
        <v>45883.0</v>
      </c>
      <c r="E417" s="4" t="s">
        <v>1447</v>
      </c>
      <c r="F417" s="9"/>
      <c r="G417" s="6"/>
      <c r="H417" s="7">
        <v>349.0</v>
      </c>
      <c r="I417" s="7" t="s">
        <v>1448</v>
      </c>
      <c r="K417" s="12" t="str">
        <f t="shared" si="39"/>
        <v>SC3567</v>
      </c>
      <c r="L417" s="2" t="s">
        <v>1449</v>
      </c>
      <c r="M417" s="2" t="s">
        <v>24</v>
      </c>
      <c r="N417" s="2" t="s">
        <v>60</v>
      </c>
      <c r="O417" s="2">
        <v>1.10751038E8</v>
      </c>
      <c r="P417" s="15"/>
      <c r="Q417" s="8">
        <v>2025.0</v>
      </c>
      <c r="R417" s="8" t="s">
        <v>894</v>
      </c>
    </row>
    <row r="418">
      <c r="A418" s="4" t="s">
        <v>18</v>
      </c>
      <c r="B418" s="13" t="s">
        <v>1450</v>
      </c>
      <c r="C418" s="5">
        <v>45883.0</v>
      </c>
      <c r="D418" s="5">
        <v>45883.0</v>
      </c>
      <c r="E418" s="4" t="s">
        <v>1451</v>
      </c>
      <c r="F418" s="9"/>
      <c r="G418" s="6"/>
      <c r="H418" s="7">
        <v>364.0</v>
      </c>
      <c r="I418" s="7" t="s">
        <v>1452</v>
      </c>
      <c r="K418" s="12" t="str">
        <f t="shared" si="39"/>
        <v>SC3567</v>
      </c>
      <c r="L418" s="2" t="s">
        <v>1453</v>
      </c>
      <c r="M418" s="2" t="s">
        <v>24</v>
      </c>
      <c r="N418" s="2" t="s">
        <v>60</v>
      </c>
      <c r="O418" s="2">
        <v>1.10751038E8</v>
      </c>
      <c r="P418" s="15"/>
      <c r="Q418" s="8">
        <v>2025.0</v>
      </c>
      <c r="R418" s="8" t="s">
        <v>894</v>
      </c>
    </row>
    <row r="419">
      <c r="A419" s="4" t="s">
        <v>18</v>
      </c>
      <c r="B419" s="13" t="s">
        <v>1454</v>
      </c>
      <c r="C419" s="5">
        <v>45883.0</v>
      </c>
      <c r="D419" s="5">
        <v>45883.0</v>
      </c>
      <c r="E419" s="4" t="s">
        <v>1455</v>
      </c>
      <c r="F419" s="9"/>
      <c r="G419" s="6"/>
      <c r="H419" s="7">
        <v>437.26</v>
      </c>
      <c r="I419" s="7" t="s">
        <v>1456</v>
      </c>
      <c r="K419" s="2" t="s">
        <v>113</v>
      </c>
      <c r="L419" s="2" t="s">
        <v>1457</v>
      </c>
      <c r="M419" s="2" t="s">
        <v>24</v>
      </c>
      <c r="N419" s="2" t="s">
        <v>60</v>
      </c>
      <c r="O419" s="2">
        <v>1.10751038E8</v>
      </c>
      <c r="P419" s="15"/>
      <c r="Q419" s="8">
        <v>2025.0</v>
      </c>
      <c r="R419" s="8" t="s">
        <v>894</v>
      </c>
    </row>
    <row r="420">
      <c r="A420" s="4" t="s">
        <v>18</v>
      </c>
      <c r="B420" s="13" t="s">
        <v>1458</v>
      </c>
      <c r="C420" s="5">
        <v>45884.0</v>
      </c>
      <c r="D420" s="5">
        <v>45884.0</v>
      </c>
      <c r="E420" s="4" t="s">
        <v>1459</v>
      </c>
      <c r="F420" s="9"/>
      <c r="G420" s="6"/>
      <c r="H420" s="7">
        <v>280.0</v>
      </c>
      <c r="I420" s="7" t="s">
        <v>1460</v>
      </c>
      <c r="K420" s="12" t="str">
        <f t="shared" ref="K420:K423" si="40">RIGHT(E420,6)</f>
        <v>UN3668</v>
      </c>
      <c r="L420" s="2" t="s">
        <v>1461</v>
      </c>
      <c r="M420" s="2" t="s">
        <v>24</v>
      </c>
      <c r="N420" s="2" t="s">
        <v>60</v>
      </c>
      <c r="O420" s="2">
        <v>1.10751038E8</v>
      </c>
      <c r="P420" s="15"/>
      <c r="Q420" s="8">
        <v>2025.0</v>
      </c>
      <c r="R420" s="8" t="s">
        <v>894</v>
      </c>
    </row>
    <row r="421">
      <c r="A421" s="4" t="s">
        <v>18</v>
      </c>
      <c r="B421" s="13" t="s">
        <v>1462</v>
      </c>
      <c r="C421" s="5">
        <v>45884.0</v>
      </c>
      <c r="D421" s="5">
        <v>45884.0</v>
      </c>
      <c r="E421" s="4" t="s">
        <v>1463</v>
      </c>
      <c r="F421" s="9"/>
      <c r="G421" s="6"/>
      <c r="H421" s="7">
        <v>780.0</v>
      </c>
      <c r="I421" s="7" t="s">
        <v>1464</v>
      </c>
      <c r="K421" s="12" t="str">
        <f t="shared" si="40"/>
        <v>UN3668</v>
      </c>
      <c r="L421" s="2" t="s">
        <v>1465</v>
      </c>
      <c r="M421" s="2" t="s">
        <v>24</v>
      </c>
      <c r="N421" s="2" t="s">
        <v>60</v>
      </c>
      <c r="O421" s="2">
        <v>1.10751038E8</v>
      </c>
      <c r="P421" s="15"/>
      <c r="Q421" s="8">
        <v>2025.0</v>
      </c>
      <c r="R421" s="8" t="s">
        <v>894</v>
      </c>
    </row>
    <row r="422">
      <c r="A422" s="4" t="s">
        <v>18</v>
      </c>
      <c r="B422" s="13" t="s">
        <v>1466</v>
      </c>
      <c r="C422" s="5">
        <v>45884.0</v>
      </c>
      <c r="D422" s="5">
        <v>45884.0</v>
      </c>
      <c r="E422" s="4" t="s">
        <v>1467</v>
      </c>
      <c r="F422" s="9"/>
      <c r="G422" s="6"/>
      <c r="H422" s="7">
        <v>198.0</v>
      </c>
      <c r="I422" s="7" t="s">
        <v>1468</v>
      </c>
      <c r="K422" s="12" t="str">
        <f t="shared" si="40"/>
        <v>SL1610</v>
      </c>
      <c r="L422" s="2" t="s">
        <v>1469</v>
      </c>
      <c r="M422" s="2" t="s">
        <v>24</v>
      </c>
      <c r="N422" s="2" t="s">
        <v>60</v>
      </c>
      <c r="O422" s="2">
        <v>1.10751038E8</v>
      </c>
      <c r="P422" s="15"/>
      <c r="Q422" s="8">
        <v>2025.0</v>
      </c>
      <c r="R422" s="8" t="s">
        <v>894</v>
      </c>
    </row>
    <row r="423">
      <c r="A423" s="4" t="s">
        <v>18</v>
      </c>
      <c r="B423" s="13" t="s">
        <v>1470</v>
      </c>
      <c r="C423" s="5">
        <v>45884.0</v>
      </c>
      <c r="D423" s="5">
        <v>45884.0</v>
      </c>
      <c r="E423" s="4" t="s">
        <v>1471</v>
      </c>
      <c r="F423" s="9"/>
      <c r="G423" s="7">
        <v>565.8</v>
      </c>
      <c r="H423" s="6"/>
      <c r="I423" s="7" t="s">
        <v>1472</v>
      </c>
      <c r="J423" s="2" t="s">
        <v>275</v>
      </c>
      <c r="K423" s="12" t="str">
        <f t="shared" si="40"/>
        <v>KN3817</v>
      </c>
      <c r="M423" s="2" t="s">
        <v>114</v>
      </c>
      <c r="N423" s="2" t="s">
        <v>275</v>
      </c>
      <c r="O423" s="2">
        <v>1.10751038E8</v>
      </c>
      <c r="Q423" s="8">
        <v>2025.0</v>
      </c>
      <c r="R423" s="8" t="s">
        <v>894</v>
      </c>
    </row>
    <row r="424">
      <c r="A424" s="4" t="s">
        <v>18</v>
      </c>
      <c r="B424" s="22" t="s">
        <v>1473</v>
      </c>
      <c r="C424" s="5">
        <v>45884.0</v>
      </c>
      <c r="D424" s="5">
        <v>45884.0</v>
      </c>
      <c r="E424" s="4" t="s">
        <v>1474</v>
      </c>
      <c r="F424" s="9"/>
      <c r="G424" s="11">
        <v>1457.0</v>
      </c>
      <c r="H424" s="6"/>
      <c r="I424" s="7" t="s">
        <v>1475</v>
      </c>
      <c r="J424" s="2" t="s">
        <v>1476</v>
      </c>
      <c r="K424" s="2" t="s">
        <v>123</v>
      </c>
      <c r="M424" s="2" t="s">
        <v>114</v>
      </c>
      <c r="N424" s="2" t="s">
        <v>1476</v>
      </c>
      <c r="O424" s="2">
        <v>1.10751038E8</v>
      </c>
      <c r="Q424" s="8">
        <v>2025.0</v>
      </c>
      <c r="R424" s="8" t="s">
        <v>894</v>
      </c>
    </row>
    <row r="425">
      <c r="A425" s="4" t="s">
        <v>18</v>
      </c>
      <c r="B425" s="13" t="s">
        <v>1477</v>
      </c>
      <c r="C425" s="5">
        <v>45884.0</v>
      </c>
      <c r="D425" s="5">
        <v>45884.0</v>
      </c>
      <c r="E425" s="4" t="s">
        <v>1478</v>
      </c>
      <c r="F425" s="9"/>
      <c r="G425" s="11">
        <v>8496.0</v>
      </c>
      <c r="H425" s="6"/>
      <c r="I425" s="7" t="s">
        <v>1479</v>
      </c>
      <c r="J425" s="2" t="s">
        <v>1480</v>
      </c>
      <c r="K425" s="12" t="str">
        <f t="shared" ref="K425:K433" si="41">RIGHT(E425,6)</f>
        <v>SC3567</v>
      </c>
      <c r="M425" s="2" t="s">
        <v>114</v>
      </c>
      <c r="N425" s="2" t="s">
        <v>1481</v>
      </c>
      <c r="O425" s="2">
        <v>1.10751038E8</v>
      </c>
      <c r="Q425" s="8">
        <v>2025.0</v>
      </c>
      <c r="R425" s="8" t="s">
        <v>894</v>
      </c>
    </row>
    <row r="426">
      <c r="A426" s="4" t="s">
        <v>18</v>
      </c>
      <c r="B426" s="13" t="s">
        <v>1482</v>
      </c>
      <c r="C426" s="5">
        <v>45885.0</v>
      </c>
      <c r="D426" s="5">
        <v>45885.0</v>
      </c>
      <c r="E426" s="4" t="s">
        <v>1483</v>
      </c>
      <c r="F426" s="9"/>
      <c r="G426" s="6"/>
      <c r="H426" s="7">
        <v>400.0</v>
      </c>
      <c r="I426" s="7" t="s">
        <v>1484</v>
      </c>
      <c r="K426" s="12" t="str">
        <f t="shared" si="41"/>
        <v>KN3817</v>
      </c>
      <c r="L426" s="2" t="s">
        <v>1485</v>
      </c>
      <c r="M426" s="2" t="s">
        <v>24</v>
      </c>
      <c r="N426" s="2" t="s">
        <v>60</v>
      </c>
      <c r="O426" s="2">
        <v>1.10751038E8</v>
      </c>
      <c r="P426" s="15"/>
      <c r="Q426" s="8">
        <v>2025.0</v>
      </c>
      <c r="R426" s="8" t="s">
        <v>894</v>
      </c>
    </row>
    <row r="427">
      <c r="A427" s="4" t="s">
        <v>18</v>
      </c>
      <c r="B427" s="13" t="s">
        <v>1486</v>
      </c>
      <c r="C427" s="5">
        <v>45885.0</v>
      </c>
      <c r="D427" s="5">
        <v>45885.0</v>
      </c>
      <c r="E427" s="4" t="s">
        <v>1487</v>
      </c>
      <c r="F427" s="9"/>
      <c r="G427" s="6"/>
      <c r="H427" s="7">
        <v>400.0</v>
      </c>
      <c r="I427" s="7" t="s">
        <v>1488</v>
      </c>
      <c r="K427" s="12" t="str">
        <f t="shared" si="41"/>
        <v>SC3567</v>
      </c>
      <c r="L427" s="2" t="s">
        <v>1489</v>
      </c>
      <c r="M427" s="2" t="s">
        <v>24</v>
      </c>
      <c r="N427" s="2" t="s">
        <v>60</v>
      </c>
      <c r="O427" s="2">
        <v>1.10751038E8</v>
      </c>
      <c r="P427" s="15"/>
      <c r="Q427" s="8">
        <v>2025.0</v>
      </c>
      <c r="R427" s="8" t="s">
        <v>894</v>
      </c>
    </row>
    <row r="428">
      <c r="A428" s="4" t="s">
        <v>18</v>
      </c>
      <c r="B428" s="13" t="s">
        <v>1490</v>
      </c>
      <c r="C428" s="5">
        <v>45885.0</v>
      </c>
      <c r="D428" s="5">
        <v>45885.0</v>
      </c>
      <c r="E428" s="4" t="s">
        <v>1491</v>
      </c>
      <c r="F428" s="9"/>
      <c r="G428" s="6"/>
      <c r="H428" s="7">
        <v>250.0</v>
      </c>
      <c r="I428" s="7" t="s">
        <v>1492</v>
      </c>
      <c r="K428" s="12" t="str">
        <f t="shared" si="41"/>
        <v>UN3668</v>
      </c>
      <c r="L428" s="2" t="s">
        <v>1493</v>
      </c>
      <c r="M428" s="2" t="s">
        <v>24</v>
      </c>
      <c r="N428" s="2" t="s">
        <v>60</v>
      </c>
      <c r="O428" s="2">
        <v>1.10751038E8</v>
      </c>
      <c r="P428" s="15"/>
      <c r="Q428" s="8">
        <v>2025.0</v>
      </c>
      <c r="R428" s="8" t="s">
        <v>894</v>
      </c>
    </row>
    <row r="429">
      <c r="A429" s="4" t="s">
        <v>18</v>
      </c>
      <c r="B429" s="13" t="s">
        <v>1494</v>
      </c>
      <c r="C429" s="5">
        <v>45885.0</v>
      </c>
      <c r="D429" s="5">
        <v>45885.0</v>
      </c>
      <c r="E429" s="4" t="s">
        <v>1495</v>
      </c>
      <c r="F429" s="9"/>
      <c r="G429" s="6"/>
      <c r="H429" s="7">
        <v>660.0</v>
      </c>
      <c r="I429" s="7" t="s">
        <v>1496</v>
      </c>
      <c r="K429" s="12" t="str">
        <f t="shared" si="41"/>
        <v>SL1610</v>
      </c>
      <c r="L429" s="2" t="s">
        <v>1497</v>
      </c>
      <c r="M429" s="2" t="s">
        <v>24</v>
      </c>
      <c r="N429" s="2" t="s">
        <v>60</v>
      </c>
      <c r="O429" s="2">
        <v>1.10751038E8</v>
      </c>
      <c r="P429" s="15"/>
      <c r="Q429" s="8">
        <v>2025.0</v>
      </c>
      <c r="R429" s="8" t="s">
        <v>894</v>
      </c>
    </row>
    <row r="430">
      <c r="A430" s="4" t="s">
        <v>18</v>
      </c>
      <c r="B430" s="13" t="s">
        <v>1498</v>
      </c>
      <c r="C430" s="5">
        <v>45886.0</v>
      </c>
      <c r="D430" s="5">
        <v>45886.0</v>
      </c>
      <c r="E430" s="4" t="s">
        <v>1499</v>
      </c>
      <c r="F430" s="9"/>
      <c r="G430" s="6"/>
      <c r="H430" s="7">
        <v>960.0</v>
      </c>
      <c r="I430" s="7" t="s">
        <v>1500</v>
      </c>
      <c r="K430" s="12" t="str">
        <f t="shared" si="41"/>
        <v>SL1610</v>
      </c>
      <c r="L430" s="2" t="s">
        <v>1501</v>
      </c>
      <c r="M430" s="2" t="s">
        <v>24</v>
      </c>
      <c r="N430" s="2" t="s">
        <v>60</v>
      </c>
      <c r="O430" s="2">
        <v>1.10751038E8</v>
      </c>
      <c r="P430" s="15"/>
      <c r="Q430" s="8">
        <v>2025.0</v>
      </c>
      <c r="R430" s="8" t="s">
        <v>894</v>
      </c>
    </row>
    <row r="431">
      <c r="A431" s="4" t="s">
        <v>18</v>
      </c>
      <c r="B431" s="13" t="s">
        <v>1502</v>
      </c>
      <c r="C431" s="5">
        <v>45886.0</v>
      </c>
      <c r="D431" s="5">
        <v>45886.0</v>
      </c>
      <c r="E431" s="4" t="s">
        <v>1503</v>
      </c>
      <c r="F431" s="9"/>
      <c r="G431" s="6"/>
      <c r="H431" s="7">
        <v>284.0</v>
      </c>
      <c r="I431" s="7" t="s">
        <v>1504</v>
      </c>
      <c r="K431" s="12" t="str">
        <f t="shared" si="41"/>
        <v>SL1610</v>
      </c>
      <c r="L431" s="2" t="s">
        <v>1505</v>
      </c>
      <c r="M431" s="2" t="s">
        <v>24</v>
      </c>
      <c r="N431" s="2" t="s">
        <v>60</v>
      </c>
      <c r="O431" s="2">
        <v>1.10751038E8</v>
      </c>
      <c r="P431" s="15"/>
      <c r="Q431" s="8">
        <v>2025.0</v>
      </c>
      <c r="R431" s="8" t="s">
        <v>894</v>
      </c>
    </row>
    <row r="432">
      <c r="A432" s="4" t="s">
        <v>18</v>
      </c>
      <c r="B432" s="13" t="s">
        <v>1506</v>
      </c>
      <c r="C432" s="5">
        <v>45886.0</v>
      </c>
      <c r="D432" s="5">
        <v>45886.0</v>
      </c>
      <c r="E432" s="4" t="s">
        <v>1507</v>
      </c>
      <c r="F432" s="9"/>
      <c r="G432" s="6"/>
      <c r="H432" s="7">
        <v>314.0</v>
      </c>
      <c r="I432" s="7" t="s">
        <v>1508</v>
      </c>
      <c r="K432" s="12" t="str">
        <f t="shared" si="41"/>
        <v>KN3817</v>
      </c>
      <c r="L432" s="2" t="s">
        <v>1509</v>
      </c>
      <c r="M432" s="2" t="s">
        <v>24</v>
      </c>
      <c r="N432" s="2" t="s">
        <v>60</v>
      </c>
      <c r="O432" s="2">
        <v>1.10751038E8</v>
      </c>
      <c r="P432" s="15"/>
      <c r="Q432" s="8">
        <v>2025.0</v>
      </c>
      <c r="R432" s="8" t="s">
        <v>894</v>
      </c>
    </row>
    <row r="433">
      <c r="A433" s="4" t="s">
        <v>18</v>
      </c>
      <c r="B433" s="13" t="s">
        <v>1510</v>
      </c>
      <c r="C433" s="5">
        <v>45886.0</v>
      </c>
      <c r="D433" s="5">
        <v>45886.0</v>
      </c>
      <c r="E433" s="4" t="s">
        <v>1511</v>
      </c>
      <c r="F433" s="9"/>
      <c r="G433" s="6"/>
      <c r="H433" s="11">
        <v>1200.0</v>
      </c>
      <c r="I433" s="7" t="s">
        <v>1512</v>
      </c>
      <c r="K433" s="12" t="str">
        <f t="shared" si="41"/>
        <v>KN3817</v>
      </c>
      <c r="L433" s="2" t="s">
        <v>1513</v>
      </c>
      <c r="M433" s="2" t="s">
        <v>24</v>
      </c>
      <c r="N433" s="2" t="s">
        <v>60</v>
      </c>
      <c r="O433" s="2">
        <v>1.10751038E8</v>
      </c>
      <c r="P433" s="15"/>
      <c r="Q433" s="8">
        <v>2025.0</v>
      </c>
      <c r="R433" s="8" t="s">
        <v>894</v>
      </c>
    </row>
    <row r="434">
      <c r="A434" s="4" t="s">
        <v>18</v>
      </c>
      <c r="B434" s="13" t="s">
        <v>1514</v>
      </c>
      <c r="C434" s="5">
        <v>45886.0</v>
      </c>
      <c r="D434" s="5">
        <v>45886.0</v>
      </c>
      <c r="E434" s="4" t="s">
        <v>1515</v>
      </c>
      <c r="F434" s="9"/>
      <c r="G434" s="6"/>
      <c r="H434" s="7">
        <v>757.0</v>
      </c>
      <c r="I434" s="7" t="s">
        <v>1516</v>
      </c>
      <c r="K434" s="2" t="s">
        <v>113</v>
      </c>
      <c r="L434" s="2" t="s">
        <v>1517</v>
      </c>
      <c r="M434" s="2" t="s">
        <v>24</v>
      </c>
      <c r="N434" s="2" t="s">
        <v>60</v>
      </c>
      <c r="O434" s="2">
        <v>1.10751038E8</v>
      </c>
      <c r="P434" s="15"/>
      <c r="Q434" s="8">
        <v>2025.0</v>
      </c>
      <c r="R434" s="8" t="s">
        <v>894</v>
      </c>
    </row>
    <row r="435">
      <c r="A435" s="4" t="s">
        <v>18</v>
      </c>
      <c r="B435" s="13" t="s">
        <v>1518</v>
      </c>
      <c r="C435" s="5">
        <v>45886.0</v>
      </c>
      <c r="D435" s="5">
        <v>45886.0</v>
      </c>
      <c r="E435" s="4" t="s">
        <v>1519</v>
      </c>
      <c r="F435" s="9"/>
      <c r="G435" s="6"/>
      <c r="H435" s="7">
        <v>580.0</v>
      </c>
      <c r="I435" s="7" t="s">
        <v>1520</v>
      </c>
      <c r="K435" s="12" t="str">
        <f t="shared" ref="K435:K449" si="42">RIGHT(E435,6)</f>
        <v>SL1610</v>
      </c>
      <c r="L435" s="2" t="s">
        <v>1521</v>
      </c>
      <c r="M435" s="2" t="s">
        <v>24</v>
      </c>
      <c r="N435" s="2" t="s">
        <v>60</v>
      </c>
      <c r="O435" s="2">
        <v>1.10751038E8</v>
      </c>
      <c r="P435" s="15"/>
      <c r="Q435" s="8">
        <v>2025.0</v>
      </c>
      <c r="R435" s="8" t="s">
        <v>894</v>
      </c>
    </row>
    <row r="436">
      <c r="A436" s="4" t="s">
        <v>18</v>
      </c>
      <c r="B436" s="13" t="s">
        <v>1522</v>
      </c>
      <c r="C436" s="5">
        <v>45886.0</v>
      </c>
      <c r="D436" s="5">
        <v>45886.0</v>
      </c>
      <c r="E436" s="4" t="s">
        <v>1523</v>
      </c>
      <c r="F436" s="9"/>
      <c r="G436" s="6"/>
      <c r="H436" s="7">
        <v>286.0</v>
      </c>
      <c r="I436" s="7" t="s">
        <v>1524</v>
      </c>
      <c r="K436" s="12" t="str">
        <f t="shared" si="42"/>
        <v>SL1610</v>
      </c>
      <c r="L436" s="2" t="s">
        <v>1525</v>
      </c>
      <c r="M436" s="2" t="s">
        <v>24</v>
      </c>
      <c r="N436" s="2" t="s">
        <v>60</v>
      </c>
      <c r="O436" s="2">
        <v>1.10751038E8</v>
      </c>
      <c r="P436" s="15"/>
      <c r="Q436" s="8">
        <v>2025.0</v>
      </c>
      <c r="R436" s="8" t="s">
        <v>894</v>
      </c>
    </row>
    <row r="437">
      <c r="A437" s="4" t="s">
        <v>18</v>
      </c>
      <c r="B437" s="13" t="s">
        <v>1526</v>
      </c>
      <c r="C437" s="5">
        <v>45886.0</v>
      </c>
      <c r="D437" s="5">
        <v>45886.0</v>
      </c>
      <c r="E437" s="4" t="s">
        <v>1527</v>
      </c>
      <c r="F437" s="9"/>
      <c r="G437" s="6"/>
      <c r="H437" s="7">
        <v>300.0</v>
      </c>
      <c r="I437" s="7" t="s">
        <v>1528</v>
      </c>
      <c r="K437" s="12" t="str">
        <f t="shared" si="42"/>
        <v>UN3668</v>
      </c>
      <c r="L437" s="2" t="s">
        <v>1529</v>
      </c>
      <c r="M437" s="2" t="s">
        <v>24</v>
      </c>
      <c r="N437" s="2" t="s">
        <v>60</v>
      </c>
      <c r="O437" s="2">
        <v>1.10751038E8</v>
      </c>
      <c r="P437" s="15"/>
      <c r="Q437" s="8">
        <v>2025.0</v>
      </c>
      <c r="R437" s="8" t="s">
        <v>894</v>
      </c>
    </row>
    <row r="438">
      <c r="A438" s="4" t="s">
        <v>18</v>
      </c>
      <c r="B438" s="13" t="s">
        <v>1530</v>
      </c>
      <c r="C438" s="5">
        <v>45886.0</v>
      </c>
      <c r="D438" s="5">
        <v>45886.0</v>
      </c>
      <c r="E438" s="4" t="s">
        <v>1531</v>
      </c>
      <c r="F438" s="9"/>
      <c r="G438" s="6"/>
      <c r="H438" s="7">
        <v>963.0</v>
      </c>
      <c r="I438" s="7" t="s">
        <v>1532</v>
      </c>
      <c r="K438" s="12" t="str">
        <f t="shared" si="42"/>
        <v>SL1610</v>
      </c>
      <c r="L438" s="2" t="s">
        <v>1533</v>
      </c>
      <c r="M438" s="2" t="s">
        <v>24</v>
      </c>
      <c r="N438" s="2" t="s">
        <v>60</v>
      </c>
      <c r="O438" s="2">
        <v>1.10751038E8</v>
      </c>
      <c r="P438" s="15"/>
      <c r="Q438" s="8">
        <v>2025.0</v>
      </c>
      <c r="R438" s="8" t="s">
        <v>894</v>
      </c>
    </row>
    <row r="439">
      <c r="A439" s="4" t="s">
        <v>18</v>
      </c>
      <c r="B439" s="13" t="s">
        <v>1534</v>
      </c>
      <c r="C439" s="5">
        <v>45886.0</v>
      </c>
      <c r="D439" s="5">
        <v>45886.0</v>
      </c>
      <c r="E439" s="4" t="s">
        <v>1535</v>
      </c>
      <c r="F439" s="9"/>
      <c r="G439" s="6"/>
      <c r="H439" s="7">
        <v>723.0</v>
      </c>
      <c r="I439" s="7" t="s">
        <v>1536</v>
      </c>
      <c r="K439" s="12" t="str">
        <f t="shared" si="42"/>
        <v>SL1610</v>
      </c>
      <c r="L439" s="2" t="s">
        <v>1537</v>
      </c>
      <c r="M439" s="2" t="s">
        <v>24</v>
      </c>
      <c r="N439" s="2" t="s">
        <v>60</v>
      </c>
      <c r="O439" s="2">
        <v>1.10751038E8</v>
      </c>
      <c r="P439" s="15"/>
      <c r="Q439" s="8">
        <v>2025.0</v>
      </c>
      <c r="R439" s="8" t="s">
        <v>894</v>
      </c>
    </row>
    <row r="440">
      <c r="A440" s="4" t="s">
        <v>18</v>
      </c>
      <c r="B440" s="13" t="s">
        <v>1538</v>
      </c>
      <c r="C440" s="5">
        <v>45886.0</v>
      </c>
      <c r="D440" s="5">
        <v>45886.0</v>
      </c>
      <c r="E440" s="4" t="s">
        <v>1539</v>
      </c>
      <c r="F440" s="9"/>
      <c r="G440" s="6"/>
      <c r="H440" s="11">
        <v>1321.0</v>
      </c>
      <c r="I440" s="7" t="s">
        <v>1540</v>
      </c>
      <c r="K440" s="12" t="str">
        <f t="shared" si="42"/>
        <v>SL1610</v>
      </c>
      <c r="L440" s="2" t="s">
        <v>1541</v>
      </c>
      <c r="M440" s="2" t="s">
        <v>24</v>
      </c>
      <c r="N440" s="2" t="s">
        <v>60</v>
      </c>
      <c r="O440" s="2">
        <v>1.10751038E8</v>
      </c>
      <c r="P440" s="15"/>
      <c r="Q440" s="8">
        <v>2025.0</v>
      </c>
      <c r="R440" s="8" t="s">
        <v>894</v>
      </c>
    </row>
    <row r="441">
      <c r="A441" s="4" t="s">
        <v>18</v>
      </c>
      <c r="B441" s="13" t="s">
        <v>1542</v>
      </c>
      <c r="C441" s="5">
        <v>45886.0</v>
      </c>
      <c r="D441" s="5">
        <v>45886.0</v>
      </c>
      <c r="E441" s="4" t="s">
        <v>1543</v>
      </c>
      <c r="F441" s="9"/>
      <c r="G441" s="6"/>
      <c r="H441" s="7">
        <v>362.0</v>
      </c>
      <c r="I441" s="7" t="s">
        <v>1544</v>
      </c>
      <c r="K441" s="12" t="str">
        <f t="shared" si="42"/>
        <v>SL1610</v>
      </c>
      <c r="L441" s="2" t="s">
        <v>1545</v>
      </c>
      <c r="M441" s="2" t="s">
        <v>24</v>
      </c>
      <c r="N441" s="2" t="s">
        <v>60</v>
      </c>
      <c r="O441" s="2">
        <v>1.10751038E8</v>
      </c>
      <c r="P441" s="15"/>
      <c r="Q441" s="8">
        <v>2025.0</v>
      </c>
      <c r="R441" s="8" t="s">
        <v>894</v>
      </c>
    </row>
    <row r="442">
      <c r="A442" s="4" t="s">
        <v>18</v>
      </c>
      <c r="B442" s="13" t="s">
        <v>1546</v>
      </c>
      <c r="C442" s="5">
        <v>45886.0</v>
      </c>
      <c r="D442" s="5">
        <v>45886.0</v>
      </c>
      <c r="E442" s="4" t="s">
        <v>1547</v>
      </c>
      <c r="F442" s="9"/>
      <c r="G442" s="6"/>
      <c r="H442" s="7">
        <v>269.0</v>
      </c>
      <c r="I442" s="7" t="s">
        <v>1548</v>
      </c>
      <c r="K442" s="12" t="str">
        <f t="shared" si="42"/>
        <v>SC3567</v>
      </c>
      <c r="M442" s="2" t="s">
        <v>24</v>
      </c>
      <c r="N442" s="2" t="s">
        <v>60</v>
      </c>
      <c r="O442" s="2">
        <v>1.10751038E8</v>
      </c>
      <c r="P442" s="15" t="str">
        <f>IFERROR(__xludf.DUMMYFUNCTION("CONCATENATE(B442,"", "", to_text(D442),"", "", E442,"", "", H442)"),"TSV-08-0171, 17-Aug-2025, UPI/CR/522976075542/AISHWARY/UBIN/officia/SC3567, 269")</f>
        <v>TSV-08-0171, 17-Aug-2025, UPI/CR/522976075542/AISHWARY/UBIN/officia/SC3567, 269</v>
      </c>
      <c r="Q442" s="8">
        <v>2025.0</v>
      </c>
      <c r="R442" s="8" t="s">
        <v>894</v>
      </c>
    </row>
    <row r="443">
      <c r="A443" s="4" t="s">
        <v>18</v>
      </c>
      <c r="B443" s="13" t="s">
        <v>1549</v>
      </c>
      <c r="C443" s="5">
        <v>45886.0</v>
      </c>
      <c r="D443" s="5">
        <v>45886.0</v>
      </c>
      <c r="E443" s="4" t="s">
        <v>1550</v>
      </c>
      <c r="F443" s="9"/>
      <c r="G443" s="6"/>
      <c r="H443" s="7">
        <v>915.0</v>
      </c>
      <c r="I443" s="7" t="s">
        <v>1551</v>
      </c>
      <c r="K443" s="12" t="str">
        <f t="shared" si="42"/>
        <v>SL1610</v>
      </c>
      <c r="L443" s="2" t="s">
        <v>1552</v>
      </c>
      <c r="M443" s="2" t="s">
        <v>24</v>
      </c>
      <c r="N443" s="2" t="s">
        <v>60</v>
      </c>
      <c r="O443" s="2">
        <v>1.10751038E8</v>
      </c>
      <c r="P443" s="15"/>
      <c r="Q443" s="8">
        <v>2025.0</v>
      </c>
      <c r="R443" s="8" t="s">
        <v>894</v>
      </c>
    </row>
    <row r="444">
      <c r="A444" s="4" t="s">
        <v>18</v>
      </c>
      <c r="B444" s="13" t="s">
        <v>1553</v>
      </c>
      <c r="C444" s="5">
        <v>45886.0</v>
      </c>
      <c r="D444" s="5">
        <v>45886.0</v>
      </c>
      <c r="E444" s="4" t="s">
        <v>1554</v>
      </c>
      <c r="F444" s="9"/>
      <c r="G444" s="6"/>
      <c r="H444" s="7">
        <v>260.0</v>
      </c>
      <c r="I444" s="7" t="s">
        <v>1555</v>
      </c>
      <c r="K444" s="12" t="str">
        <f t="shared" si="42"/>
        <v>UN3668</v>
      </c>
      <c r="L444" s="2" t="s">
        <v>1556</v>
      </c>
      <c r="M444" s="2" t="s">
        <v>24</v>
      </c>
      <c r="N444" s="2" t="s">
        <v>60</v>
      </c>
      <c r="O444" s="2">
        <v>1.10751038E8</v>
      </c>
      <c r="P444" s="15"/>
      <c r="Q444" s="8">
        <v>2025.0</v>
      </c>
      <c r="R444" s="8" t="s">
        <v>894</v>
      </c>
    </row>
    <row r="445">
      <c r="A445" s="4" t="s">
        <v>18</v>
      </c>
      <c r="B445" s="13" t="s">
        <v>1557</v>
      </c>
      <c r="C445" s="5">
        <v>45886.0</v>
      </c>
      <c r="D445" s="5">
        <v>45886.0</v>
      </c>
      <c r="E445" s="4" t="s">
        <v>1558</v>
      </c>
      <c r="F445" s="9"/>
      <c r="G445" s="6"/>
      <c r="H445" s="7">
        <v>600.0</v>
      </c>
      <c r="I445" s="7" t="s">
        <v>1559</v>
      </c>
      <c r="K445" s="12" t="str">
        <f t="shared" si="42"/>
        <v>UN3668</v>
      </c>
      <c r="L445" s="2" t="s">
        <v>1560</v>
      </c>
      <c r="M445" s="2" t="s">
        <v>24</v>
      </c>
      <c r="N445" s="2" t="s">
        <v>60</v>
      </c>
      <c r="O445" s="2">
        <v>1.10751038E8</v>
      </c>
      <c r="P445" s="15"/>
      <c r="Q445" s="8">
        <v>2025.0</v>
      </c>
      <c r="R445" s="8" t="s">
        <v>894</v>
      </c>
    </row>
    <row r="446">
      <c r="A446" s="4" t="s">
        <v>18</v>
      </c>
      <c r="B446" s="13" t="s">
        <v>1561</v>
      </c>
      <c r="C446" s="5">
        <v>45887.0</v>
      </c>
      <c r="D446" s="5">
        <v>45887.0</v>
      </c>
      <c r="E446" s="4" t="s">
        <v>1562</v>
      </c>
      <c r="F446" s="9"/>
      <c r="G446" s="6"/>
      <c r="H446" s="7">
        <v>528.0</v>
      </c>
      <c r="I446" s="7" t="s">
        <v>1563</v>
      </c>
      <c r="K446" s="12" t="str">
        <f t="shared" si="42"/>
        <v>KN3817</v>
      </c>
      <c r="L446" s="2" t="s">
        <v>1564</v>
      </c>
      <c r="M446" s="2" t="s">
        <v>24</v>
      </c>
      <c r="N446" s="2" t="s">
        <v>60</v>
      </c>
      <c r="O446" s="2">
        <v>1.10751038E8</v>
      </c>
      <c r="P446" s="15"/>
      <c r="Q446" s="8">
        <v>2025.0</v>
      </c>
      <c r="R446" s="8" t="s">
        <v>894</v>
      </c>
    </row>
    <row r="447">
      <c r="A447" s="4" t="s">
        <v>18</v>
      </c>
      <c r="B447" s="13" t="s">
        <v>1565</v>
      </c>
      <c r="C447" s="5">
        <v>45887.0</v>
      </c>
      <c r="D447" s="5">
        <v>45887.0</v>
      </c>
      <c r="E447" s="4" t="s">
        <v>1566</v>
      </c>
      <c r="F447" s="9"/>
      <c r="G447" s="6"/>
      <c r="H447" s="7">
        <v>496.0</v>
      </c>
      <c r="I447" s="7" t="s">
        <v>1567</v>
      </c>
      <c r="K447" s="12" t="str">
        <f t="shared" si="42"/>
        <v>KN3817</v>
      </c>
      <c r="L447" s="2" t="s">
        <v>1568</v>
      </c>
      <c r="M447" s="2" t="s">
        <v>24</v>
      </c>
      <c r="N447" s="2" t="s">
        <v>60</v>
      </c>
      <c r="O447" s="2">
        <v>1.10751038E8</v>
      </c>
      <c r="P447" s="15"/>
      <c r="Q447" s="8">
        <v>2025.0</v>
      </c>
      <c r="R447" s="8" t="s">
        <v>894</v>
      </c>
    </row>
    <row r="448">
      <c r="A448" s="4" t="s">
        <v>18</v>
      </c>
      <c r="B448" s="13" t="s">
        <v>1569</v>
      </c>
      <c r="C448" s="5">
        <v>45887.0</v>
      </c>
      <c r="D448" s="5">
        <v>45887.0</v>
      </c>
      <c r="E448" s="4" t="s">
        <v>1570</v>
      </c>
      <c r="F448" s="9"/>
      <c r="G448" s="6"/>
      <c r="H448" s="11">
        <v>1419.0</v>
      </c>
      <c r="I448" s="7" t="s">
        <v>1571</v>
      </c>
      <c r="K448" s="12" t="str">
        <f t="shared" si="42"/>
        <v>SC3567</v>
      </c>
      <c r="L448" s="2" t="s">
        <v>1572</v>
      </c>
      <c r="M448" s="2" t="s">
        <v>24</v>
      </c>
      <c r="N448" s="2" t="s">
        <v>60</v>
      </c>
      <c r="O448" s="2">
        <v>1.10751038E8</v>
      </c>
      <c r="P448" s="15"/>
      <c r="Q448" s="8">
        <v>2025.0</v>
      </c>
      <c r="R448" s="8" t="s">
        <v>894</v>
      </c>
    </row>
    <row r="449">
      <c r="A449" s="4" t="s">
        <v>18</v>
      </c>
      <c r="B449" s="13" t="s">
        <v>1573</v>
      </c>
      <c r="C449" s="5">
        <v>45887.0</v>
      </c>
      <c r="D449" s="5">
        <v>45887.0</v>
      </c>
      <c r="E449" s="4" t="s">
        <v>1574</v>
      </c>
      <c r="F449" s="9"/>
      <c r="G449" s="6"/>
      <c r="H449" s="7">
        <v>159.0</v>
      </c>
      <c r="I449" s="7" t="s">
        <v>1575</v>
      </c>
      <c r="K449" s="12" t="str">
        <f t="shared" si="42"/>
        <v>SL1610</v>
      </c>
      <c r="L449" s="2" t="s">
        <v>1576</v>
      </c>
      <c r="M449" s="2" t="s">
        <v>24</v>
      </c>
      <c r="N449" s="2" t="s">
        <v>60</v>
      </c>
      <c r="O449" s="2">
        <v>1.10751038E8</v>
      </c>
      <c r="P449" s="15"/>
      <c r="Q449" s="8">
        <v>2025.0</v>
      </c>
      <c r="R449" s="8" t="s">
        <v>894</v>
      </c>
    </row>
    <row r="450">
      <c r="A450" s="4" t="s">
        <v>18</v>
      </c>
      <c r="B450" s="13" t="s">
        <v>1577</v>
      </c>
      <c r="C450" s="5">
        <v>45887.0</v>
      </c>
      <c r="D450" s="5">
        <v>45887.0</v>
      </c>
      <c r="E450" s="4" t="s">
        <v>1578</v>
      </c>
      <c r="F450" s="9"/>
      <c r="G450" s="6"/>
      <c r="H450" s="7">
        <v>400.0</v>
      </c>
      <c r="I450" s="7" t="s">
        <v>1579</v>
      </c>
      <c r="K450" s="2" t="s">
        <v>539</v>
      </c>
      <c r="M450" s="2" t="s">
        <v>24</v>
      </c>
      <c r="N450" s="2" t="s">
        <v>60</v>
      </c>
      <c r="O450" s="2">
        <v>1.10751038E8</v>
      </c>
      <c r="P450" s="15" t="str">
        <f>IFERROR(__xludf.DUMMYFUNCTION("CONCATENATE(B450,"", "", to_text(D450),"", "", E450,"", "", H450)"),"TSV-08-0179, 18-Aug-2025, UPI/CR/523047966591/PRIYANSH/UBIN/priyans/na, 400")</f>
        <v>TSV-08-0179, 18-Aug-2025, UPI/CR/523047966591/PRIYANSH/UBIN/priyans/na, 400</v>
      </c>
      <c r="Q450" s="8">
        <v>2025.0</v>
      </c>
      <c r="R450" s="8" t="s">
        <v>894</v>
      </c>
    </row>
    <row r="451">
      <c r="A451" s="4" t="s">
        <v>18</v>
      </c>
      <c r="B451" s="13" t="s">
        <v>1580</v>
      </c>
      <c r="C451" s="5">
        <v>45887.0</v>
      </c>
      <c r="D451" s="5">
        <v>45887.0</v>
      </c>
      <c r="E451" s="4" t="s">
        <v>1581</v>
      </c>
      <c r="F451" s="9"/>
      <c r="G451" s="6"/>
      <c r="H451" s="7">
        <v>444.0</v>
      </c>
      <c r="I451" s="7" t="s">
        <v>1582</v>
      </c>
      <c r="K451" s="12" t="str">
        <f t="shared" ref="K451:K457" si="43">RIGHT(E451,6)</f>
        <v>SL1610</v>
      </c>
      <c r="L451" s="2" t="s">
        <v>1583</v>
      </c>
      <c r="M451" s="2" t="s">
        <v>24</v>
      </c>
      <c r="N451" s="2" t="s">
        <v>60</v>
      </c>
      <c r="O451" s="2">
        <v>1.10751038E8</v>
      </c>
      <c r="P451" s="15"/>
      <c r="Q451" s="8">
        <v>2025.0</v>
      </c>
      <c r="R451" s="8" t="s">
        <v>894</v>
      </c>
    </row>
    <row r="452">
      <c r="A452" s="4" t="s">
        <v>18</v>
      </c>
      <c r="B452" s="13" t="s">
        <v>1584</v>
      </c>
      <c r="C452" s="5">
        <v>45887.0</v>
      </c>
      <c r="D452" s="5">
        <v>45887.0</v>
      </c>
      <c r="E452" s="4" t="s">
        <v>1585</v>
      </c>
      <c r="F452" s="9"/>
      <c r="G452" s="6"/>
      <c r="H452" s="7">
        <v>430.0</v>
      </c>
      <c r="I452" s="7" t="s">
        <v>1586</v>
      </c>
      <c r="K452" s="12" t="str">
        <f t="shared" si="43"/>
        <v>UN3668</v>
      </c>
      <c r="L452" s="2" t="s">
        <v>1587</v>
      </c>
      <c r="M452" s="2" t="s">
        <v>24</v>
      </c>
      <c r="N452" s="2" t="s">
        <v>60</v>
      </c>
      <c r="O452" s="2">
        <v>1.10751038E8</v>
      </c>
      <c r="P452" s="15"/>
      <c r="Q452" s="8">
        <v>2025.0</v>
      </c>
      <c r="R452" s="8" t="s">
        <v>894</v>
      </c>
    </row>
    <row r="453">
      <c r="A453" s="4" t="s">
        <v>18</v>
      </c>
      <c r="B453" s="13" t="s">
        <v>1588</v>
      </c>
      <c r="C453" s="5">
        <v>45888.0</v>
      </c>
      <c r="D453" s="5">
        <v>45888.0</v>
      </c>
      <c r="E453" s="4" t="s">
        <v>1589</v>
      </c>
      <c r="F453" s="9"/>
      <c r="G453" s="6"/>
      <c r="H453" s="11">
        <v>1280.0</v>
      </c>
      <c r="I453" s="7" t="s">
        <v>1590</v>
      </c>
      <c r="K453" s="12" t="str">
        <f t="shared" si="43"/>
        <v>SL1610</v>
      </c>
      <c r="L453" s="2" t="s">
        <v>1591</v>
      </c>
      <c r="M453" s="2" t="s">
        <v>24</v>
      </c>
      <c r="N453" s="2" t="s">
        <v>60</v>
      </c>
      <c r="O453" s="2">
        <v>1.10751038E8</v>
      </c>
      <c r="P453" s="15"/>
      <c r="Q453" s="8">
        <v>2025.0</v>
      </c>
      <c r="R453" s="8" t="s">
        <v>894</v>
      </c>
    </row>
    <row r="454">
      <c r="A454" s="4" t="s">
        <v>18</v>
      </c>
      <c r="B454" s="13" t="s">
        <v>1592</v>
      </c>
      <c r="C454" s="5">
        <v>45888.0</v>
      </c>
      <c r="D454" s="5">
        <v>45888.0</v>
      </c>
      <c r="E454" s="4" t="s">
        <v>1593</v>
      </c>
      <c r="F454" s="9"/>
      <c r="G454" s="6"/>
      <c r="H454" s="11">
        <v>3000.0</v>
      </c>
      <c r="I454" s="7" t="s">
        <v>1594</v>
      </c>
      <c r="K454" s="12" t="str">
        <f t="shared" si="43"/>
        <v>SL1610</v>
      </c>
      <c r="L454" s="2" t="s">
        <v>1595</v>
      </c>
      <c r="M454" s="2" t="s">
        <v>24</v>
      </c>
      <c r="N454" s="2" t="s">
        <v>60</v>
      </c>
      <c r="O454" s="2">
        <v>1.10751038E8</v>
      </c>
      <c r="P454" s="15"/>
      <c r="Q454" s="8">
        <v>2025.0</v>
      </c>
      <c r="R454" s="8" t="s">
        <v>894</v>
      </c>
    </row>
    <row r="455">
      <c r="A455" s="4" t="s">
        <v>18</v>
      </c>
      <c r="B455" s="13" t="s">
        <v>1596</v>
      </c>
      <c r="C455" s="5">
        <v>45888.0</v>
      </c>
      <c r="D455" s="5">
        <v>45888.0</v>
      </c>
      <c r="E455" s="4" t="s">
        <v>1597</v>
      </c>
      <c r="F455" s="9"/>
      <c r="G455" s="6"/>
      <c r="H455" s="7">
        <v>400.0</v>
      </c>
      <c r="I455" s="7" t="s">
        <v>1598</v>
      </c>
      <c r="K455" s="12" t="str">
        <f t="shared" si="43"/>
        <v>KN3817</v>
      </c>
      <c r="L455" s="2" t="s">
        <v>1599</v>
      </c>
      <c r="M455" s="2" t="s">
        <v>24</v>
      </c>
      <c r="N455" s="2" t="s">
        <v>60</v>
      </c>
      <c r="O455" s="2">
        <v>1.10751038E8</v>
      </c>
      <c r="P455" s="15"/>
      <c r="Q455" s="8">
        <v>2025.0</v>
      </c>
      <c r="R455" s="8" t="s">
        <v>894</v>
      </c>
    </row>
    <row r="456">
      <c r="A456" s="4" t="s">
        <v>18</v>
      </c>
      <c r="B456" s="13" t="s">
        <v>1600</v>
      </c>
      <c r="C456" s="5">
        <v>45888.0</v>
      </c>
      <c r="D456" s="5">
        <v>45888.0</v>
      </c>
      <c r="E456" s="4" t="s">
        <v>1601</v>
      </c>
      <c r="F456" s="9"/>
      <c r="G456" s="6"/>
      <c r="H456" s="7">
        <v>358.0</v>
      </c>
      <c r="I456" s="7" t="s">
        <v>1602</v>
      </c>
      <c r="K456" s="12" t="str">
        <f t="shared" si="43"/>
        <v>SC3567</v>
      </c>
      <c r="L456" s="2" t="s">
        <v>1603</v>
      </c>
      <c r="M456" s="2" t="s">
        <v>24</v>
      </c>
      <c r="N456" s="2" t="s">
        <v>60</v>
      </c>
      <c r="O456" s="2">
        <v>1.10751038E8</v>
      </c>
      <c r="P456" s="15"/>
      <c r="Q456" s="8">
        <v>2025.0</v>
      </c>
      <c r="R456" s="8" t="s">
        <v>894</v>
      </c>
    </row>
    <row r="457">
      <c r="A457" s="4" t="s">
        <v>18</v>
      </c>
      <c r="B457" s="13" t="s">
        <v>1604</v>
      </c>
      <c r="C457" s="5">
        <v>45888.0</v>
      </c>
      <c r="D457" s="5">
        <v>45888.0</v>
      </c>
      <c r="E457" s="4" t="s">
        <v>1605</v>
      </c>
      <c r="F457" s="9"/>
      <c r="G457" s="6"/>
      <c r="H457" s="7">
        <v>494.0</v>
      </c>
      <c r="I457" s="7" t="s">
        <v>1606</v>
      </c>
      <c r="K457" s="12" t="str">
        <f t="shared" si="43"/>
        <v>UN3668</v>
      </c>
      <c r="L457" s="2" t="s">
        <v>1607</v>
      </c>
      <c r="M457" s="2" t="s">
        <v>24</v>
      </c>
      <c r="N457" s="2" t="s">
        <v>60</v>
      </c>
      <c r="O457" s="2">
        <v>1.10751038E8</v>
      </c>
      <c r="P457" s="15"/>
      <c r="Q457" s="8">
        <v>2025.0</v>
      </c>
      <c r="R457" s="8" t="s">
        <v>894</v>
      </c>
    </row>
    <row r="458">
      <c r="A458" s="4" t="s">
        <v>18</v>
      </c>
      <c r="B458" s="13" t="s">
        <v>1608</v>
      </c>
      <c r="C458" s="5">
        <v>45888.0</v>
      </c>
      <c r="D458" s="5">
        <v>45888.0</v>
      </c>
      <c r="E458" s="4" t="s">
        <v>1609</v>
      </c>
      <c r="F458" s="9"/>
      <c r="G458" s="11">
        <v>10000.0</v>
      </c>
      <c r="H458" s="6"/>
      <c r="I458" s="7" t="s">
        <v>1610</v>
      </c>
      <c r="J458" s="2" t="s">
        <v>1611</v>
      </c>
      <c r="K458" s="1" t="s">
        <v>23</v>
      </c>
      <c r="M458" s="2" t="s">
        <v>114</v>
      </c>
      <c r="N458" s="18" t="s">
        <v>169</v>
      </c>
      <c r="O458" s="2">
        <v>1.10751038E8</v>
      </c>
      <c r="P458" s="15"/>
      <c r="Q458" s="8">
        <v>2025.0</v>
      </c>
      <c r="R458" s="8" t="s">
        <v>894</v>
      </c>
    </row>
    <row r="459">
      <c r="A459" s="4" t="s">
        <v>18</v>
      </c>
      <c r="B459" s="13" t="s">
        <v>1612</v>
      </c>
      <c r="C459" s="5">
        <v>45889.0</v>
      </c>
      <c r="D459" s="5">
        <v>45889.0</v>
      </c>
      <c r="E459" s="4" t="s">
        <v>1613</v>
      </c>
      <c r="F459" s="9"/>
      <c r="G459" s="6"/>
      <c r="H459" s="7">
        <v>252.0</v>
      </c>
      <c r="I459" s="7" t="s">
        <v>1614</v>
      </c>
      <c r="K459" s="12" t="str">
        <f t="shared" ref="K459:K464" si="44">RIGHT(E459,6)</f>
        <v>KN3817</v>
      </c>
      <c r="L459" s="21" t="s">
        <v>862</v>
      </c>
      <c r="M459" s="2" t="s">
        <v>24</v>
      </c>
      <c r="N459" s="2" t="s">
        <v>60</v>
      </c>
      <c r="O459" s="2">
        <v>1.10751038E8</v>
      </c>
      <c r="P459" s="15"/>
      <c r="Q459" s="8">
        <v>2025.0</v>
      </c>
      <c r="R459" s="8" t="s">
        <v>894</v>
      </c>
    </row>
    <row r="460">
      <c r="A460" s="4" t="s">
        <v>18</v>
      </c>
      <c r="B460" s="13" t="s">
        <v>1615</v>
      </c>
      <c r="C460" s="5">
        <v>45889.0</v>
      </c>
      <c r="D460" s="5">
        <v>45889.0</v>
      </c>
      <c r="E460" s="4" t="s">
        <v>1616</v>
      </c>
      <c r="F460" s="9"/>
      <c r="G460" s="6"/>
      <c r="H460" s="7">
        <v>230.0</v>
      </c>
      <c r="I460" s="7" t="s">
        <v>1617</v>
      </c>
      <c r="K460" s="12" t="str">
        <f t="shared" si="44"/>
        <v>SC3567</v>
      </c>
      <c r="L460" s="2" t="s">
        <v>1618</v>
      </c>
      <c r="M460" s="2" t="s">
        <v>24</v>
      </c>
      <c r="N460" s="2" t="s">
        <v>60</v>
      </c>
      <c r="O460" s="2">
        <v>1.10751038E8</v>
      </c>
      <c r="P460" s="15"/>
      <c r="Q460" s="8">
        <v>2025.0</v>
      </c>
      <c r="R460" s="8" t="s">
        <v>894</v>
      </c>
    </row>
    <row r="461">
      <c r="A461" s="4" t="s">
        <v>18</v>
      </c>
      <c r="B461" s="13" t="s">
        <v>1619</v>
      </c>
      <c r="C461" s="5">
        <v>45889.0</v>
      </c>
      <c r="D461" s="5">
        <v>45889.0</v>
      </c>
      <c r="E461" s="4" t="s">
        <v>1620</v>
      </c>
      <c r="F461" s="9"/>
      <c r="G461" s="6"/>
      <c r="H461" s="7">
        <v>375.0</v>
      </c>
      <c r="I461" s="7" t="s">
        <v>1621</v>
      </c>
      <c r="K461" s="12" t="str">
        <f t="shared" si="44"/>
        <v>KN3817</v>
      </c>
      <c r="L461" s="21" t="s">
        <v>1622</v>
      </c>
      <c r="M461" s="2" t="s">
        <v>24</v>
      </c>
      <c r="N461" s="2" t="s">
        <v>60</v>
      </c>
      <c r="O461" s="2">
        <v>1.10751038E8</v>
      </c>
      <c r="P461" s="15"/>
      <c r="Q461" s="8">
        <v>2025.0</v>
      </c>
      <c r="R461" s="8" t="s">
        <v>894</v>
      </c>
    </row>
    <row r="462">
      <c r="A462" s="4" t="s">
        <v>18</v>
      </c>
      <c r="B462" s="13" t="s">
        <v>1623</v>
      </c>
      <c r="C462" s="5">
        <v>45889.0</v>
      </c>
      <c r="D462" s="5">
        <v>45889.0</v>
      </c>
      <c r="E462" s="4" t="s">
        <v>1624</v>
      </c>
      <c r="F462" s="9"/>
      <c r="G462" s="6"/>
      <c r="H462" s="7">
        <v>465.0</v>
      </c>
      <c r="I462" s="7" t="s">
        <v>1625</v>
      </c>
      <c r="K462" s="12" t="str">
        <f t="shared" si="44"/>
        <v>KN3817</v>
      </c>
      <c r="L462" s="21" t="s">
        <v>1626</v>
      </c>
      <c r="M462" s="2" t="s">
        <v>24</v>
      </c>
      <c r="N462" s="2" t="s">
        <v>60</v>
      </c>
      <c r="O462" s="2">
        <v>1.10751038E8</v>
      </c>
      <c r="P462" s="15"/>
      <c r="Q462" s="8">
        <v>2025.0</v>
      </c>
      <c r="R462" s="8" t="s">
        <v>894</v>
      </c>
    </row>
    <row r="463">
      <c r="A463" s="4" t="s">
        <v>18</v>
      </c>
      <c r="B463" s="13" t="s">
        <v>1627</v>
      </c>
      <c r="C463" s="5">
        <v>45889.0</v>
      </c>
      <c r="D463" s="5">
        <v>45889.0</v>
      </c>
      <c r="E463" s="4" t="s">
        <v>1628</v>
      </c>
      <c r="F463" s="9"/>
      <c r="G463" s="6"/>
      <c r="H463" s="11">
        <v>1675.0</v>
      </c>
      <c r="I463" s="7" t="s">
        <v>1629</v>
      </c>
      <c r="K463" s="12" t="str">
        <f t="shared" si="44"/>
        <v>KN3817</v>
      </c>
      <c r="L463" s="21" t="s">
        <v>1630</v>
      </c>
      <c r="M463" s="2" t="s">
        <v>24</v>
      </c>
      <c r="N463" s="2" t="s">
        <v>60</v>
      </c>
      <c r="O463" s="2">
        <v>1.10751038E8</v>
      </c>
      <c r="P463" s="15"/>
      <c r="Q463" s="8">
        <v>2025.0</v>
      </c>
      <c r="R463" s="8" t="s">
        <v>894</v>
      </c>
    </row>
    <row r="464">
      <c r="A464" s="4" t="s">
        <v>18</v>
      </c>
      <c r="B464" s="13" t="s">
        <v>1631</v>
      </c>
      <c r="C464" s="5">
        <v>45889.0</v>
      </c>
      <c r="D464" s="5">
        <v>45889.0</v>
      </c>
      <c r="E464" s="4" t="s">
        <v>1632</v>
      </c>
      <c r="F464" s="9"/>
      <c r="G464" s="6"/>
      <c r="H464" s="7">
        <v>630.0</v>
      </c>
      <c r="I464" s="7" t="s">
        <v>1633</v>
      </c>
      <c r="K464" s="12" t="str">
        <f t="shared" si="44"/>
        <v>KN3817</v>
      </c>
      <c r="L464" s="2" t="s">
        <v>1634</v>
      </c>
      <c r="M464" s="2" t="s">
        <v>24</v>
      </c>
      <c r="N464" s="2" t="s">
        <v>60</v>
      </c>
      <c r="O464" s="2">
        <v>1.10751038E8</v>
      </c>
      <c r="P464" s="15"/>
      <c r="Q464" s="8">
        <v>2025.0</v>
      </c>
      <c r="R464" s="8" t="s">
        <v>894</v>
      </c>
    </row>
    <row r="465">
      <c r="A465" s="4" t="s">
        <v>18</v>
      </c>
      <c r="B465" s="13" t="s">
        <v>1635</v>
      </c>
      <c r="C465" s="5">
        <v>45889.0</v>
      </c>
      <c r="D465" s="5">
        <v>45889.0</v>
      </c>
      <c r="E465" s="4" t="s">
        <v>1636</v>
      </c>
      <c r="F465" s="9"/>
      <c r="G465" s="6"/>
      <c r="H465" s="7">
        <v>338.0</v>
      </c>
      <c r="I465" s="7" t="s">
        <v>1637</v>
      </c>
      <c r="K465" s="2" t="s">
        <v>539</v>
      </c>
      <c r="M465" s="2" t="s">
        <v>24</v>
      </c>
      <c r="N465" s="2" t="s">
        <v>60</v>
      </c>
      <c r="O465" s="2">
        <v>1.10751038E8</v>
      </c>
      <c r="P465" s="15" t="str">
        <f>IFERROR(__xludf.DUMMYFUNCTION("CONCATENATE(B465,"", "", to_text(D465),"", "", E465,"", "", H465)"),"TSV-08-0194, 20-Aug-2025, UPI/CR/523226954722/ADITYA/PPIW/adityap/UPI Pay, 338")</f>
        <v>TSV-08-0194, 20-Aug-2025, UPI/CR/523226954722/ADITYA/PPIW/adityap/UPI Pay, 338</v>
      </c>
      <c r="Q465" s="8">
        <v>2025.0</v>
      </c>
      <c r="R465" s="8" t="s">
        <v>894</v>
      </c>
    </row>
    <row r="466">
      <c r="A466" s="4" t="s">
        <v>18</v>
      </c>
      <c r="B466" s="13" t="s">
        <v>1638</v>
      </c>
      <c r="C466" s="5">
        <v>45890.0</v>
      </c>
      <c r="D466" s="5">
        <v>45890.0</v>
      </c>
      <c r="E466" s="4" t="s">
        <v>1639</v>
      </c>
      <c r="F466" s="9"/>
      <c r="G466" s="6"/>
      <c r="H466" s="7">
        <v>99.0</v>
      </c>
      <c r="I466" s="7" t="s">
        <v>1640</v>
      </c>
      <c r="K466" s="2" t="s">
        <v>539</v>
      </c>
      <c r="M466" s="2" t="s">
        <v>24</v>
      </c>
      <c r="N466" s="2" t="s">
        <v>60</v>
      </c>
      <c r="O466" s="2">
        <v>1.10751038E8</v>
      </c>
      <c r="P466" s="15" t="str">
        <f>IFERROR(__xludf.DUMMYFUNCTION("CONCATENATE(B466,"", "", to_text(D466),"", "", E466,"", "", H466)"),"TSV-08-0195, 21-Aug-2025, UPI/CR/584470032335/MOBIKWIK/utib/mobikwi/UPIW2B, 99")</f>
        <v>TSV-08-0195, 21-Aug-2025, UPI/CR/584470032335/MOBIKWIK/utib/mobikwi/UPIW2B, 99</v>
      </c>
      <c r="Q466" s="8">
        <v>2025.0</v>
      </c>
      <c r="R466" s="8" t="s">
        <v>894</v>
      </c>
    </row>
    <row r="467">
      <c r="A467" s="4" t="s">
        <v>18</v>
      </c>
      <c r="B467" s="13" t="s">
        <v>1641</v>
      </c>
      <c r="C467" s="5">
        <v>45890.0</v>
      </c>
      <c r="D467" s="5">
        <v>45890.0</v>
      </c>
      <c r="E467" s="4" t="s">
        <v>1642</v>
      </c>
      <c r="F467" s="9"/>
      <c r="G467" s="6"/>
      <c r="H467" s="7">
        <v>826.0</v>
      </c>
      <c r="I467" s="7" t="s">
        <v>1643</v>
      </c>
      <c r="K467" s="12" t="str">
        <f t="shared" ref="K467:K478" si="45">RIGHT(E467,6)</f>
        <v>KN3817</v>
      </c>
      <c r="L467" s="21" t="s">
        <v>1644</v>
      </c>
      <c r="M467" s="2" t="s">
        <v>24</v>
      </c>
      <c r="N467" s="2" t="s">
        <v>60</v>
      </c>
      <c r="O467" s="2">
        <v>1.10751038E8</v>
      </c>
      <c r="P467" s="15"/>
      <c r="Q467" s="8">
        <v>2025.0</v>
      </c>
      <c r="R467" s="8" t="s">
        <v>894</v>
      </c>
    </row>
    <row r="468">
      <c r="A468" s="4" t="s">
        <v>18</v>
      </c>
      <c r="B468" s="13" t="s">
        <v>1645</v>
      </c>
      <c r="C468" s="5">
        <v>45890.0</v>
      </c>
      <c r="D468" s="5">
        <v>45890.0</v>
      </c>
      <c r="E468" s="4" t="s">
        <v>1646</v>
      </c>
      <c r="F468" s="9"/>
      <c r="G468" s="6"/>
      <c r="H468" s="7">
        <v>600.0</v>
      </c>
      <c r="I468" s="7" t="s">
        <v>1647</v>
      </c>
      <c r="K468" s="12" t="str">
        <f t="shared" si="45"/>
        <v>KN3817</v>
      </c>
      <c r="L468" s="2" t="s">
        <v>1648</v>
      </c>
      <c r="M468" s="2" t="s">
        <v>24</v>
      </c>
      <c r="N468" s="2" t="s">
        <v>60</v>
      </c>
      <c r="O468" s="2">
        <v>1.10751038E8</v>
      </c>
      <c r="P468" s="15"/>
      <c r="Q468" s="8">
        <v>2025.0</v>
      </c>
      <c r="R468" s="8" t="s">
        <v>894</v>
      </c>
    </row>
    <row r="469">
      <c r="A469" s="4" t="s">
        <v>18</v>
      </c>
      <c r="B469" s="13" t="s">
        <v>1649</v>
      </c>
      <c r="C469" s="5">
        <v>45890.0</v>
      </c>
      <c r="D469" s="5">
        <v>45890.0</v>
      </c>
      <c r="E469" s="4" t="s">
        <v>1650</v>
      </c>
      <c r="F469" s="9"/>
      <c r="G469" s="6"/>
      <c r="H469" s="11">
        <v>1500.0</v>
      </c>
      <c r="I469" s="7" t="s">
        <v>1651</v>
      </c>
      <c r="K469" s="12" t="str">
        <f t="shared" si="45"/>
        <v>KN3817</v>
      </c>
      <c r="L469" s="2" t="s">
        <v>1652</v>
      </c>
      <c r="M469" s="2" t="s">
        <v>24</v>
      </c>
      <c r="N469" s="2" t="s">
        <v>60</v>
      </c>
      <c r="O469" s="2">
        <v>1.10751038E8</v>
      </c>
      <c r="P469" s="15"/>
      <c r="Q469" s="8">
        <v>2025.0</v>
      </c>
      <c r="R469" s="8" t="s">
        <v>894</v>
      </c>
    </row>
    <row r="470">
      <c r="A470" s="4" t="s">
        <v>18</v>
      </c>
      <c r="B470" s="13" t="s">
        <v>1653</v>
      </c>
      <c r="C470" s="5">
        <v>45890.0</v>
      </c>
      <c r="D470" s="5">
        <v>45890.0</v>
      </c>
      <c r="E470" s="4" t="s">
        <v>1654</v>
      </c>
      <c r="F470" s="9"/>
      <c r="G470" s="6"/>
      <c r="H470" s="11">
        <v>1680.0</v>
      </c>
      <c r="I470" s="7" t="s">
        <v>1655</v>
      </c>
      <c r="K470" s="12" t="str">
        <f t="shared" si="45"/>
        <v>KN3817</v>
      </c>
      <c r="L470" s="2" t="s">
        <v>1656</v>
      </c>
      <c r="M470" s="2" t="s">
        <v>24</v>
      </c>
      <c r="N470" s="2" t="s">
        <v>60</v>
      </c>
      <c r="O470" s="2">
        <v>1.10751038E8</v>
      </c>
      <c r="P470" s="15"/>
      <c r="Q470" s="8">
        <v>2025.0</v>
      </c>
      <c r="R470" s="8" t="s">
        <v>894</v>
      </c>
    </row>
    <row r="471">
      <c r="A471" s="4" t="s">
        <v>18</v>
      </c>
      <c r="B471" s="13" t="s">
        <v>1657</v>
      </c>
      <c r="C471" s="5">
        <v>45890.0</v>
      </c>
      <c r="D471" s="5">
        <v>45890.0</v>
      </c>
      <c r="E471" s="4" t="s">
        <v>1658</v>
      </c>
      <c r="F471" s="9"/>
      <c r="G471" s="6"/>
      <c r="H471" s="7">
        <v>182.0</v>
      </c>
      <c r="I471" s="7" t="s">
        <v>1659</v>
      </c>
      <c r="K471" s="12" t="str">
        <f t="shared" si="45"/>
        <v>SC3567</v>
      </c>
      <c r="L471" s="2" t="s">
        <v>1660</v>
      </c>
      <c r="M471" s="2" t="s">
        <v>24</v>
      </c>
      <c r="N471" s="2" t="s">
        <v>60</v>
      </c>
      <c r="O471" s="2">
        <v>1.10751038E8</v>
      </c>
      <c r="P471" s="15"/>
      <c r="Q471" s="8">
        <v>2025.0</v>
      </c>
      <c r="R471" s="8" t="s">
        <v>894</v>
      </c>
    </row>
    <row r="472">
      <c r="A472" s="4" t="s">
        <v>18</v>
      </c>
      <c r="B472" s="13" t="s">
        <v>1661</v>
      </c>
      <c r="C472" s="5">
        <v>45890.0</v>
      </c>
      <c r="D472" s="5">
        <v>45890.0</v>
      </c>
      <c r="E472" s="4" t="s">
        <v>1662</v>
      </c>
      <c r="F472" s="9"/>
      <c r="G472" s="6"/>
      <c r="H472" s="11">
        <v>2500.0</v>
      </c>
      <c r="I472" s="7" t="s">
        <v>1663</v>
      </c>
      <c r="K472" s="12" t="str">
        <f t="shared" si="45"/>
        <v>UN3668</v>
      </c>
      <c r="L472" s="2" t="s">
        <v>1664</v>
      </c>
      <c r="M472" s="2" t="s">
        <v>24</v>
      </c>
      <c r="N472" s="2" t="s">
        <v>60</v>
      </c>
      <c r="O472" s="2">
        <v>1.10751038E8</v>
      </c>
      <c r="P472" s="15"/>
      <c r="Q472" s="8">
        <v>2025.0</v>
      </c>
      <c r="R472" s="8" t="s">
        <v>894</v>
      </c>
    </row>
    <row r="473">
      <c r="A473" s="4" t="s">
        <v>18</v>
      </c>
      <c r="B473" s="13" t="s">
        <v>1665</v>
      </c>
      <c r="C473" s="5">
        <v>45890.0</v>
      </c>
      <c r="D473" s="5">
        <v>45890.0</v>
      </c>
      <c r="E473" s="4" t="s">
        <v>1666</v>
      </c>
      <c r="F473" s="9"/>
      <c r="G473" s="6"/>
      <c r="H473" s="7">
        <v>420.0</v>
      </c>
      <c r="I473" s="7" t="s">
        <v>1667</v>
      </c>
      <c r="K473" s="12" t="str">
        <f t="shared" si="45"/>
        <v>UN3668</v>
      </c>
      <c r="L473" s="2" t="s">
        <v>1668</v>
      </c>
      <c r="M473" s="2" t="s">
        <v>24</v>
      </c>
      <c r="N473" s="2" t="s">
        <v>60</v>
      </c>
      <c r="O473" s="2">
        <v>1.10751038E8</v>
      </c>
      <c r="P473" s="15"/>
      <c r="Q473" s="8">
        <v>2025.0</v>
      </c>
      <c r="R473" s="8" t="s">
        <v>894</v>
      </c>
    </row>
    <row r="474">
      <c r="A474" s="4" t="s">
        <v>18</v>
      </c>
      <c r="B474" s="13" t="s">
        <v>1669</v>
      </c>
      <c r="C474" s="5">
        <v>45891.0</v>
      </c>
      <c r="D474" s="5">
        <v>45891.0</v>
      </c>
      <c r="E474" s="4" t="s">
        <v>1670</v>
      </c>
      <c r="F474" s="9"/>
      <c r="G474" s="6"/>
      <c r="H474" s="11">
        <v>3304.0</v>
      </c>
      <c r="I474" s="7" t="s">
        <v>1671</v>
      </c>
      <c r="K474" s="12" t="str">
        <f t="shared" si="45"/>
        <v>SL1610</v>
      </c>
      <c r="L474" s="2" t="s">
        <v>1672</v>
      </c>
      <c r="M474" s="2" t="s">
        <v>24</v>
      </c>
      <c r="N474" s="2" t="s">
        <v>60</v>
      </c>
      <c r="O474" s="2">
        <v>1.10751038E8</v>
      </c>
      <c r="P474" s="15"/>
      <c r="Q474" s="8">
        <v>2025.0</v>
      </c>
      <c r="R474" s="8" t="s">
        <v>894</v>
      </c>
    </row>
    <row r="475">
      <c r="A475" s="4" t="s">
        <v>18</v>
      </c>
      <c r="B475" s="13" t="s">
        <v>1673</v>
      </c>
      <c r="C475" s="5">
        <v>45891.0</v>
      </c>
      <c r="D475" s="5">
        <v>45891.0</v>
      </c>
      <c r="E475" s="4" t="s">
        <v>1674</v>
      </c>
      <c r="F475" s="9"/>
      <c r="G475" s="6"/>
      <c r="H475" s="7">
        <v>327.0</v>
      </c>
      <c r="I475" s="7" t="s">
        <v>1675</v>
      </c>
      <c r="K475" s="12" t="str">
        <f t="shared" si="45"/>
        <v>SL1610</v>
      </c>
      <c r="L475" s="2" t="s">
        <v>1676</v>
      </c>
      <c r="M475" s="2" t="s">
        <v>24</v>
      </c>
      <c r="N475" s="2" t="s">
        <v>60</v>
      </c>
      <c r="O475" s="2">
        <v>1.10751038E8</v>
      </c>
      <c r="P475" s="15"/>
      <c r="Q475" s="8">
        <v>2025.0</v>
      </c>
      <c r="R475" s="8" t="s">
        <v>894</v>
      </c>
    </row>
    <row r="476">
      <c r="A476" s="4" t="s">
        <v>18</v>
      </c>
      <c r="B476" s="13" t="s">
        <v>1677</v>
      </c>
      <c r="C476" s="5">
        <v>45891.0</v>
      </c>
      <c r="D476" s="5">
        <v>45891.0</v>
      </c>
      <c r="E476" s="4" t="s">
        <v>1678</v>
      </c>
      <c r="F476" s="9"/>
      <c r="G476" s="6"/>
      <c r="H476" s="7">
        <v>926.0</v>
      </c>
      <c r="I476" s="7" t="s">
        <v>1679</v>
      </c>
      <c r="K476" s="12" t="str">
        <f t="shared" si="45"/>
        <v>SL1610</v>
      </c>
      <c r="L476" s="2" t="s">
        <v>1680</v>
      </c>
      <c r="M476" s="2" t="s">
        <v>24</v>
      </c>
      <c r="N476" s="2" t="s">
        <v>60</v>
      </c>
      <c r="O476" s="2">
        <v>1.10751038E8</v>
      </c>
      <c r="P476" s="15"/>
      <c r="Q476" s="8">
        <v>2025.0</v>
      </c>
      <c r="R476" s="8" t="s">
        <v>894</v>
      </c>
    </row>
    <row r="477">
      <c r="A477" s="4" t="s">
        <v>18</v>
      </c>
      <c r="B477" s="13" t="s">
        <v>1681</v>
      </c>
      <c r="C477" s="5">
        <v>45891.0</v>
      </c>
      <c r="D477" s="5">
        <v>45891.0</v>
      </c>
      <c r="E477" s="4" t="s">
        <v>1682</v>
      </c>
      <c r="F477" s="9"/>
      <c r="G477" s="6"/>
      <c r="H477" s="7">
        <v>600.0</v>
      </c>
      <c r="I477" s="7" t="s">
        <v>1683</v>
      </c>
      <c r="K477" s="12" t="str">
        <f t="shared" si="45"/>
        <v>UN3668</v>
      </c>
      <c r="L477" s="2" t="s">
        <v>1684</v>
      </c>
      <c r="M477" s="2" t="s">
        <v>24</v>
      </c>
      <c r="N477" s="2" t="s">
        <v>60</v>
      </c>
      <c r="O477" s="2">
        <v>1.10751038E8</v>
      </c>
      <c r="P477" s="15"/>
      <c r="Q477" s="8">
        <v>2025.0</v>
      </c>
      <c r="R477" s="8" t="s">
        <v>894</v>
      </c>
    </row>
    <row r="478">
      <c r="A478" s="4" t="s">
        <v>18</v>
      </c>
      <c r="B478" s="13" t="s">
        <v>1685</v>
      </c>
      <c r="C478" s="5">
        <v>45891.0</v>
      </c>
      <c r="D478" s="5">
        <v>45891.0</v>
      </c>
      <c r="E478" s="4" t="s">
        <v>1686</v>
      </c>
      <c r="F478" s="9"/>
      <c r="G478" s="6"/>
      <c r="H478" s="7">
        <v>931.0</v>
      </c>
      <c r="I478" s="7" t="s">
        <v>1687</v>
      </c>
      <c r="K478" s="12" t="str">
        <f t="shared" si="45"/>
        <v>SL1610</v>
      </c>
      <c r="L478" s="2" t="s">
        <v>1688</v>
      </c>
      <c r="M478" s="2" t="s">
        <v>24</v>
      </c>
      <c r="N478" s="2" t="s">
        <v>60</v>
      </c>
      <c r="O478" s="2">
        <v>1.10751038E8</v>
      </c>
      <c r="P478" s="15"/>
      <c r="Q478" s="8">
        <v>2025.0</v>
      </c>
      <c r="R478" s="8" t="s">
        <v>894</v>
      </c>
    </row>
    <row r="479">
      <c r="A479" s="4" t="s">
        <v>18</v>
      </c>
      <c r="B479" s="13" t="s">
        <v>1689</v>
      </c>
      <c r="C479" s="5">
        <v>45891.0</v>
      </c>
      <c r="D479" s="5">
        <v>45891.0</v>
      </c>
      <c r="E479" s="4" t="s">
        <v>1690</v>
      </c>
      <c r="F479" s="9"/>
      <c r="G479" s="6"/>
      <c r="H479" s="7">
        <v>456.0</v>
      </c>
      <c r="I479" s="7" t="s">
        <v>1691</v>
      </c>
      <c r="K479" s="2" t="s">
        <v>113</v>
      </c>
      <c r="L479" s="2" t="s">
        <v>1692</v>
      </c>
      <c r="M479" s="2" t="s">
        <v>24</v>
      </c>
      <c r="N479" s="2" t="s">
        <v>60</v>
      </c>
      <c r="O479" s="2">
        <v>1.10751038E8</v>
      </c>
      <c r="P479" s="15"/>
      <c r="Q479" s="8">
        <v>2025.0</v>
      </c>
      <c r="R479" s="8" t="s">
        <v>894</v>
      </c>
    </row>
    <row r="480">
      <c r="A480" s="4" t="s">
        <v>18</v>
      </c>
      <c r="B480" s="13" t="s">
        <v>1693</v>
      </c>
      <c r="C480" s="5">
        <v>45892.0</v>
      </c>
      <c r="D480" s="5">
        <v>45892.0</v>
      </c>
      <c r="E480" s="4" t="s">
        <v>1694</v>
      </c>
      <c r="F480" s="9"/>
      <c r="G480" s="6"/>
      <c r="H480" s="7">
        <v>450.0</v>
      </c>
      <c r="I480" s="7" t="s">
        <v>1695</v>
      </c>
      <c r="K480" s="12" t="str">
        <f t="shared" ref="K480:K504" si="46">RIGHT(E480,6)</f>
        <v>KN3817</v>
      </c>
      <c r="L480" s="2" t="s">
        <v>1696</v>
      </c>
      <c r="M480" s="2" t="s">
        <v>24</v>
      </c>
      <c r="N480" s="2" t="s">
        <v>60</v>
      </c>
      <c r="O480" s="2">
        <v>1.10751038E8</v>
      </c>
      <c r="P480" s="15"/>
      <c r="Q480" s="8">
        <v>2025.0</v>
      </c>
      <c r="R480" s="8" t="s">
        <v>894</v>
      </c>
    </row>
    <row r="481">
      <c r="A481" s="4" t="s">
        <v>18</v>
      </c>
      <c r="B481" s="13" t="s">
        <v>1697</v>
      </c>
      <c r="C481" s="5">
        <v>45892.0</v>
      </c>
      <c r="D481" s="5">
        <v>45892.0</v>
      </c>
      <c r="E481" s="4" t="s">
        <v>1698</v>
      </c>
      <c r="F481" s="9"/>
      <c r="G481" s="6"/>
      <c r="H481" s="7">
        <v>300.0</v>
      </c>
      <c r="I481" s="7" t="s">
        <v>1699</v>
      </c>
      <c r="K481" s="12" t="str">
        <f t="shared" si="46"/>
        <v>KN3817</v>
      </c>
      <c r="L481" s="21" t="s">
        <v>1700</v>
      </c>
      <c r="M481" s="2" t="s">
        <v>24</v>
      </c>
      <c r="N481" s="2" t="s">
        <v>60</v>
      </c>
      <c r="O481" s="2">
        <v>1.10751038E8</v>
      </c>
      <c r="P481" s="15"/>
      <c r="Q481" s="8">
        <v>2025.0</v>
      </c>
      <c r="R481" s="8" t="s">
        <v>894</v>
      </c>
    </row>
    <row r="482">
      <c r="A482" s="4" t="s">
        <v>18</v>
      </c>
      <c r="B482" s="13" t="s">
        <v>1701</v>
      </c>
      <c r="C482" s="5">
        <v>45892.0</v>
      </c>
      <c r="D482" s="5">
        <v>45892.0</v>
      </c>
      <c r="E482" s="4" t="s">
        <v>1702</v>
      </c>
      <c r="F482" s="9"/>
      <c r="G482" s="6"/>
      <c r="H482" s="11">
        <v>1175.0</v>
      </c>
      <c r="I482" s="7" t="s">
        <v>1703</v>
      </c>
      <c r="K482" s="12" t="str">
        <f t="shared" si="46"/>
        <v>SL1610</v>
      </c>
      <c r="L482" s="2" t="s">
        <v>1704</v>
      </c>
      <c r="M482" s="2" t="s">
        <v>24</v>
      </c>
      <c r="N482" s="2" t="s">
        <v>60</v>
      </c>
      <c r="O482" s="2">
        <v>1.10751038E8</v>
      </c>
      <c r="P482" s="15"/>
      <c r="Q482" s="8">
        <v>2025.0</v>
      </c>
      <c r="R482" s="8" t="s">
        <v>894</v>
      </c>
    </row>
    <row r="483">
      <c r="A483" s="4" t="s">
        <v>18</v>
      </c>
      <c r="B483" s="13" t="s">
        <v>1705</v>
      </c>
      <c r="C483" s="5">
        <v>45892.0</v>
      </c>
      <c r="D483" s="5">
        <v>45892.0</v>
      </c>
      <c r="E483" s="4" t="s">
        <v>1706</v>
      </c>
      <c r="F483" s="9"/>
      <c r="G483" s="11">
        <v>1617.71</v>
      </c>
      <c r="H483" s="6"/>
      <c r="I483" s="7" t="s">
        <v>1707</v>
      </c>
      <c r="J483" s="2" t="s">
        <v>275</v>
      </c>
      <c r="K483" s="12" t="str">
        <f t="shared" si="46"/>
        <v>KN3817</v>
      </c>
      <c r="M483" s="2" t="s">
        <v>114</v>
      </c>
      <c r="N483" s="2" t="s">
        <v>275</v>
      </c>
      <c r="O483" s="2">
        <v>1.10751038E8</v>
      </c>
      <c r="Q483" s="8">
        <v>2025.0</v>
      </c>
      <c r="R483" s="8" t="s">
        <v>894</v>
      </c>
    </row>
    <row r="484">
      <c r="A484" s="4" t="s">
        <v>18</v>
      </c>
      <c r="B484" s="13" t="s">
        <v>1708</v>
      </c>
      <c r="C484" s="5">
        <v>45892.0</v>
      </c>
      <c r="D484" s="5">
        <v>45892.0</v>
      </c>
      <c r="E484" s="4" t="s">
        <v>1709</v>
      </c>
      <c r="F484" s="9"/>
      <c r="G484" s="6"/>
      <c r="H484" s="7">
        <v>10.0</v>
      </c>
      <c r="I484" s="7" t="s">
        <v>1710</v>
      </c>
      <c r="K484" s="12" t="str">
        <f t="shared" si="46"/>
        <v>SC3567</v>
      </c>
      <c r="L484" s="2" t="s">
        <v>1711</v>
      </c>
      <c r="M484" s="2" t="s">
        <v>24</v>
      </c>
      <c r="N484" s="2" t="s">
        <v>60</v>
      </c>
      <c r="O484" s="2">
        <v>1.10751038E8</v>
      </c>
      <c r="P484" s="15"/>
      <c r="Q484" s="8">
        <v>2025.0</v>
      </c>
      <c r="R484" s="8" t="s">
        <v>894</v>
      </c>
    </row>
    <row r="485">
      <c r="A485" s="4" t="s">
        <v>18</v>
      </c>
      <c r="B485" s="13" t="s">
        <v>1712</v>
      </c>
      <c r="C485" s="5">
        <v>45892.0</v>
      </c>
      <c r="D485" s="5">
        <v>45892.0</v>
      </c>
      <c r="E485" s="4" t="s">
        <v>1713</v>
      </c>
      <c r="F485" s="9"/>
      <c r="G485" s="6"/>
      <c r="H485" s="7">
        <v>990.0</v>
      </c>
      <c r="I485" s="7" t="s">
        <v>1714</v>
      </c>
      <c r="K485" s="12" t="str">
        <f t="shared" si="46"/>
        <v>KN3817</v>
      </c>
      <c r="L485" s="21" t="s">
        <v>1715</v>
      </c>
      <c r="M485" s="2" t="s">
        <v>24</v>
      </c>
      <c r="N485" s="2" t="s">
        <v>60</v>
      </c>
      <c r="O485" s="2">
        <v>1.10751038E8</v>
      </c>
      <c r="P485" s="15"/>
      <c r="Q485" s="8">
        <v>2025.0</v>
      </c>
      <c r="R485" s="8" t="s">
        <v>894</v>
      </c>
    </row>
    <row r="486">
      <c r="A486" s="4" t="s">
        <v>18</v>
      </c>
      <c r="B486" s="13" t="s">
        <v>1716</v>
      </c>
      <c r="C486" s="5">
        <v>45893.0</v>
      </c>
      <c r="D486" s="5">
        <v>45893.0</v>
      </c>
      <c r="E486" s="4" t="s">
        <v>1717</v>
      </c>
      <c r="F486" s="9"/>
      <c r="G486" s="6"/>
      <c r="H486" s="11">
        <v>1480.0</v>
      </c>
      <c r="I486" s="7" t="s">
        <v>1718</v>
      </c>
      <c r="K486" s="12" t="str">
        <f t="shared" si="46"/>
        <v>KN3817</v>
      </c>
      <c r="L486" s="2" t="s">
        <v>1719</v>
      </c>
      <c r="M486" s="2" t="s">
        <v>24</v>
      </c>
      <c r="N486" s="2" t="s">
        <v>60</v>
      </c>
      <c r="O486" s="2">
        <v>1.10751038E8</v>
      </c>
      <c r="P486" s="15"/>
      <c r="Q486" s="8">
        <v>2025.0</v>
      </c>
      <c r="R486" s="8" t="s">
        <v>894</v>
      </c>
    </row>
    <row r="487">
      <c r="A487" s="4" t="s">
        <v>18</v>
      </c>
      <c r="B487" s="13" t="s">
        <v>1720</v>
      </c>
      <c r="C487" s="5">
        <v>45893.0</v>
      </c>
      <c r="D487" s="5">
        <v>45893.0</v>
      </c>
      <c r="E487" s="4" t="s">
        <v>1721</v>
      </c>
      <c r="F487" s="9"/>
      <c r="G487" s="6"/>
      <c r="H487" s="11">
        <v>1362.0</v>
      </c>
      <c r="I487" s="7" t="s">
        <v>1722</v>
      </c>
      <c r="K487" s="12" t="str">
        <f t="shared" si="46"/>
        <v>UN3668</v>
      </c>
      <c r="L487" s="2" t="s">
        <v>1723</v>
      </c>
      <c r="M487" s="2" t="s">
        <v>24</v>
      </c>
      <c r="N487" s="2" t="s">
        <v>60</v>
      </c>
      <c r="O487" s="2">
        <v>1.10751038E8</v>
      </c>
      <c r="P487" s="15"/>
      <c r="Q487" s="8">
        <v>2025.0</v>
      </c>
      <c r="R487" s="8" t="s">
        <v>894</v>
      </c>
    </row>
    <row r="488">
      <c r="A488" s="4" t="s">
        <v>18</v>
      </c>
      <c r="B488" s="13" t="s">
        <v>1724</v>
      </c>
      <c r="C488" s="5">
        <v>45893.0</v>
      </c>
      <c r="D488" s="5">
        <v>45893.0</v>
      </c>
      <c r="E488" s="4" t="s">
        <v>1725</v>
      </c>
      <c r="F488" s="9"/>
      <c r="G488" s="6"/>
      <c r="H488" s="11">
        <v>1460.0</v>
      </c>
      <c r="I488" s="7" t="s">
        <v>1726</v>
      </c>
      <c r="K488" s="12" t="str">
        <f t="shared" si="46"/>
        <v>UN3668</v>
      </c>
      <c r="L488" s="2" t="s">
        <v>1727</v>
      </c>
      <c r="M488" s="2" t="s">
        <v>24</v>
      </c>
      <c r="N488" s="2" t="s">
        <v>60</v>
      </c>
      <c r="O488" s="2">
        <v>1.10751038E8</v>
      </c>
      <c r="P488" s="15"/>
      <c r="Q488" s="8">
        <v>2025.0</v>
      </c>
      <c r="R488" s="8" t="s">
        <v>894</v>
      </c>
    </row>
    <row r="489">
      <c r="A489" s="4" t="s">
        <v>18</v>
      </c>
      <c r="B489" s="13" t="s">
        <v>1728</v>
      </c>
      <c r="C489" s="5">
        <v>45893.0</v>
      </c>
      <c r="D489" s="5">
        <v>45893.0</v>
      </c>
      <c r="E489" s="4" t="s">
        <v>1729</v>
      </c>
      <c r="F489" s="9"/>
      <c r="G489" s="6"/>
      <c r="H489" s="7">
        <v>585.0</v>
      </c>
      <c r="I489" s="7" t="s">
        <v>1730</v>
      </c>
      <c r="K489" s="12" t="str">
        <f t="shared" si="46"/>
        <v>UN3668</v>
      </c>
      <c r="L489" s="2" t="s">
        <v>1731</v>
      </c>
      <c r="M489" s="2" t="s">
        <v>24</v>
      </c>
      <c r="N489" s="2" t="s">
        <v>60</v>
      </c>
      <c r="O489" s="2">
        <v>1.10751038E8</v>
      </c>
      <c r="P489" s="15"/>
      <c r="Q489" s="8">
        <v>2025.0</v>
      </c>
      <c r="R489" s="8" t="s">
        <v>894</v>
      </c>
    </row>
    <row r="490">
      <c r="A490" s="4" t="s">
        <v>18</v>
      </c>
      <c r="B490" s="13" t="s">
        <v>1732</v>
      </c>
      <c r="C490" s="5">
        <v>45893.0</v>
      </c>
      <c r="D490" s="5">
        <v>45893.0</v>
      </c>
      <c r="E490" s="4" t="s">
        <v>1733</v>
      </c>
      <c r="F490" s="9"/>
      <c r="G490" s="6"/>
      <c r="H490" s="7">
        <v>588.0</v>
      </c>
      <c r="I490" s="7" t="s">
        <v>1734</v>
      </c>
      <c r="K490" s="12" t="str">
        <f t="shared" si="46"/>
        <v>KN3817</v>
      </c>
      <c r="L490" s="2" t="s">
        <v>1735</v>
      </c>
      <c r="M490" s="2" t="s">
        <v>24</v>
      </c>
      <c r="N490" s="2" t="s">
        <v>60</v>
      </c>
      <c r="O490" s="2">
        <v>1.10751038E8</v>
      </c>
      <c r="P490" s="15"/>
      <c r="Q490" s="8">
        <v>2025.0</v>
      </c>
      <c r="R490" s="8" t="s">
        <v>894</v>
      </c>
    </row>
    <row r="491">
      <c r="A491" s="4" t="s">
        <v>18</v>
      </c>
      <c r="B491" s="13" t="s">
        <v>1736</v>
      </c>
      <c r="C491" s="5">
        <v>45893.0</v>
      </c>
      <c r="D491" s="5">
        <v>45893.0</v>
      </c>
      <c r="E491" s="4" t="s">
        <v>1737</v>
      </c>
      <c r="F491" s="9"/>
      <c r="G491" s="6"/>
      <c r="H491" s="7">
        <v>399.0</v>
      </c>
      <c r="I491" s="7" t="s">
        <v>1738</v>
      </c>
      <c r="K491" s="12" t="str">
        <f t="shared" si="46"/>
        <v>SC3567</v>
      </c>
      <c r="L491" s="2" t="s">
        <v>1739</v>
      </c>
      <c r="M491" s="2" t="s">
        <v>24</v>
      </c>
      <c r="N491" s="2" t="s">
        <v>60</v>
      </c>
      <c r="O491" s="2">
        <v>1.10751038E8</v>
      </c>
      <c r="P491" s="15"/>
      <c r="Q491" s="8">
        <v>2025.0</v>
      </c>
      <c r="R491" s="8" t="s">
        <v>894</v>
      </c>
    </row>
    <row r="492">
      <c r="A492" s="4" t="s">
        <v>18</v>
      </c>
      <c r="B492" s="13" t="s">
        <v>1740</v>
      </c>
      <c r="C492" s="5">
        <v>45893.0</v>
      </c>
      <c r="D492" s="5">
        <v>45893.0</v>
      </c>
      <c r="E492" s="4" t="s">
        <v>1741</v>
      </c>
      <c r="F492" s="9"/>
      <c r="G492" s="6"/>
      <c r="H492" s="7">
        <v>450.0</v>
      </c>
      <c r="I492" s="7" t="s">
        <v>1742</v>
      </c>
      <c r="K492" s="12" t="str">
        <f t="shared" si="46"/>
        <v>UN3668</v>
      </c>
      <c r="L492" s="2" t="s">
        <v>1743</v>
      </c>
      <c r="M492" s="2" t="s">
        <v>24</v>
      </c>
      <c r="N492" s="2" t="s">
        <v>60</v>
      </c>
      <c r="O492" s="2">
        <v>1.10751038E8</v>
      </c>
      <c r="P492" s="15"/>
      <c r="Q492" s="8">
        <v>2025.0</v>
      </c>
      <c r="R492" s="8" t="s">
        <v>894</v>
      </c>
    </row>
    <row r="493">
      <c r="A493" s="4" t="s">
        <v>18</v>
      </c>
      <c r="B493" s="13" t="s">
        <v>1744</v>
      </c>
      <c r="C493" s="5">
        <v>45893.0</v>
      </c>
      <c r="D493" s="5">
        <v>45893.0</v>
      </c>
      <c r="E493" s="4" t="s">
        <v>1745</v>
      </c>
      <c r="F493" s="9"/>
      <c r="G493" s="6"/>
      <c r="H493" s="7">
        <v>396.0</v>
      </c>
      <c r="I493" s="7" t="s">
        <v>1746</v>
      </c>
      <c r="K493" s="12" t="str">
        <f t="shared" si="46"/>
        <v>SL1610</v>
      </c>
      <c r="L493" s="2" t="s">
        <v>1747</v>
      </c>
      <c r="M493" s="2" t="s">
        <v>24</v>
      </c>
      <c r="N493" s="2" t="s">
        <v>60</v>
      </c>
      <c r="O493" s="2">
        <v>1.10751038E8</v>
      </c>
      <c r="P493" s="15"/>
      <c r="Q493" s="8">
        <v>2025.0</v>
      </c>
      <c r="R493" s="8" t="s">
        <v>894</v>
      </c>
    </row>
    <row r="494">
      <c r="A494" s="4" t="s">
        <v>18</v>
      </c>
      <c r="B494" s="13" t="s">
        <v>1748</v>
      </c>
      <c r="C494" s="5">
        <v>45893.0</v>
      </c>
      <c r="D494" s="5">
        <v>45893.0</v>
      </c>
      <c r="E494" s="4" t="s">
        <v>1749</v>
      </c>
      <c r="F494" s="9"/>
      <c r="G494" s="6"/>
      <c r="H494" s="7">
        <v>685.0</v>
      </c>
      <c r="I494" s="7" t="s">
        <v>1750</v>
      </c>
      <c r="K494" s="12" t="str">
        <f t="shared" si="46"/>
        <v>SL1610</v>
      </c>
      <c r="L494" s="2" t="s">
        <v>1751</v>
      </c>
      <c r="M494" s="2" t="s">
        <v>24</v>
      </c>
      <c r="N494" s="2" t="s">
        <v>60</v>
      </c>
      <c r="O494" s="2">
        <v>1.10751038E8</v>
      </c>
      <c r="P494" s="15"/>
      <c r="Q494" s="8">
        <v>2025.0</v>
      </c>
      <c r="R494" s="8" t="s">
        <v>894</v>
      </c>
    </row>
    <row r="495">
      <c r="A495" s="4" t="s">
        <v>18</v>
      </c>
      <c r="B495" s="13" t="s">
        <v>1752</v>
      </c>
      <c r="C495" s="5">
        <v>45893.0</v>
      </c>
      <c r="D495" s="5">
        <v>45893.0</v>
      </c>
      <c r="E495" s="4" t="s">
        <v>1753</v>
      </c>
      <c r="F495" s="9"/>
      <c r="G495" s="6"/>
      <c r="H495" s="7">
        <v>500.0</v>
      </c>
      <c r="I495" s="7" t="s">
        <v>1754</v>
      </c>
      <c r="K495" s="12" t="str">
        <f t="shared" si="46"/>
        <v>UN3668</v>
      </c>
      <c r="L495" s="2" t="s">
        <v>1743</v>
      </c>
      <c r="M495" s="2" t="s">
        <v>24</v>
      </c>
      <c r="N495" s="2" t="s">
        <v>60</v>
      </c>
      <c r="O495" s="2">
        <v>1.10751038E8</v>
      </c>
      <c r="P495" s="15"/>
      <c r="Q495" s="8">
        <v>2025.0</v>
      </c>
      <c r="R495" s="8" t="s">
        <v>894</v>
      </c>
    </row>
    <row r="496">
      <c r="A496" s="4" t="s">
        <v>18</v>
      </c>
      <c r="B496" s="13" t="s">
        <v>1755</v>
      </c>
      <c r="C496" s="5">
        <v>45894.0</v>
      </c>
      <c r="D496" s="5">
        <v>45894.0</v>
      </c>
      <c r="E496" s="4" t="s">
        <v>1756</v>
      </c>
      <c r="F496" s="9"/>
      <c r="G496" s="6"/>
      <c r="H496" s="7">
        <v>375.0</v>
      </c>
      <c r="I496" s="7" t="s">
        <v>1757</v>
      </c>
      <c r="K496" s="12" t="str">
        <f t="shared" si="46"/>
        <v>SC3567</v>
      </c>
      <c r="L496" s="2" t="s">
        <v>1758</v>
      </c>
      <c r="M496" s="2" t="s">
        <v>24</v>
      </c>
      <c r="N496" s="2" t="s">
        <v>60</v>
      </c>
      <c r="O496" s="2">
        <v>1.10751038E8</v>
      </c>
      <c r="P496" s="15"/>
      <c r="Q496" s="8">
        <v>2025.0</v>
      </c>
      <c r="R496" s="8" t="s">
        <v>894</v>
      </c>
    </row>
    <row r="497">
      <c r="A497" s="4" t="s">
        <v>18</v>
      </c>
      <c r="B497" s="13" t="s">
        <v>1759</v>
      </c>
      <c r="C497" s="5">
        <v>45894.0</v>
      </c>
      <c r="D497" s="5">
        <v>45894.0</v>
      </c>
      <c r="E497" s="4" t="s">
        <v>1760</v>
      </c>
      <c r="F497" s="9"/>
      <c r="G497" s="6"/>
      <c r="H497" s="7">
        <v>510.0</v>
      </c>
      <c r="I497" s="7" t="s">
        <v>1761</v>
      </c>
      <c r="K497" s="12" t="str">
        <f t="shared" si="46"/>
        <v>KN3817</v>
      </c>
      <c r="L497" s="21" t="s">
        <v>1762</v>
      </c>
      <c r="M497" s="2" t="s">
        <v>24</v>
      </c>
      <c r="N497" s="2" t="s">
        <v>60</v>
      </c>
      <c r="O497" s="2">
        <v>1.10751038E8</v>
      </c>
      <c r="P497" s="15"/>
      <c r="Q497" s="8">
        <v>2025.0</v>
      </c>
      <c r="R497" s="8" t="s">
        <v>894</v>
      </c>
    </row>
    <row r="498">
      <c r="A498" s="4" t="s">
        <v>18</v>
      </c>
      <c r="B498" s="13" t="s">
        <v>1763</v>
      </c>
      <c r="C498" s="5">
        <v>45894.0</v>
      </c>
      <c r="D498" s="5">
        <v>45894.0</v>
      </c>
      <c r="E498" s="4" t="s">
        <v>1764</v>
      </c>
      <c r="F498" s="9"/>
      <c r="G498" s="6"/>
      <c r="H498" s="7">
        <v>375.0</v>
      </c>
      <c r="I498" s="7" t="s">
        <v>1765</v>
      </c>
      <c r="K498" s="12" t="str">
        <f t="shared" si="46"/>
        <v>SC3567</v>
      </c>
      <c r="L498" s="2" t="s">
        <v>1758</v>
      </c>
      <c r="M498" s="2" t="s">
        <v>24</v>
      </c>
      <c r="N498" s="2" t="s">
        <v>60</v>
      </c>
      <c r="O498" s="2">
        <v>1.10751038E8</v>
      </c>
      <c r="P498" s="15"/>
      <c r="Q498" s="8">
        <v>2025.0</v>
      </c>
      <c r="R498" s="8" t="s">
        <v>894</v>
      </c>
    </row>
    <row r="499">
      <c r="A499" s="4" t="s">
        <v>18</v>
      </c>
      <c r="B499" s="13" t="s">
        <v>1766</v>
      </c>
      <c r="C499" s="5">
        <v>45894.0</v>
      </c>
      <c r="D499" s="5">
        <v>45894.0</v>
      </c>
      <c r="E499" s="4" t="s">
        <v>1767</v>
      </c>
      <c r="F499" s="9"/>
      <c r="G499" s="6"/>
      <c r="H499" s="7">
        <v>384.0</v>
      </c>
      <c r="I499" s="7" t="s">
        <v>1768</v>
      </c>
      <c r="K499" s="12" t="str">
        <f t="shared" si="46"/>
        <v>SL1610</v>
      </c>
      <c r="L499" s="2" t="s">
        <v>1769</v>
      </c>
      <c r="M499" s="2" t="s">
        <v>24</v>
      </c>
      <c r="N499" s="2" t="s">
        <v>60</v>
      </c>
      <c r="O499" s="2">
        <v>1.10751038E8</v>
      </c>
      <c r="P499" s="15"/>
      <c r="Q499" s="8">
        <v>2025.0</v>
      </c>
      <c r="R499" s="8" t="s">
        <v>894</v>
      </c>
    </row>
    <row r="500">
      <c r="A500" s="4" t="s">
        <v>18</v>
      </c>
      <c r="B500" s="13" t="s">
        <v>1770</v>
      </c>
      <c r="C500" s="5">
        <v>45894.0</v>
      </c>
      <c r="D500" s="5">
        <v>45894.0</v>
      </c>
      <c r="E500" s="4" t="s">
        <v>1771</v>
      </c>
      <c r="F500" s="9"/>
      <c r="G500" s="6"/>
      <c r="H500" s="7">
        <v>541.0</v>
      </c>
      <c r="I500" s="7" t="s">
        <v>1772</v>
      </c>
      <c r="K500" s="12" t="str">
        <f t="shared" si="46"/>
        <v>SC3567</v>
      </c>
      <c r="L500" s="2" t="s">
        <v>1773</v>
      </c>
      <c r="M500" s="2" t="s">
        <v>24</v>
      </c>
      <c r="N500" s="2" t="s">
        <v>60</v>
      </c>
      <c r="O500" s="2">
        <v>1.10751038E8</v>
      </c>
      <c r="P500" s="15"/>
      <c r="Q500" s="8">
        <v>2025.0</v>
      </c>
      <c r="R500" s="8" t="s">
        <v>894</v>
      </c>
    </row>
    <row r="501">
      <c r="A501" s="4" t="s">
        <v>18</v>
      </c>
      <c r="B501" s="13" t="s">
        <v>1774</v>
      </c>
      <c r="C501" s="5">
        <v>45894.0</v>
      </c>
      <c r="D501" s="5">
        <v>45894.0</v>
      </c>
      <c r="E501" s="4" t="s">
        <v>1775</v>
      </c>
      <c r="F501" s="9"/>
      <c r="G501" s="6"/>
      <c r="H501" s="7">
        <v>824.0</v>
      </c>
      <c r="I501" s="7" t="s">
        <v>1776</v>
      </c>
      <c r="K501" s="12" t="str">
        <f t="shared" si="46"/>
        <v>SL1610</v>
      </c>
      <c r="L501" s="2" t="s">
        <v>1777</v>
      </c>
      <c r="M501" s="2" t="s">
        <v>24</v>
      </c>
      <c r="N501" s="2" t="s">
        <v>60</v>
      </c>
      <c r="O501" s="2">
        <v>1.10751038E8</v>
      </c>
      <c r="P501" s="15"/>
      <c r="Q501" s="8">
        <v>2025.0</v>
      </c>
      <c r="R501" s="8" t="s">
        <v>894</v>
      </c>
    </row>
    <row r="502">
      <c r="A502" s="4" t="s">
        <v>18</v>
      </c>
      <c r="B502" s="13" t="s">
        <v>1778</v>
      </c>
      <c r="C502" s="5">
        <v>45894.0</v>
      </c>
      <c r="D502" s="5">
        <v>45894.0</v>
      </c>
      <c r="E502" s="4" t="s">
        <v>1779</v>
      </c>
      <c r="F502" s="9"/>
      <c r="G502" s="6"/>
      <c r="H502" s="11">
        <v>1124.0</v>
      </c>
      <c r="I502" s="7" t="s">
        <v>1780</v>
      </c>
      <c r="K502" s="12" t="str">
        <f t="shared" si="46"/>
        <v>SL1610</v>
      </c>
      <c r="L502" s="2" t="s">
        <v>1781</v>
      </c>
      <c r="M502" s="2" t="s">
        <v>24</v>
      </c>
      <c r="N502" s="2" t="s">
        <v>60</v>
      </c>
      <c r="O502" s="2">
        <v>1.10751038E8</v>
      </c>
      <c r="P502" s="15"/>
      <c r="Q502" s="8">
        <v>2025.0</v>
      </c>
      <c r="R502" s="8" t="s">
        <v>894</v>
      </c>
    </row>
    <row r="503">
      <c r="A503" s="4" t="s">
        <v>18</v>
      </c>
      <c r="B503" s="13" t="s">
        <v>1782</v>
      </c>
      <c r="C503" s="5">
        <v>45894.0</v>
      </c>
      <c r="D503" s="5">
        <v>45894.0</v>
      </c>
      <c r="E503" s="4" t="s">
        <v>1783</v>
      </c>
      <c r="F503" s="9"/>
      <c r="G503" s="6"/>
      <c r="H503" s="7">
        <v>986.0</v>
      </c>
      <c r="I503" s="7" t="s">
        <v>1784</v>
      </c>
      <c r="K503" s="12" t="str">
        <f t="shared" si="46"/>
        <v>SL1610</v>
      </c>
      <c r="L503" s="2" t="s">
        <v>1785</v>
      </c>
      <c r="M503" s="2" t="s">
        <v>24</v>
      </c>
      <c r="N503" s="2" t="s">
        <v>60</v>
      </c>
      <c r="O503" s="2">
        <v>1.10751038E8</v>
      </c>
      <c r="P503" s="15"/>
      <c r="Q503" s="8">
        <v>2025.0</v>
      </c>
      <c r="R503" s="8" t="s">
        <v>894</v>
      </c>
    </row>
    <row r="504">
      <c r="A504" s="4" t="s">
        <v>18</v>
      </c>
      <c r="B504" s="13" t="s">
        <v>1786</v>
      </c>
      <c r="C504" s="5">
        <v>45895.0</v>
      </c>
      <c r="D504" s="5">
        <v>45895.0</v>
      </c>
      <c r="E504" s="4" t="s">
        <v>1787</v>
      </c>
      <c r="F504" s="9"/>
      <c r="G504" s="6"/>
      <c r="H504" s="7">
        <v>116.0</v>
      </c>
      <c r="I504" s="7" t="s">
        <v>1788</v>
      </c>
      <c r="K504" s="12" t="str">
        <f t="shared" si="46"/>
        <v>SC3567</v>
      </c>
      <c r="M504" s="2" t="s">
        <v>24</v>
      </c>
      <c r="N504" s="2" t="s">
        <v>60</v>
      </c>
      <c r="O504" s="2">
        <v>1.10751038E8</v>
      </c>
      <c r="P504" s="15" t="str">
        <f>IFERROR(__xludf.DUMMYFUNCTION("CONCATENATE(B504,"", "", to_text(D504),"", "", E504,"", "", H504)"),"TSV-08-0233, 26-Aug-2025, UPI/CR/110342602898/JITENDRA/UBIN/jitendr/SC3567, 116")</f>
        <v>TSV-08-0233, 26-Aug-2025, UPI/CR/110342602898/JITENDRA/UBIN/jitendr/SC3567, 116</v>
      </c>
      <c r="Q504" s="8">
        <v>2025.0</v>
      </c>
      <c r="R504" s="8" t="s">
        <v>894</v>
      </c>
    </row>
    <row r="505">
      <c r="A505" s="4" t="s">
        <v>18</v>
      </c>
      <c r="B505" s="13" t="s">
        <v>1789</v>
      </c>
      <c r="C505" s="5">
        <v>45895.0</v>
      </c>
      <c r="D505" s="5">
        <v>45895.0</v>
      </c>
      <c r="E505" s="4" t="s">
        <v>1790</v>
      </c>
      <c r="F505" s="9"/>
      <c r="G505" s="11">
        <v>5744.0</v>
      </c>
      <c r="H505" s="6"/>
      <c r="I505" s="7" t="s">
        <v>1791</v>
      </c>
      <c r="J505" s="2" t="s">
        <v>1792</v>
      </c>
      <c r="K505" s="1" t="s">
        <v>23</v>
      </c>
      <c r="M505" s="2" t="s">
        <v>114</v>
      </c>
      <c r="N505" s="18" t="s">
        <v>1792</v>
      </c>
      <c r="O505" s="2">
        <v>1.10751038E8</v>
      </c>
      <c r="P505" s="15"/>
      <c r="Q505" s="8">
        <v>2025.0</v>
      </c>
      <c r="R505" s="8" t="s">
        <v>894</v>
      </c>
    </row>
    <row r="506">
      <c r="A506" s="4" t="s">
        <v>18</v>
      </c>
      <c r="B506" s="13" t="s">
        <v>1793</v>
      </c>
      <c r="C506" s="5">
        <v>45895.0</v>
      </c>
      <c r="D506" s="5">
        <v>45895.0</v>
      </c>
      <c r="E506" s="4" t="s">
        <v>1794</v>
      </c>
      <c r="F506" s="9"/>
      <c r="G506" s="6"/>
      <c r="H506" s="7">
        <v>175.0</v>
      </c>
      <c r="I506" s="7" t="s">
        <v>1795</v>
      </c>
      <c r="K506" s="12" t="str">
        <f>RIGHT(E506,6)</f>
        <v>SL1610</v>
      </c>
      <c r="L506" s="2" t="s">
        <v>1796</v>
      </c>
      <c r="M506" s="2" t="s">
        <v>24</v>
      </c>
      <c r="N506" s="2" t="s">
        <v>60</v>
      </c>
      <c r="O506" s="2">
        <v>1.10751038E8</v>
      </c>
      <c r="P506" s="15"/>
      <c r="Q506" s="8">
        <v>2025.0</v>
      </c>
      <c r="R506" s="8" t="s">
        <v>894</v>
      </c>
    </row>
    <row r="507">
      <c r="A507" s="4" t="s">
        <v>18</v>
      </c>
      <c r="B507" s="13" t="s">
        <v>1797</v>
      </c>
      <c r="C507" s="5">
        <v>45895.0</v>
      </c>
      <c r="D507" s="5">
        <v>45895.0</v>
      </c>
      <c r="E507" s="4" t="s">
        <v>1798</v>
      </c>
      <c r="F507" s="9"/>
      <c r="G507" s="7">
        <v>862.0</v>
      </c>
      <c r="H507" s="6"/>
      <c r="I507" s="7" t="s">
        <v>1799</v>
      </c>
      <c r="J507" s="2" t="s">
        <v>1800</v>
      </c>
      <c r="K507" s="2" t="s">
        <v>123</v>
      </c>
      <c r="M507" s="2" t="s">
        <v>114</v>
      </c>
      <c r="N507" s="18" t="s">
        <v>1800</v>
      </c>
      <c r="O507" s="2">
        <v>1.10751038E8</v>
      </c>
      <c r="P507" s="15"/>
      <c r="Q507" s="8">
        <v>2025.0</v>
      </c>
      <c r="R507" s="8" t="s">
        <v>894</v>
      </c>
    </row>
    <row r="508">
      <c r="A508" s="4" t="s">
        <v>18</v>
      </c>
      <c r="B508" s="13" t="s">
        <v>1801</v>
      </c>
      <c r="C508" s="5">
        <v>45895.0</v>
      </c>
      <c r="D508" s="5">
        <v>45895.0</v>
      </c>
      <c r="E508" s="4" t="s">
        <v>1802</v>
      </c>
      <c r="F508" s="9"/>
      <c r="G508" s="6"/>
      <c r="H508" s="7">
        <v>200.0</v>
      </c>
      <c r="I508" s="7" t="s">
        <v>1803</v>
      </c>
      <c r="K508" s="12" t="str">
        <f t="shared" ref="K508:K515" si="47">RIGHT(E508,6)</f>
        <v>KN3817</v>
      </c>
      <c r="L508" s="2" t="s">
        <v>1804</v>
      </c>
      <c r="M508" s="2" t="s">
        <v>24</v>
      </c>
      <c r="N508" s="2" t="s">
        <v>60</v>
      </c>
      <c r="O508" s="2">
        <v>1.10751038E8</v>
      </c>
      <c r="P508" s="15"/>
      <c r="Q508" s="8">
        <v>2025.0</v>
      </c>
      <c r="R508" s="8" t="s">
        <v>894</v>
      </c>
    </row>
    <row r="509">
      <c r="A509" s="4" t="s">
        <v>18</v>
      </c>
      <c r="B509" s="13" t="s">
        <v>1805</v>
      </c>
      <c r="C509" s="5">
        <v>45895.0</v>
      </c>
      <c r="D509" s="5">
        <v>45895.0</v>
      </c>
      <c r="E509" s="4" t="s">
        <v>1806</v>
      </c>
      <c r="F509" s="9"/>
      <c r="G509" s="6"/>
      <c r="H509" s="7">
        <v>417.0</v>
      </c>
      <c r="I509" s="7" t="s">
        <v>1807</v>
      </c>
      <c r="K509" s="12" t="str">
        <f t="shared" si="47"/>
        <v>SC3567</v>
      </c>
      <c r="L509" s="2" t="s">
        <v>1808</v>
      </c>
      <c r="M509" s="2" t="s">
        <v>24</v>
      </c>
      <c r="N509" s="2" t="s">
        <v>60</v>
      </c>
      <c r="O509" s="2">
        <v>1.10751038E8</v>
      </c>
      <c r="P509" s="15"/>
      <c r="Q509" s="8">
        <v>2025.0</v>
      </c>
      <c r="R509" s="8" t="s">
        <v>894</v>
      </c>
    </row>
    <row r="510">
      <c r="A510" s="4" t="s">
        <v>18</v>
      </c>
      <c r="B510" s="13" t="s">
        <v>1809</v>
      </c>
      <c r="C510" s="5">
        <v>45896.0</v>
      </c>
      <c r="D510" s="5">
        <v>45896.0</v>
      </c>
      <c r="E510" s="4" t="s">
        <v>1810</v>
      </c>
      <c r="F510" s="9"/>
      <c r="G510" s="6"/>
      <c r="H510" s="7">
        <v>234.0</v>
      </c>
      <c r="I510" s="7" t="s">
        <v>1811</v>
      </c>
      <c r="K510" s="12" t="str">
        <f t="shared" si="47"/>
        <v>SC3567</v>
      </c>
      <c r="L510" s="2" t="s">
        <v>1812</v>
      </c>
      <c r="M510" s="2" t="s">
        <v>24</v>
      </c>
      <c r="N510" s="2" t="s">
        <v>60</v>
      </c>
      <c r="O510" s="2">
        <v>1.10751038E8</v>
      </c>
      <c r="P510" s="15"/>
      <c r="Q510" s="8">
        <v>2025.0</v>
      </c>
      <c r="R510" s="8" t="s">
        <v>894</v>
      </c>
    </row>
    <row r="511">
      <c r="A511" s="4" t="s">
        <v>18</v>
      </c>
      <c r="B511" s="13" t="s">
        <v>1813</v>
      </c>
      <c r="C511" s="5">
        <v>45896.0</v>
      </c>
      <c r="D511" s="5">
        <v>45896.0</v>
      </c>
      <c r="E511" s="4" t="s">
        <v>1814</v>
      </c>
      <c r="F511" s="9"/>
      <c r="G511" s="6"/>
      <c r="H511" s="7">
        <v>967.0</v>
      </c>
      <c r="I511" s="7" t="s">
        <v>1815</v>
      </c>
      <c r="K511" s="12" t="str">
        <f t="shared" si="47"/>
        <v>SL1610</v>
      </c>
      <c r="L511" s="2" t="s">
        <v>1816</v>
      </c>
      <c r="M511" s="2" t="s">
        <v>24</v>
      </c>
      <c r="N511" s="2" t="s">
        <v>60</v>
      </c>
      <c r="O511" s="2">
        <v>1.10751038E8</v>
      </c>
      <c r="P511" s="15"/>
      <c r="Q511" s="8">
        <v>2025.0</v>
      </c>
      <c r="R511" s="8" t="s">
        <v>894</v>
      </c>
    </row>
    <row r="512">
      <c r="A512" s="4" t="s">
        <v>18</v>
      </c>
      <c r="B512" s="13" t="s">
        <v>1817</v>
      </c>
      <c r="C512" s="5">
        <v>45896.0</v>
      </c>
      <c r="D512" s="5">
        <v>45896.0</v>
      </c>
      <c r="E512" s="4" t="s">
        <v>1818</v>
      </c>
      <c r="F512" s="9"/>
      <c r="G512" s="6"/>
      <c r="H512" s="11">
        <v>1083.0</v>
      </c>
      <c r="I512" s="7" t="s">
        <v>1819</v>
      </c>
      <c r="K512" s="12" t="str">
        <f t="shared" si="47"/>
        <v>SL1610</v>
      </c>
      <c r="L512" s="2" t="s">
        <v>1820</v>
      </c>
      <c r="M512" s="2" t="s">
        <v>24</v>
      </c>
      <c r="N512" s="2" t="s">
        <v>60</v>
      </c>
      <c r="O512" s="2">
        <v>1.10751038E8</v>
      </c>
      <c r="P512" s="15"/>
      <c r="Q512" s="8">
        <v>2025.0</v>
      </c>
      <c r="R512" s="8" t="s">
        <v>894</v>
      </c>
    </row>
    <row r="513">
      <c r="A513" s="4" t="s">
        <v>18</v>
      </c>
      <c r="B513" s="13" t="s">
        <v>1821</v>
      </c>
      <c r="C513" s="5">
        <v>45896.0</v>
      </c>
      <c r="D513" s="5">
        <v>45896.0</v>
      </c>
      <c r="E513" s="4" t="s">
        <v>1822</v>
      </c>
      <c r="F513" s="9"/>
      <c r="G513" s="6"/>
      <c r="H513" s="7">
        <v>320.0</v>
      </c>
      <c r="I513" s="7" t="s">
        <v>1823</v>
      </c>
      <c r="K513" s="12" t="str">
        <f t="shared" si="47"/>
        <v>UN3668</v>
      </c>
      <c r="L513" s="2" t="s">
        <v>1824</v>
      </c>
      <c r="M513" s="2" t="s">
        <v>24</v>
      </c>
      <c r="N513" s="2" t="s">
        <v>60</v>
      </c>
      <c r="O513" s="2">
        <v>1.10751038E8</v>
      </c>
      <c r="P513" s="15"/>
      <c r="Q513" s="8">
        <v>2025.0</v>
      </c>
      <c r="R513" s="8" t="s">
        <v>894</v>
      </c>
    </row>
    <row r="514">
      <c r="A514" s="4" t="s">
        <v>18</v>
      </c>
      <c r="B514" s="13" t="s">
        <v>1825</v>
      </c>
      <c r="C514" s="5">
        <v>45897.0</v>
      </c>
      <c r="D514" s="5">
        <v>45897.0</v>
      </c>
      <c r="E514" s="4" t="s">
        <v>1826</v>
      </c>
      <c r="F514" s="9"/>
      <c r="G514" s="6"/>
      <c r="H514" s="7">
        <v>406.0</v>
      </c>
      <c r="I514" s="7" t="s">
        <v>1827</v>
      </c>
      <c r="K514" s="12" t="str">
        <f t="shared" si="47"/>
        <v>UN3668</v>
      </c>
      <c r="L514" s="2" t="s">
        <v>1828</v>
      </c>
      <c r="M514" s="2" t="s">
        <v>24</v>
      </c>
      <c r="N514" s="2" t="s">
        <v>60</v>
      </c>
      <c r="O514" s="2">
        <v>1.10751038E8</v>
      </c>
      <c r="P514" s="15"/>
      <c r="Q514" s="8">
        <v>2025.0</v>
      </c>
      <c r="R514" s="8" t="s">
        <v>894</v>
      </c>
    </row>
    <row r="515">
      <c r="A515" s="4" t="s">
        <v>18</v>
      </c>
      <c r="B515" s="13" t="s">
        <v>1829</v>
      </c>
      <c r="C515" s="5">
        <v>45897.0</v>
      </c>
      <c r="D515" s="5">
        <v>45897.0</v>
      </c>
      <c r="E515" s="4" t="s">
        <v>1830</v>
      </c>
      <c r="F515" s="9"/>
      <c r="G515" s="6"/>
      <c r="H515" s="7">
        <v>100.0</v>
      </c>
      <c r="I515" s="7" t="s">
        <v>1831</v>
      </c>
      <c r="K515" s="12" t="str">
        <f t="shared" si="47"/>
        <v>SC3567</v>
      </c>
      <c r="M515" s="2" t="s">
        <v>24</v>
      </c>
      <c r="N515" s="2" t="s">
        <v>60</v>
      </c>
      <c r="O515" s="2">
        <v>1.10751038E8</v>
      </c>
      <c r="P515" s="15" t="str">
        <f>IFERROR(__xludf.DUMMYFUNCTION("CONCATENATE(B515,"", "", to_text(D515),"", "", E515,"", "", H515)"),"TSV-08-0244, 28-Aug-2025, UPI/CR/689792388380/SANTOSH/HDFC/9999230/SC3567, 100")</f>
        <v>TSV-08-0244, 28-Aug-2025, UPI/CR/689792388380/SANTOSH/HDFC/9999230/SC3567, 100</v>
      </c>
      <c r="Q515" s="8">
        <v>2025.0</v>
      </c>
      <c r="R515" s="8" t="s">
        <v>894</v>
      </c>
    </row>
    <row r="516">
      <c r="A516" s="4" t="s">
        <v>18</v>
      </c>
      <c r="B516" s="13" t="s">
        <v>1832</v>
      </c>
      <c r="C516" s="5">
        <v>45897.0</v>
      </c>
      <c r="D516" s="5">
        <v>45897.0</v>
      </c>
      <c r="E516" s="4" t="s">
        <v>1833</v>
      </c>
      <c r="F516" s="9"/>
      <c r="G516" s="11">
        <v>2000.0</v>
      </c>
      <c r="H516" s="6"/>
      <c r="I516" s="7" t="s">
        <v>1834</v>
      </c>
      <c r="J516" s="2" t="s">
        <v>1835</v>
      </c>
      <c r="K516" s="1" t="s">
        <v>23</v>
      </c>
      <c r="M516" s="2" t="s">
        <v>114</v>
      </c>
      <c r="N516" s="18" t="s">
        <v>1835</v>
      </c>
      <c r="O516" s="2">
        <v>1.10751038E8</v>
      </c>
      <c r="P516" s="15"/>
      <c r="Q516" s="8">
        <v>2025.0</v>
      </c>
      <c r="R516" s="8" t="s">
        <v>894</v>
      </c>
    </row>
    <row r="517">
      <c r="A517" s="4" t="s">
        <v>18</v>
      </c>
      <c r="B517" s="13" t="s">
        <v>1836</v>
      </c>
      <c r="C517" s="5">
        <v>45897.0</v>
      </c>
      <c r="D517" s="5">
        <v>45897.0</v>
      </c>
      <c r="E517" s="4" t="s">
        <v>1837</v>
      </c>
      <c r="F517" s="9"/>
      <c r="G517" s="11">
        <v>4510.0</v>
      </c>
      <c r="H517" s="6"/>
      <c r="I517" s="7" t="s">
        <v>1838</v>
      </c>
      <c r="J517" s="2" t="s">
        <v>220</v>
      </c>
      <c r="K517" s="2" t="s">
        <v>119</v>
      </c>
      <c r="M517" s="2" t="s">
        <v>114</v>
      </c>
      <c r="N517" s="18" t="s">
        <v>220</v>
      </c>
      <c r="O517" s="2">
        <v>1.10751038E8</v>
      </c>
      <c r="P517" s="15"/>
      <c r="Q517" s="8">
        <v>2025.0</v>
      </c>
      <c r="R517" s="8" t="s">
        <v>894</v>
      </c>
    </row>
    <row r="518">
      <c r="A518" s="4" t="s">
        <v>18</v>
      </c>
      <c r="B518" s="13" t="s">
        <v>1839</v>
      </c>
      <c r="C518" s="5">
        <v>45897.0</v>
      </c>
      <c r="D518" s="5">
        <v>45897.0</v>
      </c>
      <c r="E518" s="4" t="s">
        <v>1840</v>
      </c>
      <c r="F518" s="9"/>
      <c r="G518" s="6"/>
      <c r="H518" s="7">
        <v>637.0</v>
      </c>
      <c r="I518" s="7" t="s">
        <v>1841</v>
      </c>
      <c r="K518" s="12" t="str">
        <f t="shared" ref="K518:K529" si="48">RIGHT(E518,6)</f>
        <v>SC3567</v>
      </c>
      <c r="L518" s="2" t="s">
        <v>1842</v>
      </c>
      <c r="M518" s="2" t="s">
        <v>24</v>
      </c>
      <c r="N518" s="2" t="s">
        <v>60</v>
      </c>
      <c r="O518" s="2">
        <v>1.10751038E8</v>
      </c>
      <c r="P518" s="15"/>
      <c r="Q518" s="8">
        <v>2025.0</v>
      </c>
      <c r="R518" s="8" t="s">
        <v>894</v>
      </c>
    </row>
    <row r="519">
      <c r="A519" s="4" t="s">
        <v>18</v>
      </c>
      <c r="B519" s="13" t="s">
        <v>1843</v>
      </c>
      <c r="C519" s="5">
        <v>45897.0</v>
      </c>
      <c r="D519" s="5">
        <v>45897.0</v>
      </c>
      <c r="E519" s="4" t="s">
        <v>1844</v>
      </c>
      <c r="F519" s="9"/>
      <c r="G519" s="6"/>
      <c r="H519" s="7">
        <v>450.0</v>
      </c>
      <c r="I519" s="7" t="s">
        <v>1845</v>
      </c>
      <c r="K519" s="12" t="str">
        <f t="shared" si="48"/>
        <v>UN3668</v>
      </c>
      <c r="L519" s="2" t="s">
        <v>1846</v>
      </c>
      <c r="M519" s="2" t="s">
        <v>24</v>
      </c>
      <c r="N519" s="2" t="s">
        <v>60</v>
      </c>
      <c r="O519" s="2">
        <v>1.10751038E8</v>
      </c>
      <c r="P519" s="15"/>
      <c r="Q519" s="8">
        <v>2025.0</v>
      </c>
      <c r="R519" s="8" t="s">
        <v>894</v>
      </c>
    </row>
    <row r="520">
      <c r="A520" s="4" t="s">
        <v>18</v>
      </c>
      <c r="B520" s="13" t="s">
        <v>1847</v>
      </c>
      <c r="C520" s="5">
        <v>45897.0</v>
      </c>
      <c r="D520" s="5">
        <v>45897.0</v>
      </c>
      <c r="E520" s="4" t="s">
        <v>1848</v>
      </c>
      <c r="F520" s="9"/>
      <c r="G520" s="6"/>
      <c r="H520" s="7">
        <v>133.0</v>
      </c>
      <c r="I520" s="7" t="s">
        <v>1849</v>
      </c>
      <c r="K520" s="12" t="str">
        <f t="shared" si="48"/>
        <v>SL1610</v>
      </c>
      <c r="L520" s="2" t="s">
        <v>1850</v>
      </c>
      <c r="M520" s="2" t="s">
        <v>24</v>
      </c>
      <c r="N520" s="2" t="s">
        <v>60</v>
      </c>
      <c r="O520" s="2">
        <v>1.10751038E8</v>
      </c>
      <c r="P520" s="15"/>
      <c r="Q520" s="8">
        <v>2025.0</v>
      </c>
      <c r="R520" s="8" t="s">
        <v>894</v>
      </c>
    </row>
    <row r="521">
      <c r="A521" s="4" t="s">
        <v>18</v>
      </c>
      <c r="B521" s="13" t="s">
        <v>1851</v>
      </c>
      <c r="C521" s="5">
        <v>45897.0</v>
      </c>
      <c r="D521" s="5">
        <v>45897.0</v>
      </c>
      <c r="E521" s="4" t="s">
        <v>1852</v>
      </c>
      <c r="F521" s="9"/>
      <c r="G521" s="6"/>
      <c r="H521" s="7">
        <v>947.0</v>
      </c>
      <c r="I521" s="7" t="s">
        <v>1853</v>
      </c>
      <c r="K521" s="12" t="str">
        <f t="shared" si="48"/>
        <v>SL1610</v>
      </c>
      <c r="L521" s="2" t="s">
        <v>1854</v>
      </c>
      <c r="M521" s="2" t="s">
        <v>24</v>
      </c>
      <c r="N521" s="2" t="s">
        <v>60</v>
      </c>
      <c r="O521" s="2">
        <v>1.10751038E8</v>
      </c>
      <c r="P521" s="15"/>
      <c r="Q521" s="8">
        <v>2025.0</v>
      </c>
      <c r="R521" s="8" t="s">
        <v>894</v>
      </c>
    </row>
    <row r="522">
      <c r="A522" s="4" t="s">
        <v>18</v>
      </c>
      <c r="B522" s="13" t="s">
        <v>1855</v>
      </c>
      <c r="C522" s="5">
        <v>45898.0</v>
      </c>
      <c r="D522" s="5">
        <v>45898.0</v>
      </c>
      <c r="E522" s="4" t="s">
        <v>1856</v>
      </c>
      <c r="F522" s="9"/>
      <c r="G522" s="6"/>
      <c r="H522" s="7">
        <v>500.0</v>
      </c>
      <c r="I522" s="7" t="s">
        <v>1857</v>
      </c>
      <c r="K522" s="12" t="str">
        <f t="shared" si="48"/>
        <v>UN3668</v>
      </c>
      <c r="L522" s="2" t="s">
        <v>1858</v>
      </c>
      <c r="M522" s="2" t="s">
        <v>24</v>
      </c>
      <c r="N522" s="2" t="s">
        <v>60</v>
      </c>
      <c r="O522" s="2">
        <v>1.10751038E8</v>
      </c>
      <c r="P522" s="15"/>
      <c r="Q522" s="8">
        <v>2025.0</v>
      </c>
      <c r="R522" s="8" t="s">
        <v>894</v>
      </c>
    </row>
    <row r="523">
      <c r="A523" s="4" t="s">
        <v>18</v>
      </c>
      <c r="B523" s="13" t="s">
        <v>1859</v>
      </c>
      <c r="C523" s="5">
        <v>45898.0</v>
      </c>
      <c r="D523" s="5">
        <v>45898.0</v>
      </c>
      <c r="E523" s="4" t="s">
        <v>1860</v>
      </c>
      <c r="F523" s="9"/>
      <c r="G523" s="6"/>
      <c r="H523" s="7">
        <v>476.0</v>
      </c>
      <c r="I523" s="7" t="s">
        <v>1861</v>
      </c>
      <c r="K523" s="12" t="str">
        <f t="shared" si="48"/>
        <v>KN3817</v>
      </c>
      <c r="L523" s="21" t="s">
        <v>1862</v>
      </c>
      <c r="M523" s="2" t="s">
        <v>24</v>
      </c>
      <c r="N523" s="2" t="s">
        <v>60</v>
      </c>
      <c r="O523" s="2">
        <v>1.10751038E8</v>
      </c>
      <c r="P523" s="15"/>
      <c r="Q523" s="8">
        <v>2025.0</v>
      </c>
      <c r="R523" s="8" t="s">
        <v>894</v>
      </c>
    </row>
    <row r="524">
      <c r="A524" s="4" t="s">
        <v>18</v>
      </c>
      <c r="B524" s="13" t="s">
        <v>1863</v>
      </c>
      <c r="C524" s="5">
        <v>45898.0</v>
      </c>
      <c r="D524" s="5">
        <v>45898.0</v>
      </c>
      <c r="E524" s="4" t="s">
        <v>1864</v>
      </c>
      <c r="F524" s="9"/>
      <c r="G524" s="6"/>
      <c r="H524" s="7">
        <v>820.0</v>
      </c>
      <c r="I524" s="7" t="s">
        <v>1865</v>
      </c>
      <c r="K524" s="12" t="str">
        <f t="shared" si="48"/>
        <v>KN3817</v>
      </c>
      <c r="M524" s="2" t="s">
        <v>24</v>
      </c>
      <c r="N524" s="2" t="s">
        <v>60</v>
      </c>
      <c r="O524" s="2">
        <v>1.10751038E8</v>
      </c>
      <c r="P524" s="15" t="str">
        <f>IFERROR(__xludf.DUMMYFUNCTION("CONCATENATE(B524,"", "", to_text(D524),"", "", E524,"", "", H524)"),"TSV-08-0253, 29-Aug-2025, UPI/CR/689840698062/MALLIKA /FDRL/9990883/KN3817, 820")</f>
        <v>TSV-08-0253, 29-Aug-2025, UPI/CR/689840698062/MALLIKA /FDRL/9990883/KN3817, 820</v>
      </c>
      <c r="Q524" s="8">
        <v>2025.0</v>
      </c>
      <c r="R524" s="8" t="s">
        <v>894</v>
      </c>
    </row>
    <row r="525">
      <c r="A525" s="4" t="s">
        <v>18</v>
      </c>
      <c r="B525" s="13" t="s">
        <v>1866</v>
      </c>
      <c r="C525" s="5">
        <v>45898.0</v>
      </c>
      <c r="D525" s="5">
        <v>45898.0</v>
      </c>
      <c r="E525" s="4" t="s">
        <v>1867</v>
      </c>
      <c r="F525" s="9"/>
      <c r="G525" s="6"/>
      <c r="H525" s="7">
        <v>323.0</v>
      </c>
      <c r="I525" s="7" t="s">
        <v>1868</v>
      </c>
      <c r="K525" s="12" t="str">
        <f t="shared" si="48"/>
        <v>UN3668</v>
      </c>
      <c r="L525" s="2" t="s">
        <v>1869</v>
      </c>
      <c r="M525" s="2" t="s">
        <v>24</v>
      </c>
      <c r="N525" s="2" t="s">
        <v>60</v>
      </c>
      <c r="O525" s="2">
        <v>1.10751038E8</v>
      </c>
      <c r="P525" s="15"/>
      <c r="Q525" s="8">
        <v>2025.0</v>
      </c>
      <c r="R525" s="8" t="s">
        <v>894</v>
      </c>
    </row>
    <row r="526">
      <c r="A526" s="4" t="s">
        <v>18</v>
      </c>
      <c r="B526" s="13" t="s">
        <v>1870</v>
      </c>
      <c r="C526" s="5">
        <v>45898.0</v>
      </c>
      <c r="D526" s="5">
        <v>45898.0</v>
      </c>
      <c r="E526" s="4" t="s">
        <v>1871</v>
      </c>
      <c r="F526" s="9"/>
      <c r="G526" s="6"/>
      <c r="H526" s="11">
        <v>2731.0</v>
      </c>
      <c r="I526" s="7" t="s">
        <v>1872</v>
      </c>
      <c r="K526" s="12" t="str">
        <f t="shared" si="48"/>
        <v>SC3567</v>
      </c>
      <c r="M526" s="2" t="s">
        <v>24</v>
      </c>
      <c r="N526" s="2" t="s">
        <v>60</v>
      </c>
      <c r="O526" s="2">
        <v>1.10751038E8</v>
      </c>
      <c r="P526" s="15" t="str">
        <f>IFERROR(__xludf.DUMMYFUNCTION("CONCATENATE(B526,"", "", to_text(D526),"", "", E526,"", "", H526)"),"TSV-08-0255, 29-Aug-2025, UPI/CR/524111493918/KAUTUK R/HDFC/9631090/SC3567, 2731")</f>
        <v>TSV-08-0255, 29-Aug-2025, UPI/CR/524111493918/KAUTUK R/HDFC/9631090/SC3567, 2731</v>
      </c>
      <c r="Q526" s="8">
        <v>2025.0</v>
      </c>
      <c r="R526" s="8" t="s">
        <v>894</v>
      </c>
    </row>
    <row r="527">
      <c r="A527" s="4" t="s">
        <v>18</v>
      </c>
      <c r="B527" s="13" t="s">
        <v>1873</v>
      </c>
      <c r="C527" s="5">
        <v>45898.0</v>
      </c>
      <c r="D527" s="5">
        <v>45898.0</v>
      </c>
      <c r="E527" s="4" t="s">
        <v>1874</v>
      </c>
      <c r="F527" s="9"/>
      <c r="G527" s="6"/>
      <c r="H527" s="7">
        <v>400.0</v>
      </c>
      <c r="I527" s="7" t="s">
        <v>1875</v>
      </c>
      <c r="K527" s="12" t="str">
        <f t="shared" si="48"/>
        <v>UN3668</v>
      </c>
      <c r="L527" s="2" t="s">
        <v>1876</v>
      </c>
      <c r="M527" s="2" t="s">
        <v>24</v>
      </c>
      <c r="N527" s="2" t="s">
        <v>60</v>
      </c>
      <c r="O527" s="2">
        <v>1.10751038E8</v>
      </c>
      <c r="P527" s="15"/>
      <c r="Q527" s="8">
        <v>2025.0</v>
      </c>
      <c r="R527" s="8" t="s">
        <v>894</v>
      </c>
    </row>
    <row r="528">
      <c r="A528" s="4" t="s">
        <v>18</v>
      </c>
      <c r="B528" s="13" t="s">
        <v>1877</v>
      </c>
      <c r="C528" s="5">
        <v>45898.0</v>
      </c>
      <c r="D528" s="5">
        <v>45898.0</v>
      </c>
      <c r="E528" s="4" t="s">
        <v>1878</v>
      </c>
      <c r="F528" s="9"/>
      <c r="G528" s="6"/>
      <c r="H528" s="7">
        <v>905.25</v>
      </c>
      <c r="I528" s="7" t="s">
        <v>1879</v>
      </c>
      <c r="K528" s="12" t="str">
        <f t="shared" si="48"/>
        <v>SC3567</v>
      </c>
      <c r="L528" s="2" t="s">
        <v>1880</v>
      </c>
      <c r="M528" s="2" t="s">
        <v>24</v>
      </c>
      <c r="N528" s="2" t="s">
        <v>60</v>
      </c>
      <c r="O528" s="2">
        <v>1.10751038E8</v>
      </c>
      <c r="P528" s="15"/>
      <c r="Q528" s="8">
        <v>2025.0</v>
      </c>
      <c r="R528" s="8" t="s">
        <v>894</v>
      </c>
    </row>
    <row r="529">
      <c r="A529" s="4" t="s">
        <v>18</v>
      </c>
      <c r="B529" s="13" t="s">
        <v>1881</v>
      </c>
      <c r="C529" s="5">
        <v>45898.0</v>
      </c>
      <c r="D529" s="5">
        <v>45898.0</v>
      </c>
      <c r="E529" s="4" t="s">
        <v>1882</v>
      </c>
      <c r="F529" s="9"/>
      <c r="G529" s="6"/>
      <c r="H529" s="11">
        <v>2843.0</v>
      </c>
      <c r="I529" s="7" t="s">
        <v>1883</v>
      </c>
      <c r="K529" s="12" t="str">
        <f t="shared" si="48"/>
        <v>SC3567</v>
      </c>
      <c r="L529" s="2" t="s">
        <v>1884</v>
      </c>
      <c r="M529" s="2" t="s">
        <v>24</v>
      </c>
      <c r="N529" s="2" t="s">
        <v>60</v>
      </c>
      <c r="O529" s="2">
        <v>1.10751038E8</v>
      </c>
      <c r="P529" s="15"/>
      <c r="Q529" s="8">
        <v>2025.0</v>
      </c>
      <c r="R529" s="8" t="s">
        <v>894</v>
      </c>
    </row>
    <row r="530">
      <c r="A530" s="4" t="s">
        <v>18</v>
      </c>
      <c r="B530" s="13" t="s">
        <v>1885</v>
      </c>
      <c r="C530" s="5">
        <v>45899.0</v>
      </c>
      <c r="D530" s="5">
        <v>45899.0</v>
      </c>
      <c r="E530" s="4" t="s">
        <v>1886</v>
      </c>
      <c r="F530" s="9"/>
      <c r="G530" s="7">
        <v>290.95</v>
      </c>
      <c r="H530" s="6"/>
      <c r="I530" s="7" t="s">
        <v>1887</v>
      </c>
      <c r="J530" s="2" t="s">
        <v>275</v>
      </c>
      <c r="K530" s="2" t="s">
        <v>127</v>
      </c>
      <c r="M530" s="2" t="s">
        <v>114</v>
      </c>
      <c r="N530" s="2" t="s">
        <v>275</v>
      </c>
      <c r="O530" s="2">
        <v>1.10751038E8</v>
      </c>
      <c r="Q530" s="8">
        <v>2025.0</v>
      </c>
      <c r="R530" s="8" t="s">
        <v>894</v>
      </c>
    </row>
    <row r="531">
      <c r="A531" s="4" t="s">
        <v>18</v>
      </c>
      <c r="B531" s="13" t="s">
        <v>1888</v>
      </c>
      <c r="C531" s="5">
        <v>45899.0</v>
      </c>
      <c r="D531" s="5">
        <v>45899.0</v>
      </c>
      <c r="E531" s="4" t="s">
        <v>1889</v>
      </c>
      <c r="F531" s="9"/>
      <c r="G531" s="11">
        <v>2868.28</v>
      </c>
      <c r="H531" s="6"/>
      <c r="I531" s="7" t="s">
        <v>1890</v>
      </c>
      <c r="J531" s="2" t="s">
        <v>275</v>
      </c>
      <c r="K531" s="2" t="s">
        <v>119</v>
      </c>
      <c r="M531" s="2" t="s">
        <v>114</v>
      </c>
      <c r="N531" s="2" t="s">
        <v>275</v>
      </c>
      <c r="O531" s="2">
        <v>1.10751038E8</v>
      </c>
      <c r="Q531" s="8">
        <v>2025.0</v>
      </c>
      <c r="R531" s="8" t="s">
        <v>894</v>
      </c>
    </row>
    <row r="532">
      <c r="A532" s="4" t="s">
        <v>18</v>
      </c>
      <c r="B532" s="13" t="s">
        <v>1891</v>
      </c>
      <c r="C532" s="5">
        <v>45899.0</v>
      </c>
      <c r="D532" s="5">
        <v>45899.0</v>
      </c>
      <c r="E532" s="4" t="s">
        <v>1892</v>
      </c>
      <c r="F532" s="9"/>
      <c r="G532" s="6"/>
      <c r="H532" s="7">
        <v>809.0</v>
      </c>
      <c r="I532" s="7" t="s">
        <v>1893</v>
      </c>
      <c r="K532" s="12" t="str">
        <f>RIGHT(E532,6)</f>
        <v>SL1610</v>
      </c>
      <c r="L532" s="2" t="s">
        <v>1894</v>
      </c>
      <c r="M532" s="2" t="s">
        <v>24</v>
      </c>
      <c r="N532" s="2" t="s">
        <v>60</v>
      </c>
      <c r="O532" s="2">
        <v>1.10751038E8</v>
      </c>
      <c r="P532" s="15"/>
      <c r="Q532" s="8">
        <v>2025.0</v>
      </c>
      <c r="R532" s="8" t="s">
        <v>894</v>
      </c>
    </row>
    <row r="533">
      <c r="A533" s="4" t="s">
        <v>18</v>
      </c>
      <c r="B533" s="13" t="s">
        <v>1895</v>
      </c>
      <c r="C533" s="5">
        <v>45900.0</v>
      </c>
      <c r="D533" s="5">
        <v>45900.0</v>
      </c>
      <c r="E533" s="4" t="s">
        <v>1896</v>
      </c>
      <c r="F533" s="9"/>
      <c r="G533" s="11">
        <v>13360.0</v>
      </c>
      <c r="H533" s="6"/>
      <c r="I533" s="7" t="s">
        <v>1897</v>
      </c>
      <c r="J533" s="2" t="s">
        <v>220</v>
      </c>
      <c r="K533" s="2" t="s">
        <v>127</v>
      </c>
      <c r="M533" s="2" t="s">
        <v>114</v>
      </c>
      <c r="N533" s="2" t="s">
        <v>220</v>
      </c>
      <c r="O533" s="2">
        <v>1.10751038E8</v>
      </c>
      <c r="Q533" s="8">
        <v>2025.0</v>
      </c>
      <c r="R533" s="8" t="s">
        <v>894</v>
      </c>
    </row>
    <row r="534">
      <c r="A534" s="4" t="s">
        <v>18</v>
      </c>
      <c r="B534" s="13" t="s">
        <v>1898</v>
      </c>
      <c r="C534" s="5">
        <v>45900.0</v>
      </c>
      <c r="D534" s="5">
        <v>45900.0</v>
      </c>
      <c r="E534" s="4" t="s">
        <v>1899</v>
      </c>
      <c r="F534" s="9"/>
      <c r="G534" s="6"/>
      <c r="H534" s="11">
        <v>4138.0</v>
      </c>
      <c r="I534" s="7" t="s">
        <v>1900</v>
      </c>
      <c r="K534" s="12" t="str">
        <f t="shared" ref="K534:K541" si="49">RIGHT(E534,6)</f>
        <v>SL1610</v>
      </c>
      <c r="L534" s="2" t="s">
        <v>1901</v>
      </c>
      <c r="M534" s="2" t="s">
        <v>24</v>
      </c>
      <c r="N534" s="2" t="s">
        <v>60</v>
      </c>
      <c r="O534" s="2">
        <v>1.10751038E8</v>
      </c>
      <c r="P534" s="15"/>
      <c r="Q534" s="8">
        <v>2025.0</v>
      </c>
      <c r="R534" s="8" t="s">
        <v>894</v>
      </c>
    </row>
    <row r="535">
      <c r="A535" s="4" t="s">
        <v>18</v>
      </c>
      <c r="B535" s="13" t="s">
        <v>1902</v>
      </c>
      <c r="C535" s="5">
        <v>45900.0</v>
      </c>
      <c r="D535" s="5">
        <v>45900.0</v>
      </c>
      <c r="E535" s="4" t="s">
        <v>1903</v>
      </c>
      <c r="F535" s="9"/>
      <c r="G535" s="6"/>
      <c r="H535" s="7">
        <v>800.0</v>
      </c>
      <c r="I535" s="7" t="s">
        <v>1904</v>
      </c>
      <c r="K535" s="12" t="str">
        <f t="shared" si="49"/>
        <v>KN3817</v>
      </c>
      <c r="L535" s="2" t="s">
        <v>1905</v>
      </c>
      <c r="M535" s="2" t="s">
        <v>24</v>
      </c>
      <c r="N535" s="2" t="s">
        <v>60</v>
      </c>
      <c r="O535" s="2">
        <v>1.10751038E8</v>
      </c>
      <c r="P535" s="15"/>
      <c r="Q535" s="8">
        <v>2025.0</v>
      </c>
      <c r="R535" s="8" t="s">
        <v>894</v>
      </c>
    </row>
    <row r="536">
      <c r="A536" s="4" t="s">
        <v>18</v>
      </c>
      <c r="B536" s="13" t="s">
        <v>1906</v>
      </c>
      <c r="C536" s="5">
        <v>45900.0</v>
      </c>
      <c r="D536" s="5">
        <v>45900.0</v>
      </c>
      <c r="E536" s="4" t="s">
        <v>1907</v>
      </c>
      <c r="F536" s="9"/>
      <c r="G536" s="6"/>
      <c r="H536" s="7">
        <v>200.0</v>
      </c>
      <c r="I536" s="7" t="s">
        <v>1908</v>
      </c>
      <c r="K536" s="12" t="str">
        <f t="shared" si="49"/>
        <v>KN3817</v>
      </c>
      <c r="L536" s="21" t="s">
        <v>1909</v>
      </c>
      <c r="M536" s="2" t="s">
        <v>24</v>
      </c>
      <c r="N536" s="2" t="s">
        <v>60</v>
      </c>
      <c r="O536" s="2">
        <v>1.10751038E8</v>
      </c>
      <c r="P536" s="15"/>
      <c r="Q536" s="8">
        <v>2025.0</v>
      </c>
      <c r="R536" s="8" t="s">
        <v>894</v>
      </c>
    </row>
    <row r="537">
      <c r="A537" s="4" t="s">
        <v>18</v>
      </c>
      <c r="B537" s="13" t="s">
        <v>1910</v>
      </c>
      <c r="C537" s="5">
        <v>45900.0</v>
      </c>
      <c r="D537" s="5">
        <v>45900.0</v>
      </c>
      <c r="E537" s="4" t="s">
        <v>1911</v>
      </c>
      <c r="F537" s="9"/>
      <c r="G537" s="6"/>
      <c r="H537" s="7">
        <v>109.0</v>
      </c>
      <c r="I537" s="7" t="s">
        <v>1912</v>
      </c>
      <c r="K537" s="12" t="str">
        <f t="shared" si="49"/>
        <v>SC3567</v>
      </c>
      <c r="L537" s="2" t="s">
        <v>1913</v>
      </c>
      <c r="M537" s="2" t="s">
        <v>24</v>
      </c>
      <c r="N537" s="2" t="s">
        <v>60</v>
      </c>
      <c r="O537" s="2">
        <v>1.10751038E8</v>
      </c>
      <c r="P537" s="15"/>
      <c r="Q537" s="8">
        <v>2025.0</v>
      </c>
      <c r="R537" s="8" t="s">
        <v>894</v>
      </c>
    </row>
    <row r="538">
      <c r="A538" s="4" t="s">
        <v>18</v>
      </c>
      <c r="B538" s="13" t="s">
        <v>1914</v>
      </c>
      <c r="C538" s="5">
        <v>45900.0</v>
      </c>
      <c r="D538" s="5">
        <v>45900.0</v>
      </c>
      <c r="E538" s="4" t="s">
        <v>1915</v>
      </c>
      <c r="F538" s="9"/>
      <c r="G538" s="6"/>
      <c r="H538" s="7">
        <v>417.0</v>
      </c>
      <c r="I538" s="7" t="s">
        <v>1916</v>
      </c>
      <c r="K538" s="12" t="str">
        <f t="shared" si="49"/>
        <v>SC3567</v>
      </c>
      <c r="L538" s="2" t="s">
        <v>1917</v>
      </c>
      <c r="M538" s="2" t="s">
        <v>24</v>
      </c>
      <c r="N538" s="2" t="s">
        <v>60</v>
      </c>
      <c r="O538" s="2">
        <v>1.10751038E8</v>
      </c>
      <c r="P538" s="15"/>
      <c r="Q538" s="8">
        <v>2025.0</v>
      </c>
      <c r="R538" s="8" t="s">
        <v>894</v>
      </c>
    </row>
    <row r="539">
      <c r="A539" s="4" t="s">
        <v>18</v>
      </c>
      <c r="B539" s="13" t="s">
        <v>1918</v>
      </c>
      <c r="C539" s="5">
        <v>45900.0</v>
      </c>
      <c r="D539" s="5">
        <v>45900.0</v>
      </c>
      <c r="E539" s="4" t="s">
        <v>1919</v>
      </c>
      <c r="F539" s="9"/>
      <c r="G539" s="6"/>
      <c r="H539" s="7">
        <v>500.0</v>
      </c>
      <c r="I539" s="7" t="s">
        <v>1920</v>
      </c>
      <c r="K539" s="12" t="str">
        <f t="shared" si="49"/>
        <v>UN3668</v>
      </c>
      <c r="L539" s="2" t="s">
        <v>1921</v>
      </c>
      <c r="M539" s="2" t="s">
        <v>24</v>
      </c>
      <c r="N539" s="2" t="s">
        <v>60</v>
      </c>
      <c r="O539" s="2">
        <v>1.10751038E8</v>
      </c>
      <c r="P539" s="15"/>
      <c r="Q539" s="8">
        <v>2025.0</v>
      </c>
      <c r="R539" s="8" t="s">
        <v>894</v>
      </c>
    </row>
    <row r="540">
      <c r="A540" s="4" t="s">
        <v>18</v>
      </c>
      <c r="B540" s="13" t="s">
        <v>1922</v>
      </c>
      <c r="C540" s="5">
        <v>45900.0</v>
      </c>
      <c r="D540" s="5">
        <v>45900.0</v>
      </c>
      <c r="E540" s="4" t="s">
        <v>1923</v>
      </c>
      <c r="F540" s="9"/>
      <c r="G540" s="6"/>
      <c r="H540" s="11">
        <v>5000.0</v>
      </c>
      <c r="I540" s="7" t="s">
        <v>1924</v>
      </c>
      <c r="K540" s="12" t="str">
        <f t="shared" si="49"/>
        <v>SC3567</v>
      </c>
      <c r="L540" s="2" t="s">
        <v>1925</v>
      </c>
      <c r="M540" s="2" t="s">
        <v>24</v>
      </c>
      <c r="N540" s="2" t="s">
        <v>60</v>
      </c>
      <c r="O540" s="2">
        <v>1.10751038E8</v>
      </c>
      <c r="P540" s="15"/>
      <c r="Q540" s="8">
        <v>2025.0</v>
      </c>
      <c r="R540" s="8" t="s">
        <v>894</v>
      </c>
    </row>
    <row r="541">
      <c r="A541" s="4" t="s">
        <v>18</v>
      </c>
      <c r="B541" s="13" t="s">
        <v>1926</v>
      </c>
      <c r="C541" s="5">
        <v>45900.0</v>
      </c>
      <c r="D541" s="5">
        <v>45900.0</v>
      </c>
      <c r="E541" s="4" t="s">
        <v>1927</v>
      </c>
      <c r="F541" s="9"/>
      <c r="G541" s="6"/>
      <c r="H541" s="7">
        <v>210.0</v>
      </c>
      <c r="I541" s="7" t="s">
        <v>1928</v>
      </c>
      <c r="K541" s="12" t="str">
        <f t="shared" si="49"/>
        <v>UN3668</v>
      </c>
      <c r="L541" s="2" t="s">
        <v>1929</v>
      </c>
      <c r="M541" s="2" t="s">
        <v>24</v>
      </c>
      <c r="N541" s="2" t="s">
        <v>60</v>
      </c>
      <c r="O541" s="2">
        <v>1.10751038E8</v>
      </c>
      <c r="P541" s="15"/>
      <c r="Q541" s="8">
        <v>2025.0</v>
      </c>
      <c r="R541" s="8" t="s">
        <v>894</v>
      </c>
    </row>
    <row r="542">
      <c r="A542" s="4" t="s">
        <v>18</v>
      </c>
      <c r="B542" s="2" t="s">
        <v>1930</v>
      </c>
      <c r="C542" s="10">
        <v>45901.0</v>
      </c>
      <c r="D542" s="10">
        <v>45901.0</v>
      </c>
      <c r="E542" s="4" t="s">
        <v>1931</v>
      </c>
      <c r="F542" s="9"/>
      <c r="G542" s="11">
        <v>12500.0</v>
      </c>
      <c r="H542" s="6"/>
      <c r="I542" s="7" t="s">
        <v>1932</v>
      </c>
      <c r="J542" s="2" t="s">
        <v>366</v>
      </c>
      <c r="K542" s="2" t="s">
        <v>123</v>
      </c>
      <c r="M542" s="2" t="s">
        <v>114</v>
      </c>
      <c r="N542" s="2" t="s">
        <v>169</v>
      </c>
      <c r="O542" s="2">
        <v>1.10751038E8</v>
      </c>
      <c r="Q542" s="8">
        <v>2025.0</v>
      </c>
      <c r="R542" s="8" t="s">
        <v>1933</v>
      </c>
    </row>
    <row r="543">
      <c r="A543" s="4" t="s">
        <v>18</v>
      </c>
      <c r="B543" s="2" t="s">
        <v>1934</v>
      </c>
      <c r="C543" s="10">
        <v>45901.0</v>
      </c>
      <c r="D543" s="10">
        <v>45901.0</v>
      </c>
      <c r="E543" s="4" t="s">
        <v>1935</v>
      </c>
      <c r="F543" s="9"/>
      <c r="G543" s="6"/>
      <c r="H543" s="7">
        <v>350.0</v>
      </c>
      <c r="I543" s="7" t="s">
        <v>1936</v>
      </c>
      <c r="K543" s="12" t="str">
        <f>RIGHT(E543,6)</f>
        <v>UN3668</v>
      </c>
      <c r="L543" s="2" t="s">
        <v>1937</v>
      </c>
      <c r="M543" s="2" t="s">
        <v>24</v>
      </c>
      <c r="N543" s="2" t="s">
        <v>60</v>
      </c>
      <c r="O543" s="2">
        <v>1.10751038E8</v>
      </c>
      <c r="P543" s="15"/>
      <c r="Q543" s="8">
        <v>2025.0</v>
      </c>
      <c r="R543" s="8" t="s">
        <v>1933</v>
      </c>
    </row>
    <row r="544">
      <c r="A544" s="4" t="s">
        <v>18</v>
      </c>
      <c r="B544" s="2" t="s">
        <v>1938</v>
      </c>
      <c r="C544" s="10">
        <v>45901.0</v>
      </c>
      <c r="D544" s="10">
        <v>45901.0</v>
      </c>
      <c r="E544" s="4" t="s">
        <v>1939</v>
      </c>
      <c r="F544" s="9"/>
      <c r="G544" s="6"/>
      <c r="H544" s="7">
        <v>25.0</v>
      </c>
      <c r="I544" s="7" t="s">
        <v>1940</v>
      </c>
      <c r="K544" s="2" t="s">
        <v>539</v>
      </c>
      <c r="M544" s="2" t="s">
        <v>24</v>
      </c>
      <c r="N544" s="2" t="s">
        <v>60</v>
      </c>
      <c r="O544" s="2">
        <v>1.10751038E8</v>
      </c>
      <c r="P544" s="15" t="str">
        <f>IFERROR(__xludf.DUMMYFUNCTION("CONCATENATE(B544,"", "", to_text(D544),"", "", E544,"", "", H544)"),"TSV-09-0003, 01-Sep-2025, UPI/CR/524464523491/AMANDEEP/KKBK/amandee/UPI, 25")</f>
        <v>TSV-09-0003, 01-Sep-2025, UPI/CR/524464523491/AMANDEEP/KKBK/amandee/UPI, 25</v>
      </c>
      <c r="Q544" s="8">
        <v>2025.0</v>
      </c>
      <c r="R544" s="8" t="s">
        <v>1933</v>
      </c>
    </row>
    <row r="545">
      <c r="A545" s="4" t="s">
        <v>18</v>
      </c>
      <c r="B545" s="2" t="s">
        <v>1941</v>
      </c>
      <c r="C545" s="10">
        <v>45902.0</v>
      </c>
      <c r="D545" s="10">
        <v>45902.0</v>
      </c>
      <c r="E545" s="4" t="s">
        <v>1942</v>
      </c>
      <c r="F545" s="9"/>
      <c r="G545" s="6"/>
      <c r="H545" s="7">
        <v>400.0</v>
      </c>
      <c r="I545" s="7" t="s">
        <v>1943</v>
      </c>
      <c r="K545" s="12" t="str">
        <f t="shared" ref="K545:K546" si="50">RIGHT(E545,6)</f>
        <v>UN3668</v>
      </c>
      <c r="L545" s="2" t="s">
        <v>1944</v>
      </c>
      <c r="M545" s="2" t="s">
        <v>24</v>
      </c>
      <c r="N545" s="2" t="s">
        <v>60</v>
      </c>
      <c r="O545" s="2">
        <v>1.10751038E8</v>
      </c>
      <c r="P545" s="15"/>
      <c r="Q545" s="8">
        <v>2025.0</v>
      </c>
      <c r="R545" s="8" t="s">
        <v>1933</v>
      </c>
    </row>
    <row r="546">
      <c r="A546" s="4" t="s">
        <v>18</v>
      </c>
      <c r="B546" s="2" t="s">
        <v>1945</v>
      </c>
      <c r="C546" s="10">
        <v>45902.0</v>
      </c>
      <c r="D546" s="10">
        <v>45902.0</v>
      </c>
      <c r="E546" s="4" t="s">
        <v>1946</v>
      </c>
      <c r="F546" s="9"/>
      <c r="G546" s="6"/>
      <c r="H546" s="7">
        <v>164.0</v>
      </c>
      <c r="I546" s="7" t="s">
        <v>1947</v>
      </c>
      <c r="K546" s="12" t="str">
        <f t="shared" si="50"/>
        <v>SL1610</v>
      </c>
      <c r="L546" s="2" t="s">
        <v>1948</v>
      </c>
      <c r="M546" s="2" t="s">
        <v>24</v>
      </c>
      <c r="N546" s="2" t="s">
        <v>60</v>
      </c>
      <c r="O546" s="2">
        <v>1.10751038E8</v>
      </c>
      <c r="P546" s="15"/>
      <c r="Q546" s="8">
        <v>2025.0</v>
      </c>
      <c r="R546" s="8" t="s">
        <v>1933</v>
      </c>
    </row>
    <row r="547">
      <c r="A547" s="4" t="s">
        <v>18</v>
      </c>
      <c r="B547" s="2" t="s">
        <v>1949</v>
      </c>
      <c r="C547" s="10">
        <v>45902.0</v>
      </c>
      <c r="D547" s="10">
        <v>45902.0</v>
      </c>
      <c r="E547" s="4" t="s">
        <v>1950</v>
      </c>
      <c r="F547" s="9"/>
      <c r="G547" s="6"/>
      <c r="H547" s="7">
        <v>348.0</v>
      </c>
      <c r="I547" s="7" t="s">
        <v>1951</v>
      </c>
      <c r="K547" s="2" t="s">
        <v>539</v>
      </c>
      <c r="M547" s="2" t="s">
        <v>24</v>
      </c>
      <c r="N547" s="2" t="s">
        <v>60</v>
      </c>
      <c r="O547" s="2">
        <v>1.10751038E8</v>
      </c>
      <c r="P547" s="15" t="str">
        <f>IFERROR(__xludf.DUMMYFUNCTION("CONCATENATE(B547,"", "", to_text(D547),"", "", E547,"", "", H547)"),"TSV-09-0006, 02-Sep-2025, UPI/CR/110674473028/SOHUM MU/HDFC/sohummu/UPI, 348")</f>
        <v>TSV-09-0006, 02-Sep-2025, UPI/CR/110674473028/SOHUM MU/HDFC/sohummu/UPI, 348</v>
      </c>
      <c r="Q547" s="8">
        <v>2025.0</v>
      </c>
      <c r="R547" s="8" t="s">
        <v>1933</v>
      </c>
    </row>
    <row r="548">
      <c r="A548" s="4" t="s">
        <v>18</v>
      </c>
      <c r="B548" s="2" t="s">
        <v>1952</v>
      </c>
      <c r="C548" s="10">
        <v>45902.0</v>
      </c>
      <c r="D548" s="10">
        <v>45902.0</v>
      </c>
      <c r="E548" s="4" t="s">
        <v>1953</v>
      </c>
      <c r="F548" s="9"/>
      <c r="G548" s="6"/>
      <c r="H548" s="7">
        <v>400.0</v>
      </c>
      <c r="I548" s="7" t="s">
        <v>1954</v>
      </c>
      <c r="K548" s="12" t="str">
        <f t="shared" ref="K548:K554" si="51">RIGHT(E548,6)</f>
        <v>KN3817</v>
      </c>
      <c r="L548" s="21" t="s">
        <v>1955</v>
      </c>
      <c r="M548" s="2" t="s">
        <v>24</v>
      </c>
      <c r="N548" s="2" t="s">
        <v>60</v>
      </c>
      <c r="O548" s="2">
        <v>1.10751038E8</v>
      </c>
      <c r="P548" s="15"/>
      <c r="Q548" s="8">
        <v>2025.0</v>
      </c>
      <c r="R548" s="8" t="s">
        <v>1933</v>
      </c>
    </row>
    <row r="549">
      <c r="A549" s="4" t="s">
        <v>18</v>
      </c>
      <c r="B549" s="2" t="s">
        <v>1956</v>
      </c>
      <c r="C549" s="10">
        <v>45902.0</v>
      </c>
      <c r="D549" s="10">
        <v>45902.0</v>
      </c>
      <c r="E549" s="4" t="s">
        <v>1957</v>
      </c>
      <c r="F549" s="9"/>
      <c r="G549" s="6"/>
      <c r="H549" s="11">
        <v>2945.0</v>
      </c>
      <c r="I549" s="7" t="s">
        <v>1958</v>
      </c>
      <c r="K549" s="12" t="str">
        <f t="shared" si="51"/>
        <v>SL1610</v>
      </c>
      <c r="L549" s="2" t="s">
        <v>1959</v>
      </c>
      <c r="M549" s="2" t="s">
        <v>24</v>
      </c>
      <c r="N549" s="2" t="s">
        <v>60</v>
      </c>
      <c r="O549" s="2">
        <v>1.10751038E8</v>
      </c>
      <c r="P549" s="15"/>
      <c r="Q549" s="8">
        <v>2025.0</v>
      </c>
      <c r="R549" s="8" t="s">
        <v>1933</v>
      </c>
    </row>
    <row r="550">
      <c r="A550" s="4" t="s">
        <v>18</v>
      </c>
      <c r="B550" s="2" t="s">
        <v>1960</v>
      </c>
      <c r="C550" s="10">
        <v>45902.0</v>
      </c>
      <c r="D550" s="10">
        <v>45902.0</v>
      </c>
      <c r="E550" s="4" t="s">
        <v>1961</v>
      </c>
      <c r="F550" s="9"/>
      <c r="G550" s="6"/>
      <c r="H550" s="11">
        <v>1240.0</v>
      </c>
      <c r="I550" s="7" t="s">
        <v>1962</v>
      </c>
      <c r="K550" s="12" t="str">
        <f t="shared" si="51"/>
        <v>SC3567</v>
      </c>
      <c r="M550" s="2" t="s">
        <v>24</v>
      </c>
      <c r="N550" s="2" t="s">
        <v>60</v>
      </c>
      <c r="O550" s="2">
        <v>1.10751038E8</v>
      </c>
      <c r="P550" s="15" t="str">
        <f>IFERROR(__xludf.DUMMYFUNCTION("CONCATENATE(B550,"", "", to_text(D550),"", "", E550,"", "", H550)"),"TSV-09-0009, 02-Sep-2025, UPI/CR/230032636677/ARPIT P/KKBK/9007904/SC3567, 1240")</f>
        <v>TSV-09-0009, 02-Sep-2025, UPI/CR/230032636677/ARPIT P/KKBK/9007904/SC3567, 1240</v>
      </c>
      <c r="Q550" s="8">
        <v>2025.0</v>
      </c>
      <c r="R550" s="8" t="s">
        <v>1933</v>
      </c>
    </row>
    <row r="551">
      <c r="A551" s="4" t="s">
        <v>18</v>
      </c>
      <c r="B551" s="2" t="s">
        <v>1963</v>
      </c>
      <c r="C551" s="10">
        <v>45902.0</v>
      </c>
      <c r="D551" s="10">
        <v>45902.0</v>
      </c>
      <c r="E551" s="4" t="s">
        <v>1964</v>
      </c>
      <c r="F551" s="9"/>
      <c r="G551" s="6"/>
      <c r="H551" s="11">
        <v>1251.0</v>
      </c>
      <c r="I551" s="7" t="s">
        <v>1965</v>
      </c>
      <c r="K551" s="12" t="str">
        <f t="shared" si="51"/>
        <v>SC3567</v>
      </c>
      <c r="L551" s="2" t="s">
        <v>1966</v>
      </c>
      <c r="M551" s="2" t="s">
        <v>24</v>
      </c>
      <c r="N551" s="2" t="s">
        <v>60</v>
      </c>
      <c r="O551" s="2">
        <v>1.10751038E8</v>
      </c>
      <c r="P551" s="15"/>
      <c r="Q551" s="8">
        <v>2025.0</v>
      </c>
      <c r="R551" s="8" t="s">
        <v>1933</v>
      </c>
    </row>
    <row r="552">
      <c r="A552" s="4" t="s">
        <v>18</v>
      </c>
      <c r="B552" s="2" t="s">
        <v>1967</v>
      </c>
      <c r="C552" s="10">
        <v>45902.0</v>
      </c>
      <c r="D552" s="10">
        <v>45902.0</v>
      </c>
      <c r="E552" s="4" t="s">
        <v>1968</v>
      </c>
      <c r="F552" s="9"/>
      <c r="G552" s="6"/>
      <c r="H552" s="7">
        <v>728.0</v>
      </c>
      <c r="I552" s="7" t="s">
        <v>1969</v>
      </c>
      <c r="K552" s="12" t="str">
        <f t="shared" si="51"/>
        <v>UN3668</v>
      </c>
      <c r="L552" s="2" t="s">
        <v>1970</v>
      </c>
      <c r="M552" s="2" t="s">
        <v>24</v>
      </c>
      <c r="N552" s="2" t="s">
        <v>60</v>
      </c>
      <c r="O552" s="2">
        <v>1.10751038E8</v>
      </c>
      <c r="P552" s="15"/>
      <c r="Q552" s="8">
        <v>2025.0</v>
      </c>
      <c r="R552" s="8" t="s">
        <v>1933</v>
      </c>
    </row>
    <row r="553">
      <c r="A553" s="4" t="s">
        <v>18</v>
      </c>
      <c r="B553" s="2" t="s">
        <v>1971</v>
      </c>
      <c r="C553" s="10">
        <v>45902.0</v>
      </c>
      <c r="D553" s="10">
        <v>45902.0</v>
      </c>
      <c r="E553" s="4" t="s">
        <v>1972</v>
      </c>
      <c r="F553" s="9"/>
      <c r="G553" s="6"/>
      <c r="H553" s="11">
        <v>1152.0</v>
      </c>
      <c r="I553" s="7" t="s">
        <v>1973</v>
      </c>
      <c r="K553" s="12" t="str">
        <f t="shared" si="51"/>
        <v>UN3668</v>
      </c>
      <c r="L553" s="2" t="s">
        <v>1974</v>
      </c>
      <c r="M553" s="2" t="s">
        <v>24</v>
      </c>
      <c r="N553" s="2" t="s">
        <v>60</v>
      </c>
      <c r="O553" s="2">
        <v>1.10751038E8</v>
      </c>
      <c r="P553" s="15"/>
      <c r="Q553" s="8">
        <v>2025.0</v>
      </c>
      <c r="R553" s="8" t="s">
        <v>1933</v>
      </c>
    </row>
    <row r="554">
      <c r="A554" s="4" t="s">
        <v>18</v>
      </c>
      <c r="B554" s="2" t="s">
        <v>1975</v>
      </c>
      <c r="C554" s="10">
        <v>45903.0</v>
      </c>
      <c r="D554" s="10">
        <v>45903.0</v>
      </c>
      <c r="E554" s="4" t="s">
        <v>1976</v>
      </c>
      <c r="F554" s="9"/>
      <c r="G554" s="6"/>
      <c r="H554" s="7">
        <v>1.0</v>
      </c>
      <c r="I554" s="7" t="s">
        <v>1977</v>
      </c>
      <c r="K554" s="12" t="str">
        <f t="shared" si="51"/>
        <v>KN3817</v>
      </c>
      <c r="L554" s="2" t="s">
        <v>1978</v>
      </c>
      <c r="M554" s="2" t="s">
        <v>24</v>
      </c>
      <c r="N554" s="2" t="s">
        <v>60</v>
      </c>
      <c r="O554" s="2">
        <v>1.10751038E8</v>
      </c>
      <c r="P554" s="15"/>
      <c r="Q554" s="8">
        <v>2025.0</v>
      </c>
      <c r="R554" s="8" t="s">
        <v>1933</v>
      </c>
    </row>
    <row r="555">
      <c r="A555" s="4" t="s">
        <v>18</v>
      </c>
      <c r="B555" s="2" t="s">
        <v>1979</v>
      </c>
      <c r="C555" s="10">
        <v>45903.0</v>
      </c>
      <c r="D555" s="10">
        <v>45903.0</v>
      </c>
      <c r="E555" s="4" t="s">
        <v>1980</v>
      </c>
      <c r="F555" s="9"/>
      <c r="G555" s="11">
        <v>1620.0</v>
      </c>
      <c r="H555" s="6"/>
      <c r="I555" s="7" t="s">
        <v>1981</v>
      </c>
      <c r="J555" s="2" t="s">
        <v>1800</v>
      </c>
      <c r="K555" s="2" t="s">
        <v>113</v>
      </c>
      <c r="M555" s="2" t="s">
        <v>114</v>
      </c>
      <c r="N555" s="2" t="s">
        <v>1800</v>
      </c>
      <c r="O555" s="2">
        <v>1.10751038E8</v>
      </c>
      <c r="Q555" s="8">
        <v>2025.0</v>
      </c>
      <c r="R555" s="8" t="s">
        <v>1933</v>
      </c>
    </row>
    <row r="556">
      <c r="A556" s="4" t="s">
        <v>18</v>
      </c>
      <c r="B556" s="2" t="s">
        <v>1982</v>
      </c>
      <c r="C556" s="10">
        <v>45903.0</v>
      </c>
      <c r="D556" s="10">
        <v>45903.0</v>
      </c>
      <c r="E556" s="4" t="s">
        <v>1983</v>
      </c>
      <c r="F556" s="9"/>
      <c r="G556" s="6"/>
      <c r="H556" s="7">
        <v>570.0</v>
      </c>
      <c r="I556" s="7" t="s">
        <v>1984</v>
      </c>
      <c r="K556" s="12" t="str">
        <f t="shared" ref="K556:K570" si="52">RIGHT(E556,6)</f>
        <v>SL1610</v>
      </c>
      <c r="L556" s="2" t="s">
        <v>1985</v>
      </c>
      <c r="M556" s="2" t="s">
        <v>24</v>
      </c>
      <c r="N556" s="2" t="s">
        <v>60</v>
      </c>
      <c r="O556" s="2">
        <v>1.10751038E8</v>
      </c>
      <c r="P556" s="15"/>
      <c r="Q556" s="8">
        <v>2025.0</v>
      </c>
      <c r="R556" s="8" t="s">
        <v>1933</v>
      </c>
    </row>
    <row r="557">
      <c r="A557" s="4" t="s">
        <v>18</v>
      </c>
      <c r="B557" s="2" t="s">
        <v>1986</v>
      </c>
      <c r="C557" s="10">
        <v>45903.0</v>
      </c>
      <c r="D557" s="10">
        <v>45903.0</v>
      </c>
      <c r="E557" s="4" t="s">
        <v>1987</v>
      </c>
      <c r="F557" s="9"/>
      <c r="G557" s="6"/>
      <c r="H557" s="7">
        <v>608.0</v>
      </c>
      <c r="I557" s="7" t="s">
        <v>1988</v>
      </c>
      <c r="K557" s="12" t="str">
        <f t="shared" si="52"/>
        <v>UN3668</v>
      </c>
      <c r="L557" s="2" t="s">
        <v>1989</v>
      </c>
      <c r="M557" s="2" t="s">
        <v>24</v>
      </c>
      <c r="N557" s="2" t="s">
        <v>60</v>
      </c>
      <c r="O557" s="2">
        <v>1.10751038E8</v>
      </c>
      <c r="P557" s="15"/>
      <c r="Q557" s="8">
        <v>2025.0</v>
      </c>
      <c r="R557" s="8" t="s">
        <v>1933</v>
      </c>
    </row>
    <row r="558">
      <c r="A558" s="4" t="s">
        <v>18</v>
      </c>
      <c r="B558" s="2" t="s">
        <v>1990</v>
      </c>
      <c r="C558" s="10">
        <v>45903.0</v>
      </c>
      <c r="D558" s="10">
        <v>45903.0</v>
      </c>
      <c r="E558" s="4" t="s">
        <v>1991</v>
      </c>
      <c r="F558" s="9"/>
      <c r="G558" s="6"/>
      <c r="H558" s="7">
        <v>940.0</v>
      </c>
      <c r="I558" s="7" t="s">
        <v>1992</v>
      </c>
      <c r="K558" s="12" t="str">
        <f t="shared" si="52"/>
        <v>UN3668</v>
      </c>
      <c r="L558" s="2" t="s">
        <v>1993</v>
      </c>
      <c r="M558" s="2" t="s">
        <v>24</v>
      </c>
      <c r="N558" s="2" t="s">
        <v>60</v>
      </c>
      <c r="O558" s="2">
        <v>1.10751038E8</v>
      </c>
      <c r="P558" s="15"/>
      <c r="Q558" s="8">
        <v>2025.0</v>
      </c>
      <c r="R558" s="8" t="s">
        <v>1933</v>
      </c>
    </row>
    <row r="559">
      <c r="A559" s="4" t="s">
        <v>18</v>
      </c>
      <c r="B559" s="2" t="s">
        <v>1994</v>
      </c>
      <c r="C559" s="10">
        <v>45903.0</v>
      </c>
      <c r="D559" s="10">
        <v>45903.0</v>
      </c>
      <c r="E559" s="4" t="s">
        <v>1995</v>
      </c>
      <c r="F559" s="9"/>
      <c r="G559" s="6"/>
      <c r="H559" s="7">
        <v>185.0</v>
      </c>
      <c r="I559" s="7" t="s">
        <v>1996</v>
      </c>
      <c r="K559" s="12" t="str">
        <f t="shared" si="52"/>
        <v>SC3567</v>
      </c>
      <c r="L559" s="2" t="s">
        <v>1997</v>
      </c>
      <c r="M559" s="2" t="s">
        <v>24</v>
      </c>
      <c r="N559" s="2" t="s">
        <v>60</v>
      </c>
      <c r="O559" s="2">
        <v>1.10751038E8</v>
      </c>
      <c r="P559" s="15"/>
      <c r="Q559" s="8">
        <v>2025.0</v>
      </c>
      <c r="R559" s="8" t="s">
        <v>1933</v>
      </c>
    </row>
    <row r="560">
      <c r="A560" s="4" t="s">
        <v>18</v>
      </c>
      <c r="B560" s="2" t="s">
        <v>1998</v>
      </c>
      <c r="C560" s="10">
        <v>45903.0</v>
      </c>
      <c r="D560" s="10">
        <v>45903.0</v>
      </c>
      <c r="E560" s="4" t="s">
        <v>1999</v>
      </c>
      <c r="F560" s="9"/>
      <c r="G560" s="6"/>
      <c r="H560" s="11">
        <v>1044.58</v>
      </c>
      <c r="I560" s="7" t="s">
        <v>2000</v>
      </c>
      <c r="K560" s="12" t="str">
        <f t="shared" si="52"/>
        <v>SC3567</v>
      </c>
      <c r="L560" s="2" t="s">
        <v>2001</v>
      </c>
      <c r="M560" s="2" t="s">
        <v>24</v>
      </c>
      <c r="N560" s="2" t="s">
        <v>60</v>
      </c>
      <c r="O560" s="2">
        <v>1.10751038E8</v>
      </c>
      <c r="P560" s="15"/>
      <c r="Q560" s="8">
        <v>2025.0</v>
      </c>
      <c r="R560" s="8" t="s">
        <v>1933</v>
      </c>
    </row>
    <row r="561">
      <c r="A561" s="4" t="s">
        <v>18</v>
      </c>
      <c r="B561" s="2" t="s">
        <v>2002</v>
      </c>
      <c r="C561" s="10">
        <v>45903.0</v>
      </c>
      <c r="D561" s="10">
        <v>45903.0</v>
      </c>
      <c r="E561" s="4" t="s">
        <v>2003</v>
      </c>
      <c r="F561" s="9"/>
      <c r="G561" s="6"/>
      <c r="H561" s="7">
        <v>330.0</v>
      </c>
      <c r="I561" s="7" t="s">
        <v>2004</v>
      </c>
      <c r="K561" s="12" t="str">
        <f t="shared" si="52"/>
        <v>SC3567</v>
      </c>
      <c r="L561" s="2" t="s">
        <v>2005</v>
      </c>
      <c r="M561" s="2" t="s">
        <v>24</v>
      </c>
      <c r="N561" s="2" t="s">
        <v>60</v>
      </c>
      <c r="O561" s="2">
        <v>1.10751038E8</v>
      </c>
      <c r="P561" s="15"/>
      <c r="Q561" s="8">
        <v>2025.0</v>
      </c>
      <c r="R561" s="8" t="s">
        <v>1933</v>
      </c>
    </row>
    <row r="562">
      <c r="A562" s="4" t="s">
        <v>18</v>
      </c>
      <c r="B562" s="2" t="s">
        <v>2006</v>
      </c>
      <c r="C562" s="10">
        <v>45903.0</v>
      </c>
      <c r="D562" s="10">
        <v>45903.0</v>
      </c>
      <c r="E562" s="4" t="s">
        <v>2007</v>
      </c>
      <c r="F562" s="9"/>
      <c r="G562" s="6"/>
      <c r="H562" s="7">
        <v>450.0</v>
      </c>
      <c r="I562" s="7" t="s">
        <v>2008</v>
      </c>
      <c r="K562" s="12" t="str">
        <f t="shared" si="52"/>
        <v>SC3567</v>
      </c>
      <c r="L562" s="2" t="s">
        <v>2009</v>
      </c>
      <c r="M562" s="2" t="s">
        <v>24</v>
      </c>
      <c r="N562" s="2" t="s">
        <v>60</v>
      </c>
      <c r="O562" s="2">
        <v>1.10751038E8</v>
      </c>
      <c r="P562" s="15"/>
      <c r="Q562" s="8">
        <v>2025.0</v>
      </c>
      <c r="R562" s="8" t="s">
        <v>1933</v>
      </c>
    </row>
    <row r="563">
      <c r="A563" s="4" t="s">
        <v>18</v>
      </c>
      <c r="B563" s="2" t="s">
        <v>2010</v>
      </c>
      <c r="C563" s="10">
        <v>45903.0</v>
      </c>
      <c r="D563" s="10">
        <v>45903.0</v>
      </c>
      <c r="E563" s="4" t="s">
        <v>2011</v>
      </c>
      <c r="F563" s="9"/>
      <c r="G563" s="6"/>
      <c r="H563" s="7">
        <v>398.0</v>
      </c>
      <c r="I563" s="7" t="s">
        <v>2012</v>
      </c>
      <c r="K563" s="12" t="str">
        <f t="shared" si="52"/>
        <v>SC3567</v>
      </c>
      <c r="L563" s="2" t="s">
        <v>2013</v>
      </c>
      <c r="M563" s="2" t="s">
        <v>24</v>
      </c>
      <c r="N563" s="2" t="s">
        <v>60</v>
      </c>
      <c r="O563" s="2">
        <v>1.10751038E8</v>
      </c>
      <c r="P563" s="15"/>
      <c r="Q563" s="8">
        <v>2025.0</v>
      </c>
      <c r="R563" s="8" t="s">
        <v>1933</v>
      </c>
    </row>
    <row r="564">
      <c r="A564" s="4" t="s">
        <v>18</v>
      </c>
      <c r="B564" s="2" t="s">
        <v>2014</v>
      </c>
      <c r="C564" s="10">
        <v>45904.0</v>
      </c>
      <c r="D564" s="10">
        <v>45904.0</v>
      </c>
      <c r="E564" s="4" t="s">
        <v>2015</v>
      </c>
      <c r="F564" s="9"/>
      <c r="G564" s="6"/>
      <c r="H564" s="7">
        <v>525.0</v>
      </c>
      <c r="I564" s="7" t="s">
        <v>2016</v>
      </c>
      <c r="K564" s="12" t="str">
        <f t="shared" si="52"/>
        <v>UN3668</v>
      </c>
      <c r="L564" s="2" t="s">
        <v>2017</v>
      </c>
      <c r="M564" s="2" t="s">
        <v>24</v>
      </c>
      <c r="N564" s="2" t="s">
        <v>60</v>
      </c>
      <c r="O564" s="2">
        <v>1.10751038E8</v>
      </c>
      <c r="P564" s="15"/>
      <c r="Q564" s="8">
        <v>2025.0</v>
      </c>
      <c r="R564" s="8" t="s">
        <v>1933</v>
      </c>
    </row>
    <row r="565">
      <c r="A565" s="4" t="s">
        <v>18</v>
      </c>
      <c r="B565" s="2" t="s">
        <v>2018</v>
      </c>
      <c r="C565" s="10">
        <v>45904.0</v>
      </c>
      <c r="D565" s="10">
        <v>45904.0</v>
      </c>
      <c r="E565" s="4" t="s">
        <v>2019</v>
      </c>
      <c r="F565" s="9"/>
      <c r="G565" s="6"/>
      <c r="H565" s="7">
        <v>517.0</v>
      </c>
      <c r="I565" s="7" t="s">
        <v>2020</v>
      </c>
      <c r="K565" s="12" t="str">
        <f t="shared" si="52"/>
        <v>SL1610</v>
      </c>
      <c r="L565" s="2" t="s">
        <v>2021</v>
      </c>
      <c r="M565" s="2" t="s">
        <v>24</v>
      </c>
      <c r="N565" s="2" t="s">
        <v>60</v>
      </c>
      <c r="O565" s="2">
        <v>1.10751038E8</v>
      </c>
      <c r="P565" s="15"/>
      <c r="Q565" s="8">
        <v>2025.0</v>
      </c>
      <c r="R565" s="8" t="s">
        <v>1933</v>
      </c>
    </row>
    <row r="566">
      <c r="A566" s="4" t="s">
        <v>18</v>
      </c>
      <c r="B566" s="2" t="s">
        <v>2022</v>
      </c>
      <c r="C566" s="10">
        <v>45904.0</v>
      </c>
      <c r="D566" s="10">
        <v>45904.0</v>
      </c>
      <c r="E566" s="4" t="s">
        <v>2023</v>
      </c>
      <c r="F566" s="9"/>
      <c r="G566" s="6"/>
      <c r="H566" s="7">
        <v>224.0</v>
      </c>
      <c r="I566" s="7" t="s">
        <v>2024</v>
      </c>
      <c r="K566" s="12" t="str">
        <f t="shared" si="52"/>
        <v>KN3817</v>
      </c>
      <c r="L566" s="2" t="s">
        <v>188</v>
      </c>
      <c r="M566" s="2" t="s">
        <v>24</v>
      </c>
      <c r="N566" s="2" t="s">
        <v>60</v>
      </c>
      <c r="O566" s="2">
        <v>1.10751038E8</v>
      </c>
      <c r="P566" s="15"/>
      <c r="Q566" s="8">
        <v>2025.0</v>
      </c>
      <c r="R566" s="8" t="s">
        <v>1933</v>
      </c>
    </row>
    <row r="567">
      <c r="A567" s="4" t="s">
        <v>18</v>
      </c>
      <c r="B567" s="2" t="s">
        <v>2025</v>
      </c>
      <c r="C567" s="10">
        <v>45904.0</v>
      </c>
      <c r="D567" s="10">
        <v>45904.0</v>
      </c>
      <c r="E567" s="4" t="s">
        <v>2026</v>
      </c>
      <c r="F567" s="9"/>
      <c r="G567" s="6"/>
      <c r="H567" s="7">
        <v>589.0</v>
      </c>
      <c r="I567" s="7" t="s">
        <v>2027</v>
      </c>
      <c r="K567" s="12" t="str">
        <f t="shared" si="52"/>
        <v>SL1610</v>
      </c>
      <c r="L567" s="2" t="s">
        <v>2028</v>
      </c>
      <c r="M567" s="2" t="s">
        <v>24</v>
      </c>
      <c r="N567" s="2" t="s">
        <v>60</v>
      </c>
      <c r="O567" s="2">
        <v>1.10751038E8</v>
      </c>
      <c r="P567" s="15"/>
      <c r="Q567" s="8">
        <v>2025.0</v>
      </c>
      <c r="R567" s="8" t="s">
        <v>1933</v>
      </c>
    </row>
    <row r="568">
      <c r="A568" s="4" t="s">
        <v>18</v>
      </c>
      <c r="B568" s="2" t="s">
        <v>2029</v>
      </c>
      <c r="C568" s="10">
        <v>45904.0</v>
      </c>
      <c r="D568" s="10">
        <v>45904.0</v>
      </c>
      <c r="E568" s="4" t="s">
        <v>2030</v>
      </c>
      <c r="F568" s="9"/>
      <c r="G568" s="6"/>
      <c r="H568" s="7">
        <v>499.0</v>
      </c>
      <c r="I568" s="7" t="s">
        <v>2031</v>
      </c>
      <c r="K568" s="12" t="str">
        <f t="shared" si="52"/>
        <v>SL1610</v>
      </c>
      <c r="L568" s="2" t="s">
        <v>2032</v>
      </c>
      <c r="M568" s="2" t="s">
        <v>24</v>
      </c>
      <c r="N568" s="2" t="s">
        <v>60</v>
      </c>
      <c r="O568" s="2">
        <v>1.10751038E8</v>
      </c>
      <c r="P568" s="15"/>
      <c r="Q568" s="8">
        <v>2025.0</v>
      </c>
      <c r="R568" s="8" t="s">
        <v>1933</v>
      </c>
    </row>
    <row r="569">
      <c r="A569" s="4" t="s">
        <v>18</v>
      </c>
      <c r="B569" s="2" t="s">
        <v>2033</v>
      </c>
      <c r="C569" s="10">
        <v>45904.0</v>
      </c>
      <c r="D569" s="10">
        <v>45904.0</v>
      </c>
      <c r="E569" s="4" t="s">
        <v>2034</v>
      </c>
      <c r="F569" s="9"/>
      <c r="G569" s="6"/>
      <c r="H569" s="7">
        <v>518.0</v>
      </c>
      <c r="I569" s="7" t="s">
        <v>2035</v>
      </c>
      <c r="K569" s="12" t="str">
        <f t="shared" si="52"/>
        <v>KN3817</v>
      </c>
      <c r="L569" s="21" t="s">
        <v>2036</v>
      </c>
      <c r="M569" s="2" t="s">
        <v>24</v>
      </c>
      <c r="N569" s="2" t="s">
        <v>60</v>
      </c>
      <c r="O569" s="2">
        <v>1.10751038E8</v>
      </c>
      <c r="P569" s="15"/>
      <c r="Q569" s="8">
        <v>2025.0</v>
      </c>
      <c r="R569" s="8" t="s">
        <v>1933</v>
      </c>
    </row>
    <row r="570">
      <c r="A570" s="4" t="s">
        <v>18</v>
      </c>
      <c r="B570" s="2" t="s">
        <v>2037</v>
      </c>
      <c r="C570" s="10">
        <v>45904.0</v>
      </c>
      <c r="D570" s="10">
        <v>45904.0</v>
      </c>
      <c r="E570" s="4" t="s">
        <v>2038</v>
      </c>
      <c r="F570" s="9"/>
      <c r="G570" s="6"/>
      <c r="H570" s="7">
        <v>362.0</v>
      </c>
      <c r="I570" s="7" t="s">
        <v>2039</v>
      </c>
      <c r="K570" s="12" t="str">
        <f t="shared" si="52"/>
        <v>SC3567</v>
      </c>
      <c r="L570" s="2" t="s">
        <v>2040</v>
      </c>
      <c r="M570" s="2" t="s">
        <v>24</v>
      </c>
      <c r="N570" s="2" t="s">
        <v>60</v>
      </c>
      <c r="O570" s="2">
        <v>1.10751038E8</v>
      </c>
      <c r="P570" s="15"/>
      <c r="Q570" s="8">
        <v>2025.0</v>
      </c>
      <c r="R570" s="8" t="s">
        <v>1933</v>
      </c>
    </row>
    <row r="571">
      <c r="A571" s="4" t="s">
        <v>18</v>
      </c>
      <c r="B571" s="2" t="s">
        <v>2041</v>
      </c>
      <c r="C571" s="10">
        <v>45904.0</v>
      </c>
      <c r="D571" s="10">
        <v>45904.0</v>
      </c>
      <c r="E571" s="4" t="s">
        <v>2042</v>
      </c>
      <c r="F571" s="9"/>
      <c r="G571" s="6"/>
      <c r="H571" s="7">
        <v>476.0</v>
      </c>
      <c r="I571" s="7" t="s">
        <v>2043</v>
      </c>
      <c r="K571" s="2" t="s">
        <v>539</v>
      </c>
      <c r="M571" s="2" t="s">
        <v>24</v>
      </c>
      <c r="N571" s="2" t="s">
        <v>60</v>
      </c>
      <c r="O571" s="2">
        <v>1.10751038E8</v>
      </c>
      <c r="P571" s="15" t="str">
        <f>IFERROR(__xludf.DUMMYFUNCTION("CONCATENATE(B571,"", "", to_text(D571),"", "", E571,"", "", H571)"),"TSV-09-0030, 04-Sep-2025, UPI/CR/414021160965/RAKESH K/ICIC/9811069/Payment, 476")</f>
        <v>TSV-09-0030, 04-Sep-2025, UPI/CR/414021160965/RAKESH K/ICIC/9811069/Payment, 476</v>
      </c>
      <c r="Q571" s="8">
        <v>2025.0</v>
      </c>
      <c r="R571" s="8" t="s">
        <v>1933</v>
      </c>
    </row>
    <row r="572">
      <c r="A572" s="4" t="s">
        <v>18</v>
      </c>
      <c r="B572" s="2" t="s">
        <v>2044</v>
      </c>
      <c r="C572" s="10">
        <v>45904.0</v>
      </c>
      <c r="D572" s="10">
        <v>45904.0</v>
      </c>
      <c r="E572" s="4" t="s">
        <v>2045</v>
      </c>
      <c r="F572" s="9"/>
      <c r="G572" s="6"/>
      <c r="H572" s="11">
        <v>2485.0</v>
      </c>
      <c r="I572" s="7" t="s">
        <v>2046</v>
      </c>
      <c r="K572" s="12" t="str">
        <f t="shared" ref="K572:K573" si="53">RIGHT(E572,6)</f>
        <v>KN3817</v>
      </c>
      <c r="L572" s="2" t="s">
        <v>2047</v>
      </c>
      <c r="M572" s="2" t="s">
        <v>24</v>
      </c>
      <c r="N572" s="2" t="s">
        <v>60</v>
      </c>
      <c r="O572" s="2">
        <v>1.10751038E8</v>
      </c>
      <c r="P572" s="15"/>
      <c r="Q572" s="8">
        <v>2025.0</v>
      </c>
      <c r="R572" s="8" t="s">
        <v>1933</v>
      </c>
    </row>
    <row r="573">
      <c r="A573" s="4" t="s">
        <v>18</v>
      </c>
      <c r="B573" s="2" t="s">
        <v>2048</v>
      </c>
      <c r="C573" s="10">
        <v>45904.0</v>
      </c>
      <c r="D573" s="10">
        <v>45904.0</v>
      </c>
      <c r="E573" s="4" t="s">
        <v>2049</v>
      </c>
      <c r="F573" s="9"/>
      <c r="G573" s="6"/>
      <c r="H573" s="7">
        <v>479.0</v>
      </c>
      <c r="I573" s="7" t="s">
        <v>2050</v>
      </c>
      <c r="K573" s="12" t="str">
        <f t="shared" si="53"/>
        <v>SC3567</v>
      </c>
      <c r="L573" s="2" t="s">
        <v>2051</v>
      </c>
      <c r="M573" s="2" t="s">
        <v>24</v>
      </c>
      <c r="N573" s="2" t="s">
        <v>60</v>
      </c>
      <c r="O573" s="2">
        <v>1.10751038E8</v>
      </c>
      <c r="P573" s="15"/>
      <c r="Q573" s="8">
        <v>2025.0</v>
      </c>
      <c r="R573" s="8" t="s">
        <v>1933</v>
      </c>
    </row>
    <row r="574">
      <c r="A574" s="4" t="s">
        <v>18</v>
      </c>
      <c r="B574" s="2" t="s">
        <v>2052</v>
      </c>
      <c r="C574" s="10">
        <v>45905.0</v>
      </c>
      <c r="D574" s="10">
        <v>45905.0</v>
      </c>
      <c r="E574" s="4" t="s">
        <v>2053</v>
      </c>
      <c r="F574" s="9"/>
      <c r="G574" s="11">
        <v>1986.55</v>
      </c>
      <c r="H574" s="6"/>
      <c r="I574" s="7" t="s">
        <v>2054</v>
      </c>
      <c r="J574" s="2" t="s">
        <v>275</v>
      </c>
      <c r="K574" s="2" t="s">
        <v>119</v>
      </c>
      <c r="M574" s="2" t="s">
        <v>114</v>
      </c>
      <c r="N574" s="2" t="s">
        <v>275</v>
      </c>
      <c r="O574" s="2">
        <v>1.10751038E8</v>
      </c>
      <c r="Q574" s="8">
        <v>2025.0</v>
      </c>
      <c r="R574" s="8" t="s">
        <v>1933</v>
      </c>
    </row>
    <row r="575">
      <c r="A575" s="4" t="s">
        <v>18</v>
      </c>
      <c r="B575" s="2" t="s">
        <v>2055</v>
      </c>
      <c r="C575" s="10">
        <v>45905.0</v>
      </c>
      <c r="D575" s="10">
        <v>45905.0</v>
      </c>
      <c r="E575" s="4" t="s">
        <v>2056</v>
      </c>
      <c r="F575" s="9"/>
      <c r="G575" s="11">
        <v>2662.66</v>
      </c>
      <c r="H575" s="6"/>
      <c r="I575" s="7" t="s">
        <v>2057</v>
      </c>
      <c r="J575" s="2" t="s">
        <v>275</v>
      </c>
      <c r="K575" s="2" t="s">
        <v>127</v>
      </c>
      <c r="M575" s="2" t="s">
        <v>114</v>
      </c>
      <c r="N575" s="2" t="s">
        <v>275</v>
      </c>
      <c r="O575" s="2">
        <v>1.10751038E8</v>
      </c>
      <c r="Q575" s="8">
        <v>2025.0</v>
      </c>
      <c r="R575" s="8" t="s">
        <v>1933</v>
      </c>
    </row>
    <row r="576">
      <c r="A576" s="4" t="s">
        <v>18</v>
      </c>
      <c r="B576" s="2" t="s">
        <v>2058</v>
      </c>
      <c r="C576" s="10">
        <v>45905.0</v>
      </c>
      <c r="D576" s="10">
        <v>45905.0</v>
      </c>
      <c r="E576" s="4" t="s">
        <v>2059</v>
      </c>
      <c r="F576" s="9"/>
      <c r="G576" s="7">
        <v>520.0</v>
      </c>
      <c r="H576" s="6"/>
      <c r="I576" s="7" t="s">
        <v>2060</v>
      </c>
      <c r="K576" s="2" t="s">
        <v>113</v>
      </c>
      <c r="M576" s="2" t="s">
        <v>114</v>
      </c>
      <c r="N576" s="2" t="s">
        <v>2061</v>
      </c>
      <c r="O576" s="2">
        <v>1.10751038E8</v>
      </c>
      <c r="Q576" s="8">
        <v>2025.0</v>
      </c>
      <c r="R576" s="8" t="s">
        <v>1933</v>
      </c>
    </row>
    <row r="577">
      <c r="A577" s="4" t="s">
        <v>18</v>
      </c>
      <c r="B577" s="2" t="s">
        <v>2062</v>
      </c>
      <c r="C577" s="10">
        <v>45905.0</v>
      </c>
      <c r="D577" s="10">
        <v>45905.0</v>
      </c>
      <c r="E577" s="4" t="s">
        <v>2063</v>
      </c>
      <c r="F577" s="9"/>
      <c r="G577" s="6"/>
      <c r="H577" s="7">
        <v>375.0</v>
      </c>
      <c r="I577" s="7" t="s">
        <v>2064</v>
      </c>
      <c r="K577" s="12" t="str">
        <f t="shared" ref="K577:K583" si="54">RIGHT(E577,6)</f>
        <v>UN3668</v>
      </c>
      <c r="L577" s="2" t="s">
        <v>2065</v>
      </c>
      <c r="M577" s="2" t="s">
        <v>24</v>
      </c>
      <c r="N577" s="2" t="s">
        <v>60</v>
      </c>
      <c r="O577" s="2">
        <v>1.10751038E8</v>
      </c>
      <c r="P577" s="15"/>
      <c r="Q577" s="8">
        <v>2025.0</v>
      </c>
      <c r="R577" s="8" t="s">
        <v>1933</v>
      </c>
    </row>
    <row r="578">
      <c r="A578" s="4" t="s">
        <v>18</v>
      </c>
      <c r="B578" s="2" t="s">
        <v>2066</v>
      </c>
      <c r="C578" s="10">
        <v>45905.0</v>
      </c>
      <c r="D578" s="10">
        <v>45905.0</v>
      </c>
      <c r="E578" s="4" t="s">
        <v>2067</v>
      </c>
      <c r="F578" s="9"/>
      <c r="G578" s="6"/>
      <c r="H578" s="7">
        <v>338.0</v>
      </c>
      <c r="I578" s="7" t="s">
        <v>2068</v>
      </c>
      <c r="K578" s="12" t="str">
        <f t="shared" si="54"/>
        <v>UN3668</v>
      </c>
      <c r="L578" s="2" t="s">
        <v>2069</v>
      </c>
      <c r="M578" s="2" t="s">
        <v>24</v>
      </c>
      <c r="N578" s="2" t="s">
        <v>60</v>
      </c>
      <c r="O578" s="2">
        <v>1.10751038E8</v>
      </c>
      <c r="P578" s="15"/>
      <c r="Q578" s="8">
        <v>2025.0</v>
      </c>
      <c r="R578" s="8" t="s">
        <v>1933</v>
      </c>
    </row>
    <row r="579">
      <c r="A579" s="4" t="s">
        <v>18</v>
      </c>
      <c r="B579" s="2" t="s">
        <v>2070</v>
      </c>
      <c r="C579" s="10">
        <v>45905.0</v>
      </c>
      <c r="D579" s="10">
        <v>45905.0</v>
      </c>
      <c r="E579" s="4" t="s">
        <v>2071</v>
      </c>
      <c r="F579" s="9"/>
      <c r="G579" s="6"/>
      <c r="H579" s="7">
        <v>998.0</v>
      </c>
      <c r="I579" s="7" t="s">
        <v>2072</v>
      </c>
      <c r="K579" s="12" t="str">
        <f t="shared" si="54"/>
        <v>KN3817</v>
      </c>
      <c r="L579" s="2" t="s">
        <v>2073</v>
      </c>
      <c r="M579" s="2" t="s">
        <v>24</v>
      </c>
      <c r="N579" s="2" t="s">
        <v>60</v>
      </c>
      <c r="O579" s="2">
        <v>1.10751038E8</v>
      </c>
      <c r="P579" s="15"/>
      <c r="Q579" s="8">
        <v>2025.0</v>
      </c>
      <c r="R579" s="8" t="s">
        <v>1933</v>
      </c>
    </row>
    <row r="580">
      <c r="A580" s="4" t="s">
        <v>18</v>
      </c>
      <c r="B580" s="2" t="s">
        <v>2074</v>
      </c>
      <c r="C580" s="10">
        <v>45905.0</v>
      </c>
      <c r="D580" s="10">
        <v>45905.0</v>
      </c>
      <c r="E580" s="4" t="s">
        <v>2075</v>
      </c>
      <c r="F580" s="9"/>
      <c r="G580" s="6"/>
      <c r="H580" s="7">
        <v>819.0</v>
      </c>
      <c r="I580" s="7" t="s">
        <v>2076</v>
      </c>
      <c r="K580" s="12" t="str">
        <f t="shared" si="54"/>
        <v>SL1610</v>
      </c>
      <c r="L580" s="2" t="s">
        <v>2077</v>
      </c>
      <c r="M580" s="2" t="s">
        <v>24</v>
      </c>
      <c r="N580" s="2" t="s">
        <v>60</v>
      </c>
      <c r="O580" s="2">
        <v>1.10751038E8</v>
      </c>
      <c r="P580" s="15"/>
      <c r="Q580" s="8">
        <v>2025.0</v>
      </c>
      <c r="R580" s="8" t="s">
        <v>1933</v>
      </c>
    </row>
    <row r="581">
      <c r="A581" s="4" t="s">
        <v>18</v>
      </c>
      <c r="B581" s="2" t="s">
        <v>2078</v>
      </c>
      <c r="C581" s="10">
        <v>45905.0</v>
      </c>
      <c r="D581" s="10">
        <v>45905.0</v>
      </c>
      <c r="E581" s="4" t="s">
        <v>2079</v>
      </c>
      <c r="F581" s="9"/>
      <c r="G581" s="6"/>
      <c r="H581" s="11">
        <v>1600.0</v>
      </c>
      <c r="I581" s="7" t="s">
        <v>2080</v>
      </c>
      <c r="K581" s="12" t="str">
        <f t="shared" si="54"/>
        <v>UN3668</v>
      </c>
      <c r="L581" s="2" t="s">
        <v>2081</v>
      </c>
      <c r="M581" s="2" t="s">
        <v>24</v>
      </c>
      <c r="N581" s="2" t="s">
        <v>60</v>
      </c>
      <c r="O581" s="2">
        <v>1.10751038E8</v>
      </c>
      <c r="P581" s="15"/>
      <c r="Q581" s="8">
        <v>2025.0</v>
      </c>
      <c r="R581" s="8" t="s">
        <v>1933</v>
      </c>
    </row>
    <row r="582">
      <c r="A582" s="4" t="s">
        <v>18</v>
      </c>
      <c r="B582" s="2" t="s">
        <v>2082</v>
      </c>
      <c r="C582" s="10">
        <v>45905.0</v>
      </c>
      <c r="D582" s="10">
        <v>45905.0</v>
      </c>
      <c r="E582" s="4" t="s">
        <v>2083</v>
      </c>
      <c r="F582" s="9"/>
      <c r="G582" s="6"/>
      <c r="H582" s="7">
        <v>720.0</v>
      </c>
      <c r="I582" s="7" t="s">
        <v>2084</v>
      </c>
      <c r="K582" s="12" t="str">
        <f t="shared" si="54"/>
        <v>UN3668</v>
      </c>
      <c r="L582" s="2" t="s">
        <v>2085</v>
      </c>
      <c r="M582" s="2" t="s">
        <v>24</v>
      </c>
      <c r="N582" s="2" t="s">
        <v>60</v>
      </c>
      <c r="O582" s="2">
        <v>1.10751038E8</v>
      </c>
      <c r="P582" s="15"/>
      <c r="Q582" s="8">
        <v>2025.0</v>
      </c>
      <c r="R582" s="8" t="s">
        <v>1933</v>
      </c>
    </row>
    <row r="583">
      <c r="A583" s="4" t="s">
        <v>18</v>
      </c>
      <c r="B583" s="2" t="s">
        <v>2086</v>
      </c>
      <c r="C583" s="10">
        <v>45905.0</v>
      </c>
      <c r="D583" s="10">
        <v>45905.0</v>
      </c>
      <c r="E583" s="4" t="s">
        <v>2087</v>
      </c>
      <c r="F583" s="9"/>
      <c r="G583" s="6"/>
      <c r="H583" s="7">
        <v>676.0</v>
      </c>
      <c r="I583" s="7" t="s">
        <v>2088</v>
      </c>
      <c r="K583" s="12" t="str">
        <f t="shared" si="54"/>
        <v>UN3668</v>
      </c>
      <c r="L583" s="2" t="s">
        <v>2089</v>
      </c>
      <c r="M583" s="2" t="s">
        <v>24</v>
      </c>
      <c r="N583" s="2" t="s">
        <v>60</v>
      </c>
      <c r="O583" s="2">
        <v>1.10751038E8</v>
      </c>
      <c r="P583" s="15"/>
      <c r="Q583" s="8">
        <v>2025.0</v>
      </c>
      <c r="R583" s="8" t="s">
        <v>1933</v>
      </c>
    </row>
    <row r="584">
      <c r="A584" s="4" t="s">
        <v>18</v>
      </c>
      <c r="B584" s="2" t="s">
        <v>2090</v>
      </c>
      <c r="C584" s="10">
        <v>45906.0</v>
      </c>
      <c r="D584" s="10">
        <v>45906.0</v>
      </c>
      <c r="E584" s="4" t="s">
        <v>2091</v>
      </c>
      <c r="F584" s="9"/>
      <c r="G584" s="11">
        <v>1620.0</v>
      </c>
      <c r="H584" s="6"/>
      <c r="I584" s="7" t="s">
        <v>2092</v>
      </c>
      <c r="K584" s="2" t="s">
        <v>123</v>
      </c>
      <c r="M584" s="2" t="s">
        <v>114</v>
      </c>
      <c r="N584" s="2" t="s">
        <v>1800</v>
      </c>
      <c r="O584" s="2">
        <v>1.10751038E8</v>
      </c>
      <c r="Q584" s="8">
        <v>2025.0</v>
      </c>
      <c r="R584" s="8" t="s">
        <v>1933</v>
      </c>
    </row>
    <row r="585">
      <c r="A585" s="4" t="s">
        <v>18</v>
      </c>
      <c r="B585" s="2" t="s">
        <v>2093</v>
      </c>
      <c r="C585" s="10">
        <v>45906.0</v>
      </c>
      <c r="D585" s="10">
        <v>45906.0</v>
      </c>
      <c r="E585" s="4" t="s">
        <v>2094</v>
      </c>
      <c r="F585" s="9"/>
      <c r="G585" s="6"/>
      <c r="H585" s="7">
        <v>109.0</v>
      </c>
      <c r="I585" s="7" t="s">
        <v>2095</v>
      </c>
      <c r="K585" s="12" t="str">
        <f t="shared" ref="K585:K590" si="55">RIGHT(E585,6)</f>
        <v>SC3567</v>
      </c>
      <c r="M585" s="2" t="s">
        <v>24</v>
      </c>
      <c r="N585" s="2" t="s">
        <v>60</v>
      </c>
      <c r="O585" s="2">
        <v>1.10751038E8</v>
      </c>
      <c r="P585" s="15" t="str">
        <f>IFERROR(__xludf.DUMMYFUNCTION("CONCATENATE(B585,"", "", to_text(D585),"", "", E585,"", "", H585)"),"TSV-09-0044, 06-Sep-2025, UPI/CR/137385709662/MUKUL H/SBIN/7838188/SC3567, 109")</f>
        <v>TSV-09-0044, 06-Sep-2025, UPI/CR/137385709662/MUKUL H/SBIN/7838188/SC3567, 109</v>
      </c>
      <c r="Q585" s="8">
        <v>2025.0</v>
      </c>
      <c r="R585" s="8" t="s">
        <v>1933</v>
      </c>
    </row>
    <row r="586">
      <c r="A586" s="4" t="s">
        <v>18</v>
      </c>
      <c r="B586" s="2" t="s">
        <v>2096</v>
      </c>
      <c r="C586" s="10">
        <v>45906.0</v>
      </c>
      <c r="D586" s="10">
        <v>45906.0</v>
      </c>
      <c r="E586" s="4" t="s">
        <v>2097</v>
      </c>
      <c r="F586" s="9"/>
      <c r="G586" s="6"/>
      <c r="H586" s="7">
        <v>440.0</v>
      </c>
      <c r="I586" s="7" t="s">
        <v>2098</v>
      </c>
      <c r="K586" s="12" t="str">
        <f t="shared" si="55"/>
        <v>KN3817</v>
      </c>
      <c r="L586" s="2" t="s">
        <v>2099</v>
      </c>
      <c r="M586" s="2" t="s">
        <v>24</v>
      </c>
      <c r="N586" s="2" t="s">
        <v>60</v>
      </c>
      <c r="O586" s="2">
        <v>1.10751038E8</v>
      </c>
      <c r="P586" s="15"/>
      <c r="Q586" s="8">
        <v>2025.0</v>
      </c>
      <c r="R586" s="8" t="s">
        <v>1933</v>
      </c>
    </row>
    <row r="587">
      <c r="A587" s="4" t="s">
        <v>18</v>
      </c>
      <c r="B587" s="2" t="s">
        <v>2100</v>
      </c>
      <c r="C587" s="10">
        <v>45906.0</v>
      </c>
      <c r="D587" s="10">
        <v>45906.0</v>
      </c>
      <c r="E587" s="4" t="s">
        <v>2101</v>
      </c>
      <c r="F587" s="9"/>
      <c r="G587" s="6"/>
      <c r="H587" s="7">
        <v>30.0</v>
      </c>
      <c r="I587" s="7" t="s">
        <v>2102</v>
      </c>
      <c r="K587" s="12" t="str">
        <f t="shared" si="55"/>
        <v>UN3668</v>
      </c>
      <c r="L587" s="2" t="s">
        <v>2103</v>
      </c>
      <c r="M587" s="2" t="s">
        <v>24</v>
      </c>
      <c r="N587" s="2" t="s">
        <v>60</v>
      </c>
      <c r="O587" s="2">
        <v>1.10751038E8</v>
      </c>
      <c r="P587" s="15"/>
      <c r="Q587" s="8">
        <v>2025.0</v>
      </c>
      <c r="R587" s="8" t="s">
        <v>1933</v>
      </c>
    </row>
    <row r="588">
      <c r="A588" s="4" t="s">
        <v>18</v>
      </c>
      <c r="B588" s="2" t="s">
        <v>2104</v>
      </c>
      <c r="C588" s="10">
        <v>45906.0</v>
      </c>
      <c r="D588" s="10">
        <v>45906.0</v>
      </c>
      <c r="E588" s="4" t="s">
        <v>2105</v>
      </c>
      <c r="F588" s="9"/>
      <c r="G588" s="6"/>
      <c r="H588" s="11">
        <v>1917.0</v>
      </c>
      <c r="I588" s="7" t="s">
        <v>2106</v>
      </c>
      <c r="K588" s="12" t="str">
        <f t="shared" si="55"/>
        <v>SL1610</v>
      </c>
      <c r="L588" s="2" t="s">
        <v>2107</v>
      </c>
      <c r="M588" s="2" t="s">
        <v>24</v>
      </c>
      <c r="N588" s="2" t="s">
        <v>60</v>
      </c>
      <c r="O588" s="2">
        <v>1.10751038E8</v>
      </c>
      <c r="P588" s="15"/>
      <c r="Q588" s="8">
        <v>2025.0</v>
      </c>
      <c r="R588" s="8" t="s">
        <v>1933</v>
      </c>
    </row>
    <row r="589">
      <c r="A589" s="4" t="s">
        <v>18</v>
      </c>
      <c r="B589" s="2" t="s">
        <v>2108</v>
      </c>
      <c r="C589" s="10">
        <v>45906.0</v>
      </c>
      <c r="D589" s="10">
        <v>45906.0</v>
      </c>
      <c r="E589" s="4" t="s">
        <v>2109</v>
      </c>
      <c r="F589" s="9"/>
      <c r="G589" s="6"/>
      <c r="H589" s="7">
        <v>739.0</v>
      </c>
      <c r="I589" s="7" t="s">
        <v>2110</v>
      </c>
      <c r="K589" s="12" t="str">
        <f t="shared" si="55"/>
        <v>SC3567</v>
      </c>
      <c r="M589" s="2" t="s">
        <v>24</v>
      </c>
      <c r="N589" s="2" t="s">
        <v>60</v>
      </c>
      <c r="O589" s="2">
        <v>1.10751038E8</v>
      </c>
      <c r="P589" s="15" t="str">
        <f>IFERROR(__xludf.DUMMYFUNCTION("CONCATENATE(B589,"", "", to_text(D589),"", "", E589,"", "", H589)"),"TSV-09-0048, 06-Sep-2025, UPI/CR/110875026175/MONISANK/ICIC/mskbaru/SC3567, 739")</f>
        <v>TSV-09-0048, 06-Sep-2025, UPI/CR/110875026175/MONISANK/ICIC/mskbaru/SC3567, 739</v>
      </c>
      <c r="Q589" s="8">
        <v>2025.0</v>
      </c>
      <c r="R589" s="8" t="s">
        <v>1933</v>
      </c>
    </row>
    <row r="590">
      <c r="A590" s="4" t="s">
        <v>18</v>
      </c>
      <c r="B590" s="2" t="s">
        <v>2111</v>
      </c>
      <c r="C590" s="10">
        <v>45906.0</v>
      </c>
      <c r="D590" s="10">
        <v>45906.0</v>
      </c>
      <c r="E590" s="4" t="s">
        <v>2112</v>
      </c>
      <c r="F590" s="9"/>
      <c r="G590" s="6"/>
      <c r="H590" s="7">
        <v>447.0</v>
      </c>
      <c r="I590" s="7" t="s">
        <v>2113</v>
      </c>
      <c r="K590" s="12" t="str">
        <f t="shared" si="55"/>
        <v>SC3567</v>
      </c>
      <c r="L590" s="2" t="s">
        <v>2114</v>
      </c>
      <c r="M590" s="2" t="s">
        <v>24</v>
      </c>
      <c r="N590" s="2" t="s">
        <v>60</v>
      </c>
      <c r="O590" s="2">
        <v>1.10751038E8</v>
      </c>
      <c r="P590" s="15"/>
      <c r="Q590" s="8">
        <v>2025.0</v>
      </c>
      <c r="R590" s="8" t="s">
        <v>1933</v>
      </c>
    </row>
    <row r="591">
      <c r="A591" s="4" t="s">
        <v>18</v>
      </c>
      <c r="B591" s="2" t="s">
        <v>2115</v>
      </c>
      <c r="C591" s="10">
        <v>45907.0</v>
      </c>
      <c r="D591" s="10">
        <v>45907.0</v>
      </c>
      <c r="E591" s="4" t="s">
        <v>2116</v>
      </c>
      <c r="F591" s="9"/>
      <c r="G591" s="6"/>
      <c r="H591" s="7" t="s">
        <v>2117</v>
      </c>
      <c r="I591" s="7" t="s">
        <v>2118</v>
      </c>
      <c r="K591" s="1" t="s">
        <v>23</v>
      </c>
      <c r="M591" s="2" t="s">
        <v>24</v>
      </c>
      <c r="N591" s="2" t="s">
        <v>25</v>
      </c>
      <c r="O591" s="2">
        <v>1.10751038E8</v>
      </c>
      <c r="Q591" s="8">
        <v>2025.0</v>
      </c>
      <c r="R591" s="8" t="s">
        <v>1933</v>
      </c>
    </row>
    <row r="592">
      <c r="A592" s="4" t="s">
        <v>18</v>
      </c>
      <c r="B592" s="2" t="s">
        <v>2119</v>
      </c>
      <c r="C592" s="10">
        <v>45907.0</v>
      </c>
      <c r="D592" s="10">
        <v>45907.0</v>
      </c>
      <c r="E592" s="4" t="s">
        <v>2120</v>
      </c>
      <c r="F592" s="9"/>
      <c r="G592" s="11">
        <v>27000.0</v>
      </c>
      <c r="H592" s="6"/>
      <c r="I592" s="7" t="s">
        <v>2121</v>
      </c>
      <c r="K592" s="2" t="s">
        <v>127</v>
      </c>
      <c r="M592" s="2" t="s">
        <v>114</v>
      </c>
      <c r="N592" s="2" t="s">
        <v>115</v>
      </c>
      <c r="O592" s="2">
        <v>1.10751038E8</v>
      </c>
      <c r="P592" s="15"/>
      <c r="Q592" s="8">
        <v>2025.0</v>
      </c>
      <c r="R592" s="8" t="s">
        <v>1933</v>
      </c>
    </row>
    <row r="593">
      <c r="A593" s="4" t="s">
        <v>18</v>
      </c>
      <c r="B593" s="2" t="s">
        <v>2122</v>
      </c>
      <c r="C593" s="10">
        <v>45907.0</v>
      </c>
      <c r="D593" s="10">
        <v>45907.0</v>
      </c>
      <c r="E593" s="4" t="s">
        <v>2123</v>
      </c>
      <c r="F593" s="9"/>
      <c r="G593" s="6"/>
      <c r="H593" s="7">
        <v>347.0</v>
      </c>
      <c r="I593" s="7" t="s">
        <v>2124</v>
      </c>
      <c r="K593" s="12" t="str">
        <f>RIGHT(E593,6)</f>
        <v>SC3567</v>
      </c>
      <c r="L593" s="2" t="s">
        <v>2125</v>
      </c>
      <c r="M593" s="2" t="s">
        <v>24</v>
      </c>
      <c r="N593" s="2" t="s">
        <v>60</v>
      </c>
      <c r="O593" s="2">
        <v>1.10751038E8</v>
      </c>
      <c r="P593" s="15"/>
      <c r="Q593" s="8">
        <v>2025.0</v>
      </c>
      <c r="R593" s="8" t="s">
        <v>1933</v>
      </c>
    </row>
    <row r="594">
      <c r="A594" s="4" t="s">
        <v>18</v>
      </c>
      <c r="B594" s="2" t="s">
        <v>2126</v>
      </c>
      <c r="C594" s="10">
        <v>45907.0</v>
      </c>
      <c r="D594" s="10">
        <v>45907.0</v>
      </c>
      <c r="E594" s="4" t="s">
        <v>2127</v>
      </c>
      <c r="F594" s="9"/>
      <c r="G594" s="11">
        <v>40120.0</v>
      </c>
      <c r="H594" s="6"/>
      <c r="I594" s="7" t="s">
        <v>2128</v>
      </c>
      <c r="K594" s="2" t="s">
        <v>123</v>
      </c>
      <c r="M594" s="2" t="s">
        <v>114</v>
      </c>
      <c r="N594" s="2" t="s">
        <v>115</v>
      </c>
      <c r="O594" s="2">
        <v>1.10751038E8</v>
      </c>
      <c r="P594" s="15"/>
      <c r="Q594" s="8">
        <v>2025.0</v>
      </c>
      <c r="R594" s="8" t="s">
        <v>1933</v>
      </c>
    </row>
    <row r="595">
      <c r="A595" s="4" t="s">
        <v>18</v>
      </c>
      <c r="B595" s="2" t="s">
        <v>2129</v>
      </c>
      <c r="C595" s="10">
        <v>45907.0</v>
      </c>
      <c r="D595" s="10">
        <v>45907.0</v>
      </c>
      <c r="E595" s="4" t="s">
        <v>2130</v>
      </c>
      <c r="F595" s="9"/>
      <c r="G595" s="11">
        <v>10000.0</v>
      </c>
      <c r="H595" s="6"/>
      <c r="I595" s="7" t="s">
        <v>2131</v>
      </c>
      <c r="K595" s="2" t="s">
        <v>119</v>
      </c>
      <c r="M595" s="2" t="s">
        <v>114</v>
      </c>
      <c r="N595" s="2" t="s">
        <v>115</v>
      </c>
      <c r="O595" s="2">
        <v>1.10751038E8</v>
      </c>
      <c r="P595" s="15"/>
      <c r="Q595" s="8">
        <v>2025.0</v>
      </c>
      <c r="R595" s="8" t="s">
        <v>1933</v>
      </c>
    </row>
    <row r="596">
      <c r="A596" s="4" t="s">
        <v>18</v>
      </c>
      <c r="B596" s="2" t="s">
        <v>2132</v>
      </c>
      <c r="C596" s="10">
        <v>45907.0</v>
      </c>
      <c r="D596" s="10">
        <v>45907.0</v>
      </c>
      <c r="E596" s="4" t="s">
        <v>2133</v>
      </c>
      <c r="F596" s="9"/>
      <c r="G596" s="11">
        <v>29000.0</v>
      </c>
      <c r="H596" s="6"/>
      <c r="I596" s="7" t="s">
        <v>2134</v>
      </c>
      <c r="K596" s="2" t="s">
        <v>113</v>
      </c>
      <c r="M596" s="2" t="s">
        <v>114</v>
      </c>
      <c r="N596" s="2" t="s">
        <v>115</v>
      </c>
      <c r="O596" s="2">
        <v>1.10751038E8</v>
      </c>
      <c r="P596" s="15"/>
      <c r="Q596" s="8">
        <v>2025.0</v>
      </c>
      <c r="R596" s="8" t="s">
        <v>1933</v>
      </c>
    </row>
    <row r="597">
      <c r="A597" s="4" t="s">
        <v>18</v>
      </c>
      <c r="B597" s="2" t="s">
        <v>2135</v>
      </c>
      <c r="C597" s="10">
        <v>45907.0</v>
      </c>
      <c r="D597" s="10">
        <v>45907.0</v>
      </c>
      <c r="E597" s="4" t="s">
        <v>2136</v>
      </c>
      <c r="F597" s="9"/>
      <c r="G597" s="6"/>
      <c r="H597" s="7">
        <v>620.0</v>
      </c>
      <c r="I597" s="7" t="s">
        <v>2137</v>
      </c>
      <c r="K597" s="12" t="str">
        <f t="shared" ref="K597:K599" si="56">RIGHT(E597,6)</f>
        <v>UN3668</v>
      </c>
      <c r="L597" s="2" t="s">
        <v>2138</v>
      </c>
      <c r="M597" s="2" t="s">
        <v>24</v>
      </c>
      <c r="N597" s="2" t="s">
        <v>60</v>
      </c>
      <c r="O597" s="2">
        <v>1.10751038E8</v>
      </c>
      <c r="P597" s="15"/>
      <c r="Q597" s="8">
        <v>2025.0</v>
      </c>
      <c r="R597" s="8" t="s">
        <v>1933</v>
      </c>
    </row>
    <row r="598">
      <c r="A598" s="4" t="s">
        <v>18</v>
      </c>
      <c r="B598" s="2" t="s">
        <v>2139</v>
      </c>
      <c r="C598" s="10">
        <v>45907.0</v>
      </c>
      <c r="D598" s="10">
        <v>45907.0</v>
      </c>
      <c r="E598" s="4" t="s">
        <v>2140</v>
      </c>
      <c r="F598" s="9"/>
      <c r="G598" s="11">
        <v>23631.0</v>
      </c>
      <c r="H598" s="6"/>
      <c r="I598" s="7" t="s">
        <v>2141</v>
      </c>
      <c r="K598" s="12" t="str">
        <f t="shared" si="56"/>
        <v>KN3817</v>
      </c>
      <c r="M598" s="2" t="s">
        <v>114</v>
      </c>
      <c r="N598" s="2" t="s">
        <v>169</v>
      </c>
      <c r="O598" s="2">
        <v>1.10751038E8</v>
      </c>
      <c r="Q598" s="8">
        <v>2025.0</v>
      </c>
      <c r="R598" s="8" t="s">
        <v>1933</v>
      </c>
    </row>
    <row r="599">
      <c r="A599" s="4" t="s">
        <v>18</v>
      </c>
      <c r="B599" s="2" t="s">
        <v>2142</v>
      </c>
      <c r="C599" s="10">
        <v>45907.0</v>
      </c>
      <c r="D599" s="10">
        <v>45907.0</v>
      </c>
      <c r="E599" s="4" t="s">
        <v>2143</v>
      </c>
      <c r="F599" s="9"/>
      <c r="G599" s="11">
        <v>21735.0</v>
      </c>
      <c r="H599" s="6"/>
      <c r="I599" s="7" t="s">
        <v>2144</v>
      </c>
      <c r="K599" s="12" t="str">
        <f t="shared" si="56"/>
        <v>UN3668</v>
      </c>
      <c r="M599" s="2" t="s">
        <v>114</v>
      </c>
      <c r="N599" s="2" t="s">
        <v>169</v>
      </c>
      <c r="O599" s="2">
        <v>1.10751038E8</v>
      </c>
      <c r="Q599" s="8">
        <v>2025.0</v>
      </c>
      <c r="R599" s="8" t="s">
        <v>1933</v>
      </c>
    </row>
    <row r="600">
      <c r="A600" s="4" t="s">
        <v>18</v>
      </c>
      <c r="B600" s="2" t="s">
        <v>2145</v>
      </c>
      <c r="C600" s="10">
        <v>45907.0</v>
      </c>
      <c r="D600" s="10">
        <v>45907.0</v>
      </c>
      <c r="E600" s="4" t="s">
        <v>2146</v>
      </c>
      <c r="F600" s="9"/>
      <c r="G600" s="11">
        <v>10194.0</v>
      </c>
      <c r="H600" s="6"/>
      <c r="I600" s="7" t="s">
        <v>2147</v>
      </c>
      <c r="K600" s="2" t="s">
        <v>123</v>
      </c>
      <c r="M600" s="2" t="s">
        <v>114</v>
      </c>
      <c r="N600" s="2" t="s">
        <v>169</v>
      </c>
      <c r="O600" s="2">
        <v>1.10751038E8</v>
      </c>
      <c r="Q600" s="8">
        <v>2025.0</v>
      </c>
      <c r="R600" s="8" t="s">
        <v>1933</v>
      </c>
    </row>
    <row r="601">
      <c r="A601" s="4" t="s">
        <v>18</v>
      </c>
      <c r="B601" s="2" t="s">
        <v>2148</v>
      </c>
      <c r="C601" s="10">
        <v>45907.0</v>
      </c>
      <c r="D601" s="10">
        <v>45907.0</v>
      </c>
      <c r="E601" s="4" t="s">
        <v>2149</v>
      </c>
      <c r="F601" s="9"/>
      <c r="G601" s="11">
        <v>16048.0</v>
      </c>
      <c r="H601" s="6"/>
      <c r="I601" s="7" t="s">
        <v>2150</v>
      </c>
      <c r="K601" s="12" t="str">
        <f>RIGHT(E601,6)</f>
        <v>KN3817</v>
      </c>
      <c r="M601" s="2" t="s">
        <v>114</v>
      </c>
      <c r="N601" s="2" t="s">
        <v>169</v>
      </c>
      <c r="O601" s="2">
        <v>1.10751038E8</v>
      </c>
      <c r="Q601" s="8">
        <v>2025.0</v>
      </c>
      <c r="R601" s="8" t="s">
        <v>1933</v>
      </c>
    </row>
    <row r="602">
      <c r="A602" s="4" t="s">
        <v>18</v>
      </c>
      <c r="B602" s="2" t="s">
        <v>2151</v>
      </c>
      <c r="C602" s="10">
        <v>45907.0</v>
      </c>
      <c r="D602" s="10">
        <v>45907.0</v>
      </c>
      <c r="E602" s="4" t="s">
        <v>2152</v>
      </c>
      <c r="F602" s="9"/>
      <c r="G602" s="11">
        <v>2194.0</v>
      </c>
      <c r="H602" s="6"/>
      <c r="I602" s="7" t="s">
        <v>2153</v>
      </c>
      <c r="K602" s="2" t="s">
        <v>123</v>
      </c>
      <c r="M602" s="2" t="s">
        <v>114</v>
      </c>
      <c r="N602" s="2" t="s">
        <v>169</v>
      </c>
      <c r="O602" s="2">
        <v>1.10751038E8</v>
      </c>
      <c r="Q602" s="8">
        <v>2025.0</v>
      </c>
      <c r="R602" s="8" t="s">
        <v>1933</v>
      </c>
    </row>
    <row r="603">
      <c r="A603" s="4" t="s">
        <v>18</v>
      </c>
      <c r="B603" s="2" t="s">
        <v>2154</v>
      </c>
      <c r="C603" s="10">
        <v>45907.0</v>
      </c>
      <c r="D603" s="10">
        <v>45907.0</v>
      </c>
      <c r="E603" s="4" t="s">
        <v>2155</v>
      </c>
      <c r="F603" s="9"/>
      <c r="G603" s="11">
        <v>16952.0</v>
      </c>
      <c r="H603" s="6"/>
      <c r="I603" s="7" t="s">
        <v>2156</v>
      </c>
      <c r="K603" s="12" t="str">
        <f t="shared" ref="K603:K604" si="57">RIGHT(E603,6)</f>
        <v>SL1610</v>
      </c>
      <c r="M603" s="2" t="s">
        <v>114</v>
      </c>
      <c r="N603" s="2" t="s">
        <v>169</v>
      </c>
      <c r="O603" s="2">
        <v>1.10751038E8</v>
      </c>
      <c r="Q603" s="8">
        <v>2025.0</v>
      </c>
      <c r="R603" s="8" t="s">
        <v>1933</v>
      </c>
    </row>
    <row r="604">
      <c r="A604" s="4" t="s">
        <v>18</v>
      </c>
      <c r="B604" s="2" t="s">
        <v>2157</v>
      </c>
      <c r="C604" s="10">
        <v>45907.0</v>
      </c>
      <c r="D604" s="10">
        <v>45907.0</v>
      </c>
      <c r="E604" s="4" t="s">
        <v>2158</v>
      </c>
      <c r="F604" s="9"/>
      <c r="G604" s="11">
        <v>9323.0</v>
      </c>
      <c r="H604" s="6"/>
      <c r="I604" s="7" t="s">
        <v>2159</v>
      </c>
      <c r="K604" s="12" t="str">
        <f t="shared" si="57"/>
        <v>SL1610</v>
      </c>
      <c r="M604" s="2" t="s">
        <v>114</v>
      </c>
      <c r="N604" s="2" t="s">
        <v>169</v>
      </c>
      <c r="O604" s="2">
        <v>1.10751038E8</v>
      </c>
      <c r="Q604" s="8">
        <v>2025.0</v>
      </c>
      <c r="R604" s="8" t="s">
        <v>1933</v>
      </c>
    </row>
    <row r="605">
      <c r="A605" s="4" t="s">
        <v>18</v>
      </c>
      <c r="B605" s="2" t="s">
        <v>2160</v>
      </c>
      <c r="C605" s="10">
        <v>45907.0</v>
      </c>
      <c r="D605" s="10">
        <v>45907.0</v>
      </c>
      <c r="E605" s="4" t="s">
        <v>2161</v>
      </c>
      <c r="F605" s="9"/>
      <c r="G605" s="11">
        <v>16935.0</v>
      </c>
      <c r="H605" s="6"/>
      <c r="I605" s="7" t="s">
        <v>2162</v>
      </c>
      <c r="K605" s="1" t="s">
        <v>23</v>
      </c>
      <c r="M605" s="2" t="s">
        <v>114</v>
      </c>
      <c r="N605" s="2" t="s">
        <v>169</v>
      </c>
      <c r="O605" s="2">
        <v>1.10751038E8</v>
      </c>
      <c r="Q605" s="8">
        <v>2025.0</v>
      </c>
      <c r="R605" s="8" t="s">
        <v>1933</v>
      </c>
    </row>
    <row r="606">
      <c r="A606" s="4" t="s">
        <v>18</v>
      </c>
      <c r="B606" s="2" t="s">
        <v>2163</v>
      </c>
      <c r="C606" s="10">
        <v>45907.0</v>
      </c>
      <c r="D606" s="10">
        <v>45907.0</v>
      </c>
      <c r="E606" s="4" t="s">
        <v>2164</v>
      </c>
      <c r="F606" s="9"/>
      <c r="G606" s="11">
        <v>3871.0</v>
      </c>
      <c r="H606" s="6"/>
      <c r="I606" s="7" t="s">
        <v>2165</v>
      </c>
      <c r="K606" s="12" t="str">
        <f t="shared" ref="K606:K609" si="58">RIGHT(E606,6)</f>
        <v>SC3567</v>
      </c>
      <c r="M606" s="2" t="s">
        <v>114</v>
      </c>
      <c r="N606" s="2" t="s">
        <v>169</v>
      </c>
      <c r="O606" s="2">
        <v>1.10751038E8</v>
      </c>
      <c r="Q606" s="8">
        <v>2025.0</v>
      </c>
      <c r="R606" s="8" t="s">
        <v>1933</v>
      </c>
    </row>
    <row r="607">
      <c r="A607" s="4" t="s">
        <v>18</v>
      </c>
      <c r="B607" s="2" t="s">
        <v>2166</v>
      </c>
      <c r="C607" s="10">
        <v>45907.0</v>
      </c>
      <c r="D607" s="10">
        <v>45907.0</v>
      </c>
      <c r="E607" s="4" t="s">
        <v>2167</v>
      </c>
      <c r="F607" s="9"/>
      <c r="G607" s="6"/>
      <c r="H607" s="7">
        <v>699.0</v>
      </c>
      <c r="I607" s="7" t="s">
        <v>2168</v>
      </c>
      <c r="K607" s="12" t="str">
        <f t="shared" si="58"/>
        <v>SL1610</v>
      </c>
      <c r="L607" s="2" t="s">
        <v>2169</v>
      </c>
      <c r="M607" s="2" t="s">
        <v>24</v>
      </c>
      <c r="N607" s="2" t="s">
        <v>60</v>
      </c>
      <c r="O607" s="2">
        <v>1.10751038E8</v>
      </c>
      <c r="P607" s="15"/>
      <c r="Q607" s="8">
        <v>2025.0</v>
      </c>
      <c r="R607" s="8" t="s">
        <v>1933</v>
      </c>
    </row>
    <row r="608">
      <c r="A608" s="4" t="s">
        <v>18</v>
      </c>
      <c r="B608" s="2" t="s">
        <v>2170</v>
      </c>
      <c r="C608" s="10">
        <v>45907.0</v>
      </c>
      <c r="D608" s="10">
        <v>45907.0</v>
      </c>
      <c r="E608" s="4" t="s">
        <v>2171</v>
      </c>
      <c r="F608" s="9"/>
      <c r="G608" s="6"/>
      <c r="H608" s="7">
        <v>986.0</v>
      </c>
      <c r="I608" s="7" t="s">
        <v>2172</v>
      </c>
      <c r="K608" s="12" t="str">
        <f t="shared" si="58"/>
        <v>SL1610</v>
      </c>
      <c r="L608" s="2" t="s">
        <v>2173</v>
      </c>
      <c r="M608" s="2" t="s">
        <v>24</v>
      </c>
      <c r="N608" s="2" t="s">
        <v>60</v>
      </c>
      <c r="O608" s="2">
        <v>1.10751038E8</v>
      </c>
      <c r="P608" s="15"/>
      <c r="Q608" s="8">
        <v>2025.0</v>
      </c>
      <c r="R608" s="8" t="s">
        <v>1933</v>
      </c>
    </row>
    <row r="609">
      <c r="A609" s="4" t="s">
        <v>18</v>
      </c>
      <c r="B609" s="2" t="s">
        <v>2174</v>
      </c>
      <c r="C609" s="10">
        <v>45907.0</v>
      </c>
      <c r="D609" s="10">
        <v>45907.0</v>
      </c>
      <c r="E609" s="4" t="s">
        <v>2175</v>
      </c>
      <c r="F609" s="9"/>
      <c r="G609" s="6"/>
      <c r="H609" s="7">
        <v>361.0</v>
      </c>
      <c r="I609" s="7" t="s">
        <v>2176</v>
      </c>
      <c r="K609" s="12" t="str">
        <f t="shared" si="58"/>
        <v>SL1610</v>
      </c>
      <c r="L609" s="2" t="s">
        <v>2177</v>
      </c>
      <c r="M609" s="2" t="s">
        <v>24</v>
      </c>
      <c r="N609" s="2" t="s">
        <v>60</v>
      </c>
      <c r="O609" s="2">
        <v>1.10751038E8</v>
      </c>
      <c r="P609" s="15"/>
      <c r="Q609" s="8">
        <v>2025.0</v>
      </c>
      <c r="R609" s="8" t="s">
        <v>1933</v>
      </c>
    </row>
    <row r="610">
      <c r="A610" s="4" t="s">
        <v>18</v>
      </c>
      <c r="B610" s="2" t="s">
        <v>2178</v>
      </c>
      <c r="C610" s="10">
        <v>45907.0</v>
      </c>
      <c r="D610" s="10">
        <v>45907.0</v>
      </c>
      <c r="E610" s="4" t="s">
        <v>2179</v>
      </c>
      <c r="F610" s="9"/>
      <c r="G610" s="6"/>
      <c r="H610" s="11">
        <v>9323.0</v>
      </c>
      <c r="I610" s="7" t="s">
        <v>2180</v>
      </c>
      <c r="J610" s="2" t="s">
        <v>2181</v>
      </c>
      <c r="K610" s="1" t="s">
        <v>23</v>
      </c>
      <c r="M610" s="2" t="s">
        <v>24</v>
      </c>
      <c r="N610" s="2" t="s">
        <v>195</v>
      </c>
      <c r="O610" s="2">
        <v>1.10751038E8</v>
      </c>
      <c r="P610" s="15"/>
      <c r="Q610" s="8">
        <v>2025.0</v>
      </c>
      <c r="R610" s="8" t="s">
        <v>1933</v>
      </c>
    </row>
    <row r="611">
      <c r="A611" s="4" t="s">
        <v>18</v>
      </c>
      <c r="B611" s="2" t="s">
        <v>2182</v>
      </c>
      <c r="C611" s="10">
        <v>45907.0</v>
      </c>
      <c r="D611" s="10">
        <v>45907.0</v>
      </c>
      <c r="E611" s="4" t="s">
        <v>2183</v>
      </c>
      <c r="F611" s="9"/>
      <c r="G611" s="6"/>
      <c r="H611" s="7">
        <v>627.0</v>
      </c>
      <c r="I611" s="7" t="s">
        <v>2184</v>
      </c>
      <c r="K611" s="12" t="str">
        <f t="shared" ref="K611:K625" si="59">RIGHT(E611,6)</f>
        <v>SC3567</v>
      </c>
      <c r="L611" s="2" t="s">
        <v>2185</v>
      </c>
      <c r="M611" s="2" t="s">
        <v>24</v>
      </c>
      <c r="N611" s="2" t="s">
        <v>60</v>
      </c>
      <c r="O611" s="2">
        <v>1.10751038E8</v>
      </c>
      <c r="P611" s="15"/>
      <c r="Q611" s="8">
        <v>2025.0</v>
      </c>
      <c r="R611" s="8" t="s">
        <v>1933</v>
      </c>
    </row>
    <row r="612">
      <c r="A612" s="4" t="s">
        <v>18</v>
      </c>
      <c r="B612" s="2" t="s">
        <v>2186</v>
      </c>
      <c r="C612" s="10">
        <v>45907.0</v>
      </c>
      <c r="D612" s="10">
        <v>45907.0</v>
      </c>
      <c r="E612" s="4" t="s">
        <v>2187</v>
      </c>
      <c r="F612" s="9"/>
      <c r="G612" s="6"/>
      <c r="H612" s="7">
        <v>439.4</v>
      </c>
      <c r="I612" s="7" t="s">
        <v>2188</v>
      </c>
      <c r="K612" s="12" t="str">
        <f t="shared" si="59"/>
        <v>SC3567</v>
      </c>
      <c r="L612" s="2" t="s">
        <v>2189</v>
      </c>
      <c r="M612" s="2" t="s">
        <v>24</v>
      </c>
      <c r="N612" s="2" t="s">
        <v>60</v>
      </c>
      <c r="O612" s="2">
        <v>1.10751038E8</v>
      </c>
      <c r="P612" s="15"/>
      <c r="Q612" s="8">
        <v>2025.0</v>
      </c>
      <c r="R612" s="8" t="s">
        <v>1933</v>
      </c>
    </row>
    <row r="613">
      <c r="A613" s="4" t="s">
        <v>18</v>
      </c>
      <c r="B613" s="2" t="s">
        <v>2190</v>
      </c>
      <c r="C613" s="10">
        <v>45907.0</v>
      </c>
      <c r="D613" s="10">
        <v>45907.0</v>
      </c>
      <c r="E613" s="4" t="s">
        <v>2191</v>
      </c>
      <c r="F613" s="9"/>
      <c r="G613" s="6"/>
      <c r="H613" s="7">
        <v>200.0</v>
      </c>
      <c r="I613" s="7" t="s">
        <v>2192</v>
      </c>
      <c r="K613" s="12" t="str">
        <f t="shared" si="59"/>
        <v>SC3567</v>
      </c>
      <c r="L613" s="2" t="s">
        <v>2189</v>
      </c>
      <c r="M613" s="2" t="s">
        <v>24</v>
      </c>
      <c r="N613" s="2" t="s">
        <v>60</v>
      </c>
      <c r="O613" s="2">
        <v>1.10751038E8</v>
      </c>
      <c r="P613" s="15"/>
      <c r="Q613" s="8">
        <v>2025.0</v>
      </c>
      <c r="R613" s="8" t="s">
        <v>1933</v>
      </c>
    </row>
    <row r="614">
      <c r="A614" s="4" t="s">
        <v>18</v>
      </c>
      <c r="B614" s="2" t="s">
        <v>2193</v>
      </c>
      <c r="C614" s="10">
        <v>45907.0</v>
      </c>
      <c r="D614" s="10">
        <v>45907.0</v>
      </c>
      <c r="E614" s="4" t="s">
        <v>2194</v>
      </c>
      <c r="F614" s="9"/>
      <c r="G614" s="6"/>
      <c r="H614" s="7">
        <v>439.4</v>
      </c>
      <c r="I614" s="7" t="s">
        <v>2195</v>
      </c>
      <c r="K614" s="12" t="str">
        <f t="shared" si="59"/>
        <v>SC3567</v>
      </c>
      <c r="L614" s="2" t="s">
        <v>2196</v>
      </c>
      <c r="M614" s="2" t="s">
        <v>24</v>
      </c>
      <c r="N614" s="2" t="s">
        <v>60</v>
      </c>
      <c r="O614" s="2">
        <v>1.10751038E8</v>
      </c>
      <c r="P614" s="15"/>
      <c r="Q614" s="8">
        <v>2025.0</v>
      </c>
      <c r="R614" s="8" t="s">
        <v>1933</v>
      </c>
    </row>
    <row r="615">
      <c r="A615" s="4" t="s">
        <v>18</v>
      </c>
      <c r="B615" s="2" t="s">
        <v>2197</v>
      </c>
      <c r="C615" s="10">
        <v>45907.0</v>
      </c>
      <c r="D615" s="10">
        <v>45907.0</v>
      </c>
      <c r="E615" s="4" t="s">
        <v>2198</v>
      </c>
      <c r="F615" s="9"/>
      <c r="G615" s="6"/>
      <c r="H615" s="11">
        <v>1123.0</v>
      </c>
      <c r="I615" s="7" t="s">
        <v>2199</v>
      </c>
      <c r="K615" s="12" t="str">
        <f t="shared" si="59"/>
        <v>SL1610</v>
      </c>
      <c r="L615" s="2" t="s">
        <v>2200</v>
      </c>
      <c r="M615" s="2" t="s">
        <v>24</v>
      </c>
      <c r="N615" s="2" t="s">
        <v>60</v>
      </c>
      <c r="O615" s="2">
        <v>1.10751038E8</v>
      </c>
      <c r="P615" s="15"/>
      <c r="Q615" s="8">
        <v>2025.0</v>
      </c>
      <c r="R615" s="8" t="s">
        <v>1933</v>
      </c>
    </row>
    <row r="616">
      <c r="A616" s="4" t="s">
        <v>18</v>
      </c>
      <c r="B616" s="2" t="s">
        <v>2201</v>
      </c>
      <c r="C616" s="10">
        <v>45907.0</v>
      </c>
      <c r="D616" s="10">
        <v>45907.0</v>
      </c>
      <c r="E616" s="4" t="s">
        <v>2202</v>
      </c>
      <c r="F616" s="9"/>
      <c r="G616" s="6"/>
      <c r="H616" s="7">
        <v>221.0</v>
      </c>
      <c r="I616" s="7" t="s">
        <v>2203</v>
      </c>
      <c r="K616" s="12" t="str">
        <f t="shared" si="59"/>
        <v>UN3668</v>
      </c>
      <c r="L616" s="2" t="s">
        <v>2204</v>
      </c>
      <c r="M616" s="2" t="s">
        <v>24</v>
      </c>
      <c r="N616" s="2" t="s">
        <v>60</v>
      </c>
      <c r="O616" s="2">
        <v>1.10751038E8</v>
      </c>
      <c r="P616" s="15"/>
      <c r="Q616" s="8">
        <v>2025.0</v>
      </c>
      <c r="R616" s="8" t="s">
        <v>1933</v>
      </c>
    </row>
    <row r="617">
      <c r="A617" s="4" t="s">
        <v>18</v>
      </c>
      <c r="B617" s="2" t="s">
        <v>2205</v>
      </c>
      <c r="C617" s="10">
        <v>45907.0</v>
      </c>
      <c r="D617" s="10">
        <v>45907.0</v>
      </c>
      <c r="E617" s="4" t="s">
        <v>2206</v>
      </c>
      <c r="F617" s="9"/>
      <c r="G617" s="6"/>
      <c r="H617" s="7">
        <v>700.0</v>
      </c>
      <c r="I617" s="7" t="s">
        <v>2207</v>
      </c>
      <c r="K617" s="12" t="str">
        <f t="shared" si="59"/>
        <v>KN3817</v>
      </c>
      <c r="L617" s="2" t="s">
        <v>2208</v>
      </c>
      <c r="M617" s="2" t="s">
        <v>24</v>
      </c>
      <c r="N617" s="2" t="s">
        <v>60</v>
      </c>
      <c r="O617" s="2">
        <v>1.10751038E8</v>
      </c>
      <c r="P617" s="15"/>
      <c r="Q617" s="8">
        <v>2025.0</v>
      </c>
      <c r="R617" s="8" t="s">
        <v>1933</v>
      </c>
    </row>
    <row r="618">
      <c r="A618" s="4" t="s">
        <v>18</v>
      </c>
      <c r="B618" s="2" t="s">
        <v>2209</v>
      </c>
      <c r="C618" s="10">
        <v>45908.0</v>
      </c>
      <c r="D618" s="10">
        <v>45908.0</v>
      </c>
      <c r="E618" s="4" t="s">
        <v>2210</v>
      </c>
      <c r="F618" s="9"/>
      <c r="G618" s="6"/>
      <c r="H618" s="7">
        <v>630.0</v>
      </c>
      <c r="I618" s="7" t="s">
        <v>2211</v>
      </c>
      <c r="K618" s="12" t="str">
        <f t="shared" si="59"/>
        <v>UN3668</v>
      </c>
      <c r="L618" s="2" t="s">
        <v>2212</v>
      </c>
      <c r="M618" s="2" t="s">
        <v>24</v>
      </c>
      <c r="N618" s="2" t="s">
        <v>60</v>
      </c>
      <c r="O618" s="2">
        <v>1.10751038E8</v>
      </c>
      <c r="P618" s="15"/>
      <c r="Q618" s="8">
        <v>2025.0</v>
      </c>
      <c r="R618" s="8" t="s">
        <v>1933</v>
      </c>
    </row>
    <row r="619">
      <c r="A619" s="4" t="s">
        <v>18</v>
      </c>
      <c r="B619" s="2" t="s">
        <v>2213</v>
      </c>
      <c r="C619" s="10">
        <v>45908.0</v>
      </c>
      <c r="D619" s="10">
        <v>45908.0</v>
      </c>
      <c r="E619" s="4" t="s">
        <v>2214</v>
      </c>
      <c r="F619" s="9"/>
      <c r="G619" s="6"/>
      <c r="H619" s="7">
        <v>218.0</v>
      </c>
      <c r="I619" s="7" t="s">
        <v>2215</v>
      </c>
      <c r="K619" s="12" t="str">
        <f t="shared" si="59"/>
        <v>UN3668</v>
      </c>
      <c r="L619" s="2" t="s">
        <v>2216</v>
      </c>
      <c r="M619" s="2" t="s">
        <v>24</v>
      </c>
      <c r="N619" s="2" t="s">
        <v>60</v>
      </c>
      <c r="O619" s="2">
        <v>1.10751038E8</v>
      </c>
      <c r="P619" s="15"/>
      <c r="Q619" s="8">
        <v>2025.0</v>
      </c>
      <c r="R619" s="8" t="s">
        <v>1933</v>
      </c>
    </row>
    <row r="620">
      <c r="A620" s="4" t="s">
        <v>18</v>
      </c>
      <c r="B620" s="2" t="s">
        <v>2217</v>
      </c>
      <c r="C620" s="10">
        <v>45908.0</v>
      </c>
      <c r="D620" s="10">
        <v>45908.0</v>
      </c>
      <c r="E620" s="4" t="s">
        <v>2218</v>
      </c>
      <c r="F620" s="9"/>
      <c r="G620" s="6"/>
      <c r="H620" s="11">
        <v>2000.0</v>
      </c>
      <c r="I620" s="7" t="s">
        <v>2219</v>
      </c>
      <c r="K620" s="12" t="str">
        <f t="shared" si="59"/>
        <v>UN3668</v>
      </c>
      <c r="L620" s="2" t="s">
        <v>619</v>
      </c>
      <c r="M620" s="2" t="s">
        <v>24</v>
      </c>
      <c r="N620" s="2" t="s">
        <v>60</v>
      </c>
      <c r="O620" s="2">
        <v>1.10751038E8</v>
      </c>
      <c r="P620" s="15"/>
      <c r="Q620" s="8">
        <v>2025.0</v>
      </c>
      <c r="R620" s="8" t="s">
        <v>1933</v>
      </c>
    </row>
    <row r="621">
      <c r="A621" s="4" t="s">
        <v>18</v>
      </c>
      <c r="B621" s="2" t="s">
        <v>2220</v>
      </c>
      <c r="C621" s="10">
        <v>45908.0</v>
      </c>
      <c r="D621" s="10">
        <v>45908.0</v>
      </c>
      <c r="E621" s="4" t="s">
        <v>2221</v>
      </c>
      <c r="F621" s="9"/>
      <c r="G621" s="6"/>
      <c r="H621" s="7">
        <v>490.0</v>
      </c>
      <c r="I621" s="7" t="s">
        <v>2222</v>
      </c>
      <c r="K621" s="12" t="str">
        <f t="shared" si="59"/>
        <v>UN3668</v>
      </c>
      <c r="L621" s="2" t="s">
        <v>2223</v>
      </c>
      <c r="M621" s="2" t="s">
        <v>24</v>
      </c>
      <c r="N621" s="2" t="s">
        <v>60</v>
      </c>
      <c r="O621" s="2">
        <v>1.10751038E8</v>
      </c>
      <c r="P621" s="15"/>
      <c r="Q621" s="8">
        <v>2025.0</v>
      </c>
      <c r="R621" s="8" t="s">
        <v>1933</v>
      </c>
    </row>
    <row r="622">
      <c r="A622" s="4" t="s">
        <v>18</v>
      </c>
      <c r="B622" s="2" t="s">
        <v>2224</v>
      </c>
      <c r="C622" s="10">
        <v>45908.0</v>
      </c>
      <c r="D622" s="10">
        <v>45908.0</v>
      </c>
      <c r="E622" s="4" t="s">
        <v>2225</v>
      </c>
      <c r="F622" s="9"/>
      <c r="G622" s="6"/>
      <c r="H622" s="7">
        <v>210.0</v>
      </c>
      <c r="I622" s="7" t="s">
        <v>2226</v>
      </c>
      <c r="K622" s="12" t="str">
        <f t="shared" si="59"/>
        <v>KN3817</v>
      </c>
      <c r="L622" s="2" t="s">
        <v>2227</v>
      </c>
      <c r="M622" s="2" t="s">
        <v>24</v>
      </c>
      <c r="N622" s="2" t="s">
        <v>60</v>
      </c>
      <c r="O622" s="2">
        <v>1.10751038E8</v>
      </c>
      <c r="P622" s="15"/>
      <c r="Q622" s="8">
        <v>2025.0</v>
      </c>
      <c r="R622" s="8" t="s">
        <v>1933</v>
      </c>
    </row>
    <row r="623">
      <c r="A623" s="4" t="s">
        <v>18</v>
      </c>
      <c r="B623" s="2" t="s">
        <v>2228</v>
      </c>
      <c r="C623" s="10">
        <v>45908.0</v>
      </c>
      <c r="D623" s="10">
        <v>45908.0</v>
      </c>
      <c r="E623" s="4" t="s">
        <v>2229</v>
      </c>
      <c r="F623" s="9"/>
      <c r="G623" s="6"/>
      <c r="H623" s="7">
        <v>109.0</v>
      </c>
      <c r="I623" s="7" t="s">
        <v>2230</v>
      </c>
      <c r="K623" s="12" t="str">
        <f t="shared" si="59"/>
        <v>SC3567</v>
      </c>
      <c r="L623" s="2" t="s">
        <v>2231</v>
      </c>
      <c r="M623" s="2" t="s">
        <v>24</v>
      </c>
      <c r="N623" s="2" t="s">
        <v>60</v>
      </c>
      <c r="O623" s="2">
        <v>1.10751038E8</v>
      </c>
      <c r="P623" s="15"/>
      <c r="Q623" s="8">
        <v>2025.0</v>
      </c>
      <c r="R623" s="8" t="s">
        <v>1933</v>
      </c>
    </row>
    <row r="624">
      <c r="A624" s="4" t="s">
        <v>18</v>
      </c>
      <c r="B624" s="2" t="s">
        <v>2232</v>
      </c>
      <c r="C624" s="10">
        <v>45908.0</v>
      </c>
      <c r="D624" s="10">
        <v>45908.0</v>
      </c>
      <c r="E624" s="4" t="s">
        <v>2233</v>
      </c>
      <c r="F624" s="9"/>
      <c r="G624" s="6"/>
      <c r="H624" s="11">
        <v>1179.0</v>
      </c>
      <c r="I624" s="7" t="s">
        <v>2234</v>
      </c>
      <c r="K624" s="12" t="str">
        <f t="shared" si="59"/>
        <v>SL1610</v>
      </c>
      <c r="L624" s="2" t="s">
        <v>2235</v>
      </c>
      <c r="M624" s="2" t="s">
        <v>24</v>
      </c>
      <c r="N624" s="2" t="s">
        <v>60</v>
      </c>
      <c r="O624" s="2">
        <v>1.10751038E8</v>
      </c>
      <c r="P624" s="15"/>
      <c r="Q624" s="8">
        <v>2025.0</v>
      </c>
      <c r="R624" s="8" t="s">
        <v>1933</v>
      </c>
    </row>
    <row r="625">
      <c r="A625" s="4" t="s">
        <v>18</v>
      </c>
      <c r="B625" s="2" t="s">
        <v>2236</v>
      </c>
      <c r="C625" s="10">
        <v>45908.0</v>
      </c>
      <c r="D625" s="10">
        <v>45908.0</v>
      </c>
      <c r="E625" s="4" t="s">
        <v>2237</v>
      </c>
      <c r="F625" s="9"/>
      <c r="G625" s="6"/>
      <c r="H625" s="7">
        <v>250.0</v>
      </c>
      <c r="I625" s="7" t="s">
        <v>2238</v>
      </c>
      <c r="K625" s="12" t="str">
        <f t="shared" si="59"/>
        <v>UN3668</v>
      </c>
      <c r="L625" s="2" t="s">
        <v>2239</v>
      </c>
      <c r="M625" s="2" t="s">
        <v>24</v>
      </c>
      <c r="N625" s="2" t="s">
        <v>60</v>
      </c>
      <c r="O625" s="2">
        <v>1.10751038E8</v>
      </c>
      <c r="P625" s="15"/>
      <c r="Q625" s="8">
        <v>2025.0</v>
      </c>
      <c r="R625" s="8" t="s">
        <v>1933</v>
      </c>
    </row>
    <row r="626">
      <c r="A626" s="4" t="s">
        <v>18</v>
      </c>
      <c r="B626" s="2" t="s">
        <v>2240</v>
      </c>
      <c r="C626" s="10">
        <v>45908.0</v>
      </c>
      <c r="D626" s="10">
        <v>45908.0</v>
      </c>
      <c r="E626" s="4" t="s">
        <v>2241</v>
      </c>
      <c r="F626" s="9"/>
      <c r="G626" s="6"/>
      <c r="H626" s="11">
        <v>1746.0</v>
      </c>
      <c r="I626" s="7" t="s">
        <v>2242</v>
      </c>
      <c r="K626" s="2" t="s">
        <v>539</v>
      </c>
      <c r="M626" s="2" t="s">
        <v>24</v>
      </c>
      <c r="N626" s="2" t="s">
        <v>60</v>
      </c>
      <c r="O626" s="2">
        <v>1.10751038E8</v>
      </c>
      <c r="P626" s="15" t="str">
        <f>IFERROR(__xludf.DUMMYFUNCTION("CONCATENATE(B626,"", "", to_text(D626),"", "", E626,"", "", H626)"),"TSV-09-0085, 08-Sep-2025, UPI/CR/525166337732/MINI SAM/ICIC/mini.83/na, 1746")</f>
        <v>TSV-09-0085, 08-Sep-2025, UPI/CR/525166337732/MINI SAM/ICIC/mini.83/na, 1746</v>
      </c>
      <c r="Q626" s="8">
        <v>2025.0</v>
      </c>
      <c r="R626" s="8" t="s">
        <v>1933</v>
      </c>
    </row>
    <row r="627">
      <c r="A627" s="4" t="s">
        <v>18</v>
      </c>
      <c r="B627" s="2" t="s">
        <v>2243</v>
      </c>
      <c r="C627" s="10">
        <v>45908.0</v>
      </c>
      <c r="D627" s="10">
        <v>45908.0</v>
      </c>
      <c r="E627" s="4" t="s">
        <v>2244</v>
      </c>
      <c r="F627" s="9"/>
      <c r="G627" s="6"/>
      <c r="H627" s="7">
        <v>373.0</v>
      </c>
      <c r="I627" s="7" t="s">
        <v>2245</v>
      </c>
      <c r="K627" s="12" t="str">
        <f t="shared" ref="K627:K642" si="60">RIGHT(E627,6)</f>
        <v>SL1610</v>
      </c>
      <c r="L627" s="2" t="s">
        <v>2246</v>
      </c>
      <c r="M627" s="2" t="s">
        <v>24</v>
      </c>
      <c r="N627" s="2" t="s">
        <v>60</v>
      </c>
      <c r="O627" s="2">
        <v>1.10751038E8</v>
      </c>
      <c r="P627" s="15"/>
      <c r="Q627" s="8">
        <v>2025.0</v>
      </c>
      <c r="R627" s="8" t="s">
        <v>1933</v>
      </c>
    </row>
    <row r="628">
      <c r="A628" s="4" t="s">
        <v>18</v>
      </c>
      <c r="B628" s="2" t="s">
        <v>2247</v>
      </c>
      <c r="C628" s="10">
        <v>45909.0</v>
      </c>
      <c r="D628" s="10">
        <v>45909.0</v>
      </c>
      <c r="E628" s="4" t="s">
        <v>2248</v>
      </c>
      <c r="F628" s="9"/>
      <c r="G628" s="6"/>
      <c r="H628" s="11">
        <v>1726.0</v>
      </c>
      <c r="I628" s="7" t="s">
        <v>2249</v>
      </c>
      <c r="K628" s="12" t="str">
        <f t="shared" si="60"/>
        <v>UN3668</v>
      </c>
      <c r="L628" s="2" t="s">
        <v>2250</v>
      </c>
      <c r="M628" s="2" t="s">
        <v>24</v>
      </c>
      <c r="N628" s="2" t="s">
        <v>60</v>
      </c>
      <c r="O628" s="2">
        <v>1.10751038E8</v>
      </c>
      <c r="P628" s="15"/>
      <c r="Q628" s="8">
        <v>2025.0</v>
      </c>
      <c r="R628" s="8" t="s">
        <v>1933</v>
      </c>
    </row>
    <row r="629">
      <c r="A629" s="4" t="s">
        <v>18</v>
      </c>
      <c r="B629" s="2" t="s">
        <v>2251</v>
      </c>
      <c r="C629" s="10">
        <v>45909.0</v>
      </c>
      <c r="D629" s="10">
        <v>45909.0</v>
      </c>
      <c r="E629" s="4" t="s">
        <v>2252</v>
      </c>
      <c r="F629" s="9"/>
      <c r="G629" s="6"/>
      <c r="H629" s="7">
        <v>200.0</v>
      </c>
      <c r="I629" s="7" t="s">
        <v>2253</v>
      </c>
      <c r="K629" s="12" t="str">
        <f t="shared" si="60"/>
        <v>SC3567</v>
      </c>
      <c r="L629" s="2" t="s">
        <v>2254</v>
      </c>
      <c r="M629" s="2" t="s">
        <v>24</v>
      </c>
      <c r="N629" s="2" t="s">
        <v>60</v>
      </c>
      <c r="O629" s="2">
        <v>1.10751038E8</v>
      </c>
      <c r="P629" s="15"/>
      <c r="Q629" s="8">
        <v>2025.0</v>
      </c>
      <c r="R629" s="8" t="s">
        <v>1933</v>
      </c>
    </row>
    <row r="630">
      <c r="A630" s="4" t="s">
        <v>18</v>
      </c>
      <c r="B630" s="2" t="s">
        <v>2255</v>
      </c>
      <c r="C630" s="10">
        <v>45909.0</v>
      </c>
      <c r="D630" s="10">
        <v>45909.0</v>
      </c>
      <c r="E630" s="4" t="s">
        <v>2256</v>
      </c>
      <c r="F630" s="9"/>
      <c r="G630" s="6"/>
      <c r="H630" s="7">
        <v>800.0</v>
      </c>
      <c r="I630" s="7" t="s">
        <v>2257</v>
      </c>
      <c r="K630" s="12" t="str">
        <f t="shared" si="60"/>
        <v>KN3817</v>
      </c>
      <c r="L630" s="21" t="s">
        <v>1905</v>
      </c>
      <c r="M630" s="2" t="s">
        <v>24</v>
      </c>
      <c r="N630" s="2" t="s">
        <v>60</v>
      </c>
      <c r="O630" s="2">
        <v>1.10751038E8</v>
      </c>
      <c r="P630" s="15"/>
      <c r="Q630" s="8">
        <v>2025.0</v>
      </c>
      <c r="R630" s="8" t="s">
        <v>1933</v>
      </c>
    </row>
    <row r="631">
      <c r="A631" s="4" t="s">
        <v>18</v>
      </c>
      <c r="B631" s="2" t="s">
        <v>2258</v>
      </c>
      <c r="C631" s="10">
        <v>45909.0</v>
      </c>
      <c r="D631" s="10">
        <v>45909.0</v>
      </c>
      <c r="E631" s="4" t="s">
        <v>2259</v>
      </c>
      <c r="F631" s="9"/>
      <c r="G631" s="6"/>
      <c r="H631" s="7">
        <v>450.0</v>
      </c>
      <c r="I631" s="7" t="s">
        <v>2260</v>
      </c>
      <c r="K631" s="12" t="str">
        <f t="shared" si="60"/>
        <v>KN3817</v>
      </c>
      <c r="L631" s="2" t="s">
        <v>2261</v>
      </c>
      <c r="M631" s="2" t="s">
        <v>24</v>
      </c>
      <c r="N631" s="2" t="s">
        <v>60</v>
      </c>
      <c r="O631" s="2">
        <v>1.10751038E8</v>
      </c>
      <c r="P631" s="15"/>
      <c r="Q631" s="8">
        <v>2025.0</v>
      </c>
      <c r="R631" s="8" t="s">
        <v>1933</v>
      </c>
    </row>
    <row r="632">
      <c r="A632" s="4" t="s">
        <v>18</v>
      </c>
      <c r="B632" s="2" t="s">
        <v>2262</v>
      </c>
      <c r="C632" s="10">
        <v>45909.0</v>
      </c>
      <c r="D632" s="10">
        <v>45909.0</v>
      </c>
      <c r="E632" s="4" t="s">
        <v>2263</v>
      </c>
      <c r="F632" s="9"/>
      <c r="G632" s="6"/>
      <c r="H632" s="7">
        <v>478.0</v>
      </c>
      <c r="I632" s="7" t="s">
        <v>2264</v>
      </c>
      <c r="K632" s="12" t="str">
        <f t="shared" si="60"/>
        <v>SC3567</v>
      </c>
      <c r="L632" s="2" t="s">
        <v>2265</v>
      </c>
      <c r="M632" s="2" t="s">
        <v>24</v>
      </c>
      <c r="N632" s="2" t="s">
        <v>60</v>
      </c>
      <c r="O632" s="2">
        <v>1.10751038E8</v>
      </c>
      <c r="P632" s="15"/>
      <c r="Q632" s="8">
        <v>2025.0</v>
      </c>
      <c r="R632" s="8" t="s">
        <v>1933</v>
      </c>
    </row>
    <row r="633">
      <c r="A633" s="4" t="s">
        <v>18</v>
      </c>
      <c r="B633" s="2" t="s">
        <v>2266</v>
      </c>
      <c r="C633" s="10">
        <v>45909.0</v>
      </c>
      <c r="D633" s="10">
        <v>45909.0</v>
      </c>
      <c r="E633" s="4" t="s">
        <v>2267</v>
      </c>
      <c r="F633" s="9"/>
      <c r="G633" s="6"/>
      <c r="H633" s="11">
        <v>1015.0</v>
      </c>
      <c r="I633" s="7" t="s">
        <v>2268</v>
      </c>
      <c r="K633" s="12" t="str">
        <f t="shared" si="60"/>
        <v>UN3668</v>
      </c>
      <c r="L633" s="2" t="s">
        <v>2269</v>
      </c>
      <c r="M633" s="2" t="s">
        <v>24</v>
      </c>
      <c r="N633" s="2" t="s">
        <v>60</v>
      </c>
      <c r="O633" s="2">
        <v>1.10751038E8</v>
      </c>
      <c r="P633" s="15"/>
      <c r="Q633" s="8">
        <v>2025.0</v>
      </c>
      <c r="R633" s="8" t="s">
        <v>1933</v>
      </c>
    </row>
    <row r="634">
      <c r="A634" s="4" t="s">
        <v>18</v>
      </c>
      <c r="B634" s="2" t="s">
        <v>2270</v>
      </c>
      <c r="C634" s="10">
        <v>45909.0</v>
      </c>
      <c r="D634" s="10">
        <v>45909.0</v>
      </c>
      <c r="E634" s="4" t="s">
        <v>2271</v>
      </c>
      <c r="F634" s="9"/>
      <c r="G634" s="6"/>
      <c r="H634" s="7">
        <v>375.0</v>
      </c>
      <c r="I634" s="7" t="s">
        <v>2272</v>
      </c>
      <c r="K634" s="12" t="str">
        <f t="shared" si="60"/>
        <v>UN3668</v>
      </c>
      <c r="L634" s="2" t="s">
        <v>2273</v>
      </c>
      <c r="M634" s="2" t="s">
        <v>24</v>
      </c>
      <c r="N634" s="2" t="s">
        <v>60</v>
      </c>
      <c r="O634" s="2">
        <v>1.10751038E8</v>
      </c>
      <c r="P634" s="15"/>
      <c r="Q634" s="8">
        <v>2025.0</v>
      </c>
      <c r="R634" s="8" t="s">
        <v>1933</v>
      </c>
    </row>
    <row r="635">
      <c r="A635" s="4" t="s">
        <v>18</v>
      </c>
      <c r="B635" s="2" t="s">
        <v>2274</v>
      </c>
      <c r="C635" s="10">
        <v>45909.0</v>
      </c>
      <c r="D635" s="10">
        <v>45909.0</v>
      </c>
      <c r="E635" s="4" t="s">
        <v>2275</v>
      </c>
      <c r="F635" s="9"/>
      <c r="G635" s="6"/>
      <c r="H635" s="7">
        <v>338.02</v>
      </c>
      <c r="I635" s="7" t="s">
        <v>2276</v>
      </c>
      <c r="K635" s="12" t="str">
        <f t="shared" si="60"/>
        <v>SL1610</v>
      </c>
      <c r="L635" s="2" t="s">
        <v>2277</v>
      </c>
      <c r="M635" s="2" t="s">
        <v>24</v>
      </c>
      <c r="N635" s="2" t="s">
        <v>60</v>
      </c>
      <c r="O635" s="2">
        <v>1.10751038E8</v>
      </c>
      <c r="P635" s="15"/>
      <c r="Q635" s="8">
        <v>2025.0</v>
      </c>
      <c r="R635" s="8" t="s">
        <v>1933</v>
      </c>
    </row>
    <row r="636">
      <c r="A636" s="4" t="s">
        <v>18</v>
      </c>
      <c r="B636" s="2" t="s">
        <v>2278</v>
      </c>
      <c r="C636" s="10">
        <v>45909.0</v>
      </c>
      <c r="D636" s="10">
        <v>45909.0</v>
      </c>
      <c r="E636" s="4" t="s">
        <v>2279</v>
      </c>
      <c r="F636" s="9"/>
      <c r="G636" s="6"/>
      <c r="H636" s="7">
        <v>746.0</v>
      </c>
      <c r="I636" s="7" t="s">
        <v>2280</v>
      </c>
      <c r="K636" s="12" t="str">
        <f t="shared" si="60"/>
        <v>SL1610</v>
      </c>
      <c r="L636" s="2" t="s">
        <v>2281</v>
      </c>
      <c r="M636" s="2" t="s">
        <v>24</v>
      </c>
      <c r="N636" s="2" t="s">
        <v>60</v>
      </c>
      <c r="O636" s="2">
        <v>1.10751038E8</v>
      </c>
      <c r="P636" s="15"/>
      <c r="Q636" s="8">
        <v>2025.0</v>
      </c>
      <c r="R636" s="8" t="s">
        <v>1933</v>
      </c>
    </row>
    <row r="637">
      <c r="A637" s="4" t="s">
        <v>18</v>
      </c>
      <c r="B637" s="2" t="s">
        <v>2282</v>
      </c>
      <c r="C637" s="10">
        <v>45909.0</v>
      </c>
      <c r="D637" s="10">
        <v>45909.0</v>
      </c>
      <c r="E637" s="4" t="s">
        <v>2283</v>
      </c>
      <c r="F637" s="9"/>
      <c r="G637" s="6"/>
      <c r="H637" s="7">
        <v>519.0</v>
      </c>
      <c r="I637" s="7" t="s">
        <v>2284</v>
      </c>
      <c r="K637" s="12" t="str">
        <f t="shared" si="60"/>
        <v>UN3668</v>
      </c>
      <c r="L637" s="2" t="s">
        <v>2285</v>
      </c>
      <c r="M637" s="2" t="s">
        <v>24</v>
      </c>
      <c r="N637" s="2" t="s">
        <v>60</v>
      </c>
      <c r="O637" s="2">
        <v>1.10751038E8</v>
      </c>
      <c r="P637" s="15"/>
      <c r="Q637" s="8">
        <v>2025.0</v>
      </c>
      <c r="R637" s="8" t="s">
        <v>1933</v>
      </c>
    </row>
    <row r="638">
      <c r="A638" s="4" t="s">
        <v>18</v>
      </c>
      <c r="B638" s="2" t="s">
        <v>2286</v>
      </c>
      <c r="C638" s="10">
        <v>45909.0</v>
      </c>
      <c r="D638" s="10">
        <v>45909.0</v>
      </c>
      <c r="E638" s="4" t="s">
        <v>2287</v>
      </c>
      <c r="F638" s="9"/>
      <c r="G638" s="6"/>
      <c r="H638" s="7">
        <v>417.0</v>
      </c>
      <c r="I638" s="7" t="s">
        <v>2288</v>
      </c>
      <c r="K638" s="12" t="str">
        <f t="shared" si="60"/>
        <v>SC3567</v>
      </c>
      <c r="L638" s="2" t="s">
        <v>2289</v>
      </c>
      <c r="M638" s="2" t="s">
        <v>24</v>
      </c>
      <c r="N638" s="2" t="s">
        <v>60</v>
      </c>
      <c r="O638" s="2">
        <v>1.10751038E8</v>
      </c>
      <c r="P638" s="15"/>
      <c r="Q638" s="8">
        <v>2025.0</v>
      </c>
      <c r="R638" s="8" t="s">
        <v>1933</v>
      </c>
    </row>
    <row r="639">
      <c r="A639" s="4" t="s">
        <v>18</v>
      </c>
      <c r="B639" s="2" t="s">
        <v>2290</v>
      </c>
      <c r="C639" s="10">
        <v>45909.0</v>
      </c>
      <c r="D639" s="10">
        <v>45909.0</v>
      </c>
      <c r="E639" s="4" t="s">
        <v>2291</v>
      </c>
      <c r="F639" s="9"/>
      <c r="G639" s="11">
        <v>2446.0</v>
      </c>
      <c r="H639" s="6"/>
      <c r="I639" s="7" t="s">
        <v>2292</v>
      </c>
      <c r="K639" s="12" t="str">
        <f t="shared" si="60"/>
        <v>SL1610</v>
      </c>
      <c r="M639" s="2" t="s">
        <v>114</v>
      </c>
      <c r="N639" s="2" t="s">
        <v>169</v>
      </c>
      <c r="O639" s="2">
        <v>1.10751038E8</v>
      </c>
      <c r="P639" s="15"/>
      <c r="Q639" s="8">
        <v>2025.0</v>
      </c>
      <c r="R639" s="8" t="s">
        <v>1933</v>
      </c>
    </row>
    <row r="640">
      <c r="A640" s="4" t="s">
        <v>18</v>
      </c>
      <c r="B640" s="2" t="s">
        <v>2293</v>
      </c>
      <c r="C640" s="10">
        <v>45909.0</v>
      </c>
      <c r="D640" s="10">
        <v>45909.0</v>
      </c>
      <c r="E640" s="4" t="s">
        <v>2294</v>
      </c>
      <c r="F640" s="9"/>
      <c r="G640" s="11">
        <v>13526.0</v>
      </c>
      <c r="H640" s="6"/>
      <c r="I640" s="7" t="s">
        <v>2295</v>
      </c>
      <c r="K640" s="12" t="str">
        <f t="shared" si="60"/>
        <v>UN3668</v>
      </c>
      <c r="M640" s="2" t="s">
        <v>114</v>
      </c>
      <c r="N640" s="2" t="s">
        <v>169</v>
      </c>
      <c r="O640" s="2">
        <v>1.10751038E8</v>
      </c>
      <c r="P640" s="15"/>
      <c r="Q640" s="8">
        <v>2025.0</v>
      </c>
      <c r="R640" s="8" t="s">
        <v>1933</v>
      </c>
    </row>
    <row r="641">
      <c r="A641" s="4" t="s">
        <v>18</v>
      </c>
      <c r="B641" s="2" t="s">
        <v>2296</v>
      </c>
      <c r="C641" s="10">
        <v>45909.0</v>
      </c>
      <c r="D641" s="10">
        <v>45909.0</v>
      </c>
      <c r="E641" s="4" t="s">
        <v>2297</v>
      </c>
      <c r="F641" s="9"/>
      <c r="G641" s="11">
        <v>18265.0</v>
      </c>
      <c r="H641" s="6"/>
      <c r="I641" s="7" t="s">
        <v>2298</v>
      </c>
      <c r="K641" s="12" t="str">
        <f t="shared" si="60"/>
        <v>UN3668</v>
      </c>
      <c r="M641" s="2" t="s">
        <v>114</v>
      </c>
      <c r="N641" s="2" t="s">
        <v>169</v>
      </c>
      <c r="O641" s="2">
        <v>1.10751038E8</v>
      </c>
      <c r="P641" s="15"/>
      <c r="Q641" s="8">
        <v>2025.0</v>
      </c>
      <c r="R641" s="8" t="s">
        <v>1933</v>
      </c>
    </row>
    <row r="642">
      <c r="A642" s="4" t="s">
        <v>18</v>
      </c>
      <c r="B642" s="2" t="s">
        <v>2299</v>
      </c>
      <c r="C642" s="10">
        <v>45909.0</v>
      </c>
      <c r="D642" s="10">
        <v>45909.0</v>
      </c>
      <c r="E642" s="4" t="s">
        <v>2300</v>
      </c>
      <c r="F642" s="9"/>
      <c r="G642" s="11">
        <v>14844.0</v>
      </c>
      <c r="H642" s="6"/>
      <c r="I642" s="7" t="s">
        <v>2301</v>
      </c>
      <c r="K642" s="12" t="str">
        <f t="shared" si="60"/>
        <v>KN3817</v>
      </c>
      <c r="M642" s="2" t="s">
        <v>114</v>
      </c>
      <c r="N642" s="2" t="s">
        <v>169</v>
      </c>
      <c r="O642" s="2">
        <v>1.10751038E8</v>
      </c>
      <c r="P642" s="15"/>
      <c r="Q642" s="8">
        <v>2025.0</v>
      </c>
      <c r="R642" s="8" t="s">
        <v>1933</v>
      </c>
    </row>
    <row r="643">
      <c r="A643" s="4" t="s">
        <v>18</v>
      </c>
      <c r="B643" s="2" t="s">
        <v>2302</v>
      </c>
      <c r="C643" s="10">
        <v>45909.0</v>
      </c>
      <c r="D643" s="10">
        <v>45909.0</v>
      </c>
      <c r="E643" s="4" t="s">
        <v>2303</v>
      </c>
      <c r="F643" s="9"/>
      <c r="G643" s="6"/>
      <c r="H643" s="11">
        <v>2446.0</v>
      </c>
      <c r="I643" s="7" t="s">
        <v>2304</v>
      </c>
      <c r="K643" s="1" t="s">
        <v>23</v>
      </c>
      <c r="M643" s="2" t="s">
        <v>24</v>
      </c>
      <c r="N643" s="2" t="s">
        <v>195</v>
      </c>
      <c r="O643" s="2">
        <v>1.10751038E8</v>
      </c>
      <c r="P643" s="15"/>
      <c r="Q643" s="8">
        <v>2025.0</v>
      </c>
      <c r="R643" s="8" t="s">
        <v>1933</v>
      </c>
    </row>
    <row r="644">
      <c r="A644" s="4" t="s">
        <v>18</v>
      </c>
      <c r="B644" s="2" t="s">
        <v>2305</v>
      </c>
      <c r="C644" s="10">
        <v>45909.0</v>
      </c>
      <c r="D644" s="10">
        <v>45909.0</v>
      </c>
      <c r="E644" s="4" t="s">
        <v>2306</v>
      </c>
      <c r="F644" s="9"/>
      <c r="G644" s="6"/>
      <c r="H644" s="11">
        <v>18265.0</v>
      </c>
      <c r="I644" s="7" t="s">
        <v>2307</v>
      </c>
      <c r="K644" s="1" t="s">
        <v>23</v>
      </c>
      <c r="M644" s="2" t="s">
        <v>24</v>
      </c>
      <c r="N644" s="2" t="s">
        <v>195</v>
      </c>
      <c r="O644" s="2">
        <v>1.10751038E8</v>
      </c>
      <c r="P644" s="15"/>
      <c r="Q644" s="8">
        <v>2025.0</v>
      </c>
      <c r="R644" s="8" t="s">
        <v>1933</v>
      </c>
    </row>
    <row r="645">
      <c r="A645" s="4" t="s">
        <v>18</v>
      </c>
      <c r="B645" s="2" t="s">
        <v>2308</v>
      </c>
      <c r="C645" s="5">
        <v>45910.0</v>
      </c>
      <c r="D645" s="5">
        <v>45910.0</v>
      </c>
      <c r="E645" s="4" t="s">
        <v>2309</v>
      </c>
      <c r="F645" s="9"/>
      <c r="G645" s="6"/>
      <c r="H645" s="7">
        <v>869.0</v>
      </c>
      <c r="I645" s="7" t="s">
        <v>2310</v>
      </c>
      <c r="K645" s="12" t="str">
        <f>RIGHT(E645,6)</f>
        <v>SC3567</v>
      </c>
      <c r="L645" s="2" t="s">
        <v>2311</v>
      </c>
      <c r="M645" s="2" t="s">
        <v>24</v>
      </c>
      <c r="N645" s="2" t="s">
        <v>60</v>
      </c>
      <c r="O645" s="2">
        <v>1.10751038E8</v>
      </c>
      <c r="P645" s="15"/>
      <c r="Q645" s="8">
        <v>2025.0</v>
      </c>
      <c r="R645" s="8" t="s">
        <v>1933</v>
      </c>
    </row>
    <row r="646">
      <c r="A646" s="4" t="s">
        <v>18</v>
      </c>
      <c r="B646" s="2" t="s">
        <v>2312</v>
      </c>
      <c r="C646" s="5">
        <v>45910.0</v>
      </c>
      <c r="D646" s="5">
        <v>45910.0</v>
      </c>
      <c r="E646" s="4" t="s">
        <v>2313</v>
      </c>
      <c r="F646" s="9"/>
      <c r="G646" s="11">
        <v>1620.0</v>
      </c>
      <c r="H646" s="6"/>
      <c r="I646" s="7" t="s">
        <v>2314</v>
      </c>
      <c r="K646" s="2" t="s">
        <v>113</v>
      </c>
      <c r="M646" s="2" t="s">
        <v>114</v>
      </c>
      <c r="N646" s="2" t="s">
        <v>1800</v>
      </c>
      <c r="O646" s="2">
        <v>1.10751038E8</v>
      </c>
      <c r="P646" s="15"/>
      <c r="Q646" s="8">
        <v>2025.0</v>
      </c>
      <c r="R646" s="8" t="s">
        <v>1933</v>
      </c>
    </row>
    <row r="647">
      <c r="A647" s="4" t="s">
        <v>18</v>
      </c>
      <c r="B647" s="2" t="s">
        <v>2315</v>
      </c>
      <c r="C647" s="5">
        <v>45910.0</v>
      </c>
      <c r="D647" s="5">
        <v>45910.0</v>
      </c>
      <c r="E647" s="4" t="s">
        <v>2316</v>
      </c>
      <c r="F647" s="9"/>
      <c r="G647" s="6"/>
      <c r="H647" s="11">
        <v>1040.0</v>
      </c>
      <c r="I647" s="7" t="s">
        <v>2317</v>
      </c>
      <c r="K647" s="12" t="str">
        <f t="shared" ref="K647:K655" si="61">RIGHT(E647,6)</f>
        <v>UN3668</v>
      </c>
      <c r="L647" s="2" t="s">
        <v>2318</v>
      </c>
      <c r="M647" s="2" t="s">
        <v>24</v>
      </c>
      <c r="N647" s="2" t="s">
        <v>60</v>
      </c>
      <c r="O647" s="2">
        <v>1.10751038E8</v>
      </c>
      <c r="P647" s="15"/>
      <c r="Q647" s="8">
        <v>2025.0</v>
      </c>
      <c r="R647" s="8" t="s">
        <v>1933</v>
      </c>
    </row>
    <row r="648">
      <c r="A648" s="4" t="s">
        <v>18</v>
      </c>
      <c r="B648" s="2" t="s">
        <v>2319</v>
      </c>
      <c r="C648" s="5">
        <v>45910.0</v>
      </c>
      <c r="D648" s="5">
        <v>45910.0</v>
      </c>
      <c r="E648" s="4" t="s">
        <v>2320</v>
      </c>
      <c r="F648" s="9"/>
      <c r="G648" s="6"/>
      <c r="H648" s="7">
        <v>150.0</v>
      </c>
      <c r="I648" s="7" t="s">
        <v>2321</v>
      </c>
      <c r="K648" s="12" t="str">
        <f t="shared" si="61"/>
        <v>SC3567</v>
      </c>
      <c r="L648" s="2" t="s">
        <v>2322</v>
      </c>
      <c r="M648" s="2" t="s">
        <v>24</v>
      </c>
      <c r="N648" s="2" t="s">
        <v>60</v>
      </c>
      <c r="O648" s="2">
        <v>1.10751038E8</v>
      </c>
      <c r="P648" s="15"/>
      <c r="Q648" s="8">
        <v>2025.0</v>
      </c>
      <c r="R648" s="8" t="s">
        <v>1933</v>
      </c>
    </row>
    <row r="649">
      <c r="A649" s="4" t="s">
        <v>18</v>
      </c>
      <c r="B649" s="2" t="s">
        <v>2323</v>
      </c>
      <c r="C649" s="5">
        <v>45910.0</v>
      </c>
      <c r="D649" s="5">
        <v>45910.0</v>
      </c>
      <c r="E649" s="4" t="s">
        <v>2324</v>
      </c>
      <c r="F649" s="9"/>
      <c r="G649" s="6"/>
      <c r="H649" s="7">
        <v>400.0</v>
      </c>
      <c r="I649" s="7" t="s">
        <v>2325</v>
      </c>
      <c r="K649" s="12" t="str">
        <f t="shared" si="61"/>
        <v>UN3668</v>
      </c>
      <c r="L649" s="2" t="s">
        <v>2326</v>
      </c>
      <c r="M649" s="2" t="s">
        <v>24</v>
      </c>
      <c r="N649" s="2" t="s">
        <v>60</v>
      </c>
      <c r="O649" s="2">
        <v>1.10751038E8</v>
      </c>
      <c r="P649" s="15"/>
      <c r="Q649" s="8">
        <v>2025.0</v>
      </c>
      <c r="R649" s="8" t="s">
        <v>1933</v>
      </c>
    </row>
    <row r="650">
      <c r="A650" s="4" t="s">
        <v>18</v>
      </c>
      <c r="B650" s="2" t="s">
        <v>2327</v>
      </c>
      <c r="C650" s="5">
        <v>45910.0</v>
      </c>
      <c r="D650" s="5">
        <v>45910.0</v>
      </c>
      <c r="E650" s="4" t="s">
        <v>2328</v>
      </c>
      <c r="F650" s="9"/>
      <c r="G650" s="6"/>
      <c r="H650" s="7">
        <v>697.0</v>
      </c>
      <c r="I650" s="7" t="s">
        <v>2329</v>
      </c>
      <c r="K650" s="12" t="str">
        <f t="shared" si="61"/>
        <v>UN3668</v>
      </c>
      <c r="L650" s="2" t="s">
        <v>2330</v>
      </c>
      <c r="M650" s="2" t="s">
        <v>24</v>
      </c>
      <c r="N650" s="2" t="s">
        <v>60</v>
      </c>
      <c r="O650" s="2">
        <v>1.10751038E8</v>
      </c>
      <c r="P650" s="15"/>
      <c r="Q650" s="8">
        <v>2025.0</v>
      </c>
      <c r="R650" s="8" t="s">
        <v>1933</v>
      </c>
    </row>
    <row r="651">
      <c r="A651" s="4" t="s">
        <v>18</v>
      </c>
      <c r="B651" s="2" t="s">
        <v>2331</v>
      </c>
      <c r="C651" s="5">
        <v>45910.0</v>
      </c>
      <c r="D651" s="5">
        <v>45910.0</v>
      </c>
      <c r="E651" s="4" t="s">
        <v>2332</v>
      </c>
      <c r="F651" s="9"/>
      <c r="G651" s="6"/>
      <c r="H651" s="7">
        <v>445.0</v>
      </c>
      <c r="I651" s="7" t="s">
        <v>2333</v>
      </c>
      <c r="K651" s="12" t="str">
        <f t="shared" si="61"/>
        <v>SC3567</v>
      </c>
      <c r="M651" s="2" t="s">
        <v>24</v>
      </c>
      <c r="N651" s="2" t="s">
        <v>60</v>
      </c>
      <c r="O651" s="2">
        <v>1.10751038E8</v>
      </c>
      <c r="P651" s="15" t="str">
        <f>IFERROR(__xludf.DUMMYFUNCTION("CONCATENATE(B651,"", "", to_text(D651),"", "", E651,"", "", H651)"),"TSV-09-0110, 10-Sep-2025, UPI/CR/525320468874/Mrs USHA/CBIN/urvishi/SC3567, 445")</f>
        <v>TSV-09-0110, 10-Sep-2025, UPI/CR/525320468874/Mrs USHA/CBIN/urvishi/SC3567, 445</v>
      </c>
      <c r="Q651" s="8">
        <v>2025.0</v>
      </c>
      <c r="R651" s="8" t="s">
        <v>1933</v>
      </c>
    </row>
    <row r="652">
      <c r="A652" s="4" t="s">
        <v>18</v>
      </c>
      <c r="B652" s="2" t="s">
        <v>2334</v>
      </c>
      <c r="C652" s="5">
        <v>45910.0</v>
      </c>
      <c r="D652" s="5">
        <v>45910.0</v>
      </c>
      <c r="E652" s="4" t="s">
        <v>2335</v>
      </c>
      <c r="F652" s="9"/>
      <c r="G652" s="6"/>
      <c r="H652" s="7">
        <v>143.0</v>
      </c>
      <c r="I652" s="7" t="s">
        <v>2336</v>
      </c>
      <c r="K652" s="12" t="str">
        <f t="shared" si="61"/>
        <v>UN3668</v>
      </c>
      <c r="L652" s="2" t="s">
        <v>2337</v>
      </c>
      <c r="M652" s="2" t="s">
        <v>24</v>
      </c>
      <c r="N652" s="2" t="s">
        <v>60</v>
      </c>
      <c r="O652" s="2">
        <v>1.10751038E8</v>
      </c>
      <c r="P652" s="15"/>
      <c r="Q652" s="8">
        <v>2025.0</v>
      </c>
      <c r="R652" s="8" t="s">
        <v>1933</v>
      </c>
    </row>
    <row r="653">
      <c r="A653" s="4" t="s">
        <v>18</v>
      </c>
      <c r="B653" s="2" t="s">
        <v>2338</v>
      </c>
      <c r="C653" s="5">
        <v>45910.0</v>
      </c>
      <c r="D653" s="5">
        <v>45910.0</v>
      </c>
      <c r="E653" s="4" t="s">
        <v>2339</v>
      </c>
      <c r="F653" s="9"/>
      <c r="G653" s="6"/>
      <c r="H653" s="11">
        <v>1112.0</v>
      </c>
      <c r="I653" s="7" t="s">
        <v>2340</v>
      </c>
      <c r="K653" s="12" t="str">
        <f t="shared" si="61"/>
        <v>SC3567</v>
      </c>
      <c r="M653" s="2" t="s">
        <v>24</v>
      </c>
      <c r="N653" s="2" t="s">
        <v>60</v>
      </c>
      <c r="O653" s="2">
        <v>1.10751038E8</v>
      </c>
      <c r="P653" s="15" t="str">
        <f>IFERROR(__xludf.DUMMYFUNCTION("CONCATENATE(B653,"", "", to_text(D653),"", "", E653,"", "", H653)"),"TSV-09-0112, 10-Sep-2025, UPI/CR/561902418479/SARANSH /UTIB/saransh/SC3567, 1112")</f>
        <v>TSV-09-0112, 10-Sep-2025, UPI/CR/561902418479/SARANSH /UTIB/saransh/SC3567, 1112</v>
      </c>
      <c r="Q653" s="8">
        <v>2025.0</v>
      </c>
      <c r="R653" s="8" t="s">
        <v>1933</v>
      </c>
    </row>
    <row r="654">
      <c r="A654" s="4" t="s">
        <v>18</v>
      </c>
      <c r="B654" s="2" t="s">
        <v>2341</v>
      </c>
      <c r="C654" s="5">
        <v>45910.0</v>
      </c>
      <c r="D654" s="5">
        <v>45910.0</v>
      </c>
      <c r="E654" s="4" t="s">
        <v>2342</v>
      </c>
      <c r="F654" s="9"/>
      <c r="G654" s="6"/>
      <c r="H654" s="7">
        <v>840.0</v>
      </c>
      <c r="I654" s="7" t="s">
        <v>2343</v>
      </c>
      <c r="K654" s="12" t="str">
        <f t="shared" si="61"/>
        <v>KN3817</v>
      </c>
      <c r="L654" s="2" t="s">
        <v>2344</v>
      </c>
      <c r="M654" s="2" t="s">
        <v>24</v>
      </c>
      <c r="N654" s="2" t="s">
        <v>60</v>
      </c>
      <c r="O654" s="2">
        <v>1.10751038E8</v>
      </c>
      <c r="P654" s="15"/>
      <c r="Q654" s="8">
        <v>2025.0</v>
      </c>
      <c r="R654" s="8" t="s">
        <v>1933</v>
      </c>
    </row>
    <row r="655">
      <c r="A655" s="4" t="s">
        <v>18</v>
      </c>
      <c r="B655" s="2" t="s">
        <v>2345</v>
      </c>
      <c r="C655" s="5">
        <v>45910.0</v>
      </c>
      <c r="D655" s="5">
        <v>45910.0</v>
      </c>
      <c r="E655" s="4" t="s">
        <v>2346</v>
      </c>
      <c r="F655" s="9"/>
      <c r="G655" s="6"/>
      <c r="H655" s="7">
        <v>600.0</v>
      </c>
      <c r="I655" s="7" t="s">
        <v>2347</v>
      </c>
      <c r="K655" s="12" t="str">
        <f t="shared" si="61"/>
        <v>KN3817</v>
      </c>
      <c r="L655" s="2" t="s">
        <v>2348</v>
      </c>
      <c r="M655" s="2" t="s">
        <v>24</v>
      </c>
      <c r="N655" s="2" t="s">
        <v>60</v>
      </c>
      <c r="O655" s="2">
        <v>1.10751038E8</v>
      </c>
      <c r="P655" s="15"/>
      <c r="Q655" s="8">
        <v>2025.0</v>
      </c>
      <c r="R655" s="8" t="s">
        <v>1933</v>
      </c>
    </row>
    <row r="656">
      <c r="A656" s="4" t="s">
        <v>18</v>
      </c>
      <c r="B656" s="2" t="s">
        <v>2349</v>
      </c>
      <c r="C656" s="5">
        <v>45910.0</v>
      </c>
      <c r="D656" s="5">
        <v>45910.0</v>
      </c>
      <c r="E656" s="4" t="s">
        <v>2350</v>
      </c>
      <c r="F656" s="9"/>
      <c r="G656" s="11">
        <v>2446.0</v>
      </c>
      <c r="H656" s="6"/>
      <c r="I656" s="7" t="s">
        <v>2351</v>
      </c>
      <c r="J656" s="2" t="s">
        <v>2352</v>
      </c>
      <c r="K656" s="2" t="s">
        <v>113</v>
      </c>
      <c r="M656" s="2" t="s">
        <v>114</v>
      </c>
      <c r="N656" s="2" t="s">
        <v>169</v>
      </c>
      <c r="O656" s="2">
        <v>1.10751038E8</v>
      </c>
      <c r="P656" s="15"/>
      <c r="Q656" s="8">
        <v>2025.0</v>
      </c>
      <c r="R656" s="8" t="s">
        <v>1933</v>
      </c>
    </row>
    <row r="657">
      <c r="A657" s="4" t="s">
        <v>18</v>
      </c>
      <c r="B657" s="2" t="s">
        <v>2353</v>
      </c>
      <c r="C657" s="5">
        <v>45910.0</v>
      </c>
      <c r="D657" s="5">
        <v>45910.0</v>
      </c>
      <c r="E657" s="4" t="s">
        <v>2354</v>
      </c>
      <c r="F657" s="9"/>
      <c r="G657" s="11">
        <v>18265.0</v>
      </c>
      <c r="H657" s="6"/>
      <c r="I657" s="7" t="s">
        <v>2355</v>
      </c>
      <c r="J657" s="2" t="s">
        <v>2356</v>
      </c>
      <c r="K657" s="2" t="s">
        <v>127</v>
      </c>
      <c r="M657" s="2" t="s">
        <v>114</v>
      </c>
      <c r="N657" s="2" t="s">
        <v>169</v>
      </c>
      <c r="O657" s="2">
        <v>1.10751038E8</v>
      </c>
      <c r="P657" s="15"/>
      <c r="Q657" s="8">
        <v>2025.0</v>
      </c>
      <c r="R657" s="8" t="s">
        <v>1933</v>
      </c>
    </row>
    <row r="658">
      <c r="A658" s="4" t="s">
        <v>18</v>
      </c>
      <c r="B658" s="2" t="s">
        <v>2357</v>
      </c>
      <c r="C658" s="5">
        <v>45910.0</v>
      </c>
      <c r="D658" s="5">
        <v>45910.0</v>
      </c>
      <c r="E658" s="4" t="s">
        <v>2358</v>
      </c>
      <c r="F658" s="9"/>
      <c r="G658" s="6"/>
      <c r="H658" s="7">
        <v>626.0</v>
      </c>
      <c r="I658" s="7" t="s">
        <v>2359</v>
      </c>
      <c r="K658" s="12" t="str">
        <f t="shared" ref="K658:K665" si="62">RIGHT(E658,6)</f>
        <v>SC3567</v>
      </c>
      <c r="L658" s="2" t="s">
        <v>2360</v>
      </c>
      <c r="M658" s="2" t="s">
        <v>24</v>
      </c>
      <c r="N658" s="2" t="s">
        <v>60</v>
      </c>
      <c r="O658" s="2">
        <v>1.10751038E8</v>
      </c>
      <c r="P658" s="15"/>
      <c r="Q658" s="8">
        <v>2025.0</v>
      </c>
      <c r="R658" s="8" t="s">
        <v>1933</v>
      </c>
    </row>
    <row r="659">
      <c r="A659" s="4" t="s">
        <v>18</v>
      </c>
      <c r="B659" s="2" t="s">
        <v>2361</v>
      </c>
      <c r="C659" s="5">
        <v>45911.0</v>
      </c>
      <c r="D659" s="5">
        <v>45911.0</v>
      </c>
      <c r="E659" s="4" t="s">
        <v>2362</v>
      </c>
      <c r="F659" s="9"/>
      <c r="G659" s="6"/>
      <c r="H659" s="7">
        <v>533.0</v>
      </c>
      <c r="I659" s="7" t="s">
        <v>2363</v>
      </c>
      <c r="K659" s="12" t="str">
        <f t="shared" si="62"/>
        <v>UN3668</v>
      </c>
      <c r="L659" s="2" t="s">
        <v>2364</v>
      </c>
      <c r="M659" s="2" t="s">
        <v>24</v>
      </c>
      <c r="N659" s="2" t="s">
        <v>60</v>
      </c>
      <c r="O659" s="2">
        <v>1.10751038E8</v>
      </c>
      <c r="P659" s="15"/>
      <c r="Q659" s="8">
        <v>2025.0</v>
      </c>
      <c r="R659" s="8" t="s">
        <v>1933</v>
      </c>
    </row>
    <row r="660">
      <c r="A660" s="4" t="s">
        <v>18</v>
      </c>
      <c r="B660" s="2" t="s">
        <v>2365</v>
      </c>
      <c r="C660" s="5">
        <v>45911.0</v>
      </c>
      <c r="D660" s="5">
        <v>45911.0</v>
      </c>
      <c r="E660" s="4" t="s">
        <v>2366</v>
      </c>
      <c r="F660" s="9"/>
      <c r="G660" s="6"/>
      <c r="H660" s="11">
        <v>1248.0</v>
      </c>
      <c r="I660" s="7" t="s">
        <v>2367</v>
      </c>
      <c r="K660" s="12" t="str">
        <f t="shared" si="62"/>
        <v>UN3668</v>
      </c>
      <c r="L660" s="2" t="s">
        <v>2368</v>
      </c>
      <c r="M660" s="2" t="s">
        <v>24</v>
      </c>
      <c r="N660" s="2" t="s">
        <v>60</v>
      </c>
      <c r="O660" s="2">
        <v>1.10751038E8</v>
      </c>
      <c r="P660" s="15"/>
      <c r="Q660" s="8">
        <v>2025.0</v>
      </c>
      <c r="R660" s="8" t="s">
        <v>1933</v>
      </c>
    </row>
    <row r="661">
      <c r="A661" s="4" t="s">
        <v>18</v>
      </c>
      <c r="B661" s="2" t="s">
        <v>2369</v>
      </c>
      <c r="C661" s="5">
        <v>45911.0</v>
      </c>
      <c r="D661" s="5">
        <v>45911.0</v>
      </c>
      <c r="E661" s="4" t="s">
        <v>2370</v>
      </c>
      <c r="F661" s="9"/>
      <c r="G661" s="6"/>
      <c r="H661" s="7">
        <v>412.0</v>
      </c>
      <c r="I661" s="7" t="s">
        <v>2371</v>
      </c>
      <c r="K661" s="12" t="str">
        <f t="shared" si="62"/>
        <v>UN3668</v>
      </c>
      <c r="L661" s="2" t="s">
        <v>2372</v>
      </c>
      <c r="M661" s="2" t="s">
        <v>24</v>
      </c>
      <c r="N661" s="2" t="s">
        <v>60</v>
      </c>
      <c r="O661" s="2">
        <v>1.10751038E8</v>
      </c>
      <c r="P661" s="15"/>
      <c r="Q661" s="8">
        <v>2025.0</v>
      </c>
      <c r="R661" s="8" t="s">
        <v>1933</v>
      </c>
    </row>
    <row r="662">
      <c r="A662" s="4" t="s">
        <v>18</v>
      </c>
      <c r="B662" s="2" t="s">
        <v>2373</v>
      </c>
      <c r="C662" s="5">
        <v>45911.0</v>
      </c>
      <c r="D662" s="5">
        <v>45911.0</v>
      </c>
      <c r="E662" s="4" t="s">
        <v>2374</v>
      </c>
      <c r="F662" s="9"/>
      <c r="G662" s="6"/>
      <c r="H662" s="7">
        <v>396.0</v>
      </c>
      <c r="I662" s="7" t="s">
        <v>2375</v>
      </c>
      <c r="K662" s="12" t="str">
        <f t="shared" si="62"/>
        <v>SC3567</v>
      </c>
      <c r="L662" s="2" t="s">
        <v>2376</v>
      </c>
      <c r="M662" s="2" t="s">
        <v>24</v>
      </c>
      <c r="N662" s="2" t="s">
        <v>60</v>
      </c>
      <c r="O662" s="2">
        <v>1.10751038E8</v>
      </c>
      <c r="P662" s="15"/>
      <c r="Q662" s="8">
        <v>2025.0</v>
      </c>
      <c r="R662" s="8" t="s">
        <v>1933</v>
      </c>
    </row>
    <row r="663">
      <c r="A663" s="4" t="s">
        <v>18</v>
      </c>
      <c r="B663" s="2" t="s">
        <v>2377</v>
      </c>
      <c r="C663" s="5">
        <v>45911.0</v>
      </c>
      <c r="D663" s="5">
        <v>45911.0</v>
      </c>
      <c r="E663" s="4" t="s">
        <v>2378</v>
      </c>
      <c r="F663" s="9"/>
      <c r="G663" s="6"/>
      <c r="H663" s="7">
        <v>700.0</v>
      </c>
      <c r="I663" s="7" t="s">
        <v>2379</v>
      </c>
      <c r="K663" s="12" t="str">
        <f t="shared" si="62"/>
        <v>UN3668</v>
      </c>
      <c r="L663" s="2" t="s">
        <v>2380</v>
      </c>
      <c r="M663" s="2" t="s">
        <v>24</v>
      </c>
      <c r="N663" s="2" t="s">
        <v>60</v>
      </c>
      <c r="O663" s="2">
        <v>1.10751038E8</v>
      </c>
      <c r="P663" s="15"/>
      <c r="Q663" s="8">
        <v>2025.0</v>
      </c>
      <c r="R663" s="8" t="s">
        <v>1933</v>
      </c>
    </row>
    <row r="664">
      <c r="A664" s="4" t="s">
        <v>18</v>
      </c>
      <c r="B664" s="2" t="s">
        <v>2381</v>
      </c>
      <c r="C664" s="5">
        <v>45911.0</v>
      </c>
      <c r="D664" s="5">
        <v>45911.0</v>
      </c>
      <c r="E664" s="4" t="s">
        <v>2382</v>
      </c>
      <c r="F664" s="9"/>
      <c r="G664" s="6"/>
      <c r="H664" s="7">
        <v>120.0</v>
      </c>
      <c r="I664" s="7" t="s">
        <v>2383</v>
      </c>
      <c r="K664" s="12" t="str">
        <f t="shared" si="62"/>
        <v>UN3668</v>
      </c>
      <c r="L664" s="2" t="s">
        <v>2384</v>
      </c>
      <c r="M664" s="2" t="s">
        <v>24</v>
      </c>
      <c r="N664" s="2" t="s">
        <v>60</v>
      </c>
      <c r="O664" s="2">
        <v>1.10751038E8</v>
      </c>
      <c r="P664" s="15"/>
      <c r="Q664" s="8">
        <v>2025.0</v>
      </c>
      <c r="R664" s="8" t="s">
        <v>1933</v>
      </c>
    </row>
    <row r="665">
      <c r="A665" s="4" t="s">
        <v>18</v>
      </c>
      <c r="B665" s="2" t="s">
        <v>2385</v>
      </c>
      <c r="C665" s="5">
        <v>45911.0</v>
      </c>
      <c r="D665" s="5">
        <v>45911.0</v>
      </c>
      <c r="E665" s="4" t="s">
        <v>2386</v>
      </c>
      <c r="F665" s="9"/>
      <c r="G665" s="6"/>
      <c r="H665" s="7">
        <v>396.0</v>
      </c>
      <c r="I665" s="7" t="s">
        <v>2387</v>
      </c>
      <c r="K665" s="12" t="str">
        <f t="shared" si="62"/>
        <v>UN3668</v>
      </c>
      <c r="L665" s="2" t="s">
        <v>2388</v>
      </c>
      <c r="M665" s="2" t="s">
        <v>24</v>
      </c>
      <c r="N665" s="2" t="s">
        <v>60</v>
      </c>
      <c r="O665" s="2">
        <v>1.10751038E8</v>
      </c>
      <c r="P665" s="15"/>
      <c r="Q665" s="8">
        <v>2025.0</v>
      </c>
      <c r="R665" s="8" t="s">
        <v>1933</v>
      </c>
    </row>
    <row r="666">
      <c r="A666" s="4" t="s">
        <v>18</v>
      </c>
      <c r="B666" s="2" t="s">
        <v>2389</v>
      </c>
      <c r="C666" s="5">
        <v>45912.0</v>
      </c>
      <c r="D666" s="5">
        <v>45912.0</v>
      </c>
      <c r="E666" s="4" t="s">
        <v>2390</v>
      </c>
      <c r="F666" s="9"/>
      <c r="G666" s="11">
        <v>1340.32</v>
      </c>
      <c r="H666" s="6"/>
      <c r="I666" s="7" t="s">
        <v>2391</v>
      </c>
      <c r="K666" s="2" t="s">
        <v>119</v>
      </c>
      <c r="M666" s="2" t="s">
        <v>114</v>
      </c>
      <c r="N666" s="2" t="s">
        <v>275</v>
      </c>
      <c r="O666" s="2">
        <v>1.10751038E8</v>
      </c>
      <c r="Q666" s="8">
        <v>2025.0</v>
      </c>
      <c r="R666" s="8" t="s">
        <v>1933</v>
      </c>
    </row>
    <row r="667">
      <c r="A667" s="4" t="s">
        <v>18</v>
      </c>
      <c r="B667" s="2" t="s">
        <v>2392</v>
      </c>
      <c r="C667" s="5">
        <v>45912.0</v>
      </c>
      <c r="D667" s="5">
        <v>45912.0</v>
      </c>
      <c r="E667" s="4" t="s">
        <v>2393</v>
      </c>
      <c r="F667" s="9"/>
      <c r="G667" s="7">
        <v>439.4</v>
      </c>
      <c r="H667" s="6"/>
      <c r="I667" s="7" t="s">
        <v>2394</v>
      </c>
      <c r="K667" s="12" t="str">
        <f t="shared" ref="K667:K668" si="63">RIGHT(E667,6)</f>
        <v>SC3567</v>
      </c>
      <c r="M667" s="2" t="s">
        <v>114</v>
      </c>
      <c r="N667" s="2" t="s">
        <v>2395</v>
      </c>
      <c r="O667" s="2">
        <v>1.10751038E8</v>
      </c>
      <c r="Q667" s="8">
        <v>2025.0</v>
      </c>
      <c r="R667" s="8" t="s">
        <v>1933</v>
      </c>
    </row>
    <row r="668">
      <c r="A668" s="4" t="s">
        <v>18</v>
      </c>
      <c r="B668" s="2" t="s">
        <v>2396</v>
      </c>
      <c r="C668" s="5">
        <v>45912.0</v>
      </c>
      <c r="D668" s="5">
        <v>45912.0</v>
      </c>
      <c r="E668" s="4" t="s">
        <v>2397</v>
      </c>
      <c r="F668" s="9"/>
      <c r="G668" s="6"/>
      <c r="H668" s="7">
        <v>349.0</v>
      </c>
      <c r="I668" s="7" t="s">
        <v>2398</v>
      </c>
      <c r="K668" s="12" t="str">
        <f t="shared" si="63"/>
        <v>SL1610</v>
      </c>
      <c r="L668" s="2" t="s">
        <v>2399</v>
      </c>
      <c r="M668" s="2" t="s">
        <v>24</v>
      </c>
      <c r="N668" s="2" t="s">
        <v>60</v>
      </c>
      <c r="O668" s="2">
        <v>1.10751038E8</v>
      </c>
      <c r="P668" s="15"/>
      <c r="Q668" s="8">
        <v>2025.0</v>
      </c>
      <c r="R668" s="8" t="s">
        <v>1933</v>
      </c>
    </row>
    <row r="669">
      <c r="A669" s="4" t="s">
        <v>18</v>
      </c>
      <c r="B669" s="2" t="s">
        <v>2400</v>
      </c>
      <c r="C669" s="5">
        <v>45912.0</v>
      </c>
      <c r="D669" s="5">
        <v>45912.0</v>
      </c>
      <c r="E669" s="4" t="s">
        <v>2401</v>
      </c>
      <c r="F669" s="9"/>
      <c r="G669" s="11">
        <v>1620.0</v>
      </c>
      <c r="H669" s="6"/>
      <c r="I669" s="7" t="s">
        <v>2402</v>
      </c>
      <c r="K669" s="2" t="s">
        <v>123</v>
      </c>
      <c r="M669" s="2" t="s">
        <v>114</v>
      </c>
      <c r="N669" s="2" t="s">
        <v>1800</v>
      </c>
      <c r="O669" s="2">
        <v>1.10751038E8</v>
      </c>
      <c r="Q669" s="8">
        <v>2025.0</v>
      </c>
      <c r="R669" s="8" t="s">
        <v>1933</v>
      </c>
    </row>
    <row r="670">
      <c r="A670" s="4" t="s">
        <v>18</v>
      </c>
      <c r="B670" s="2" t="s">
        <v>2403</v>
      </c>
      <c r="C670" s="5">
        <v>45912.0</v>
      </c>
      <c r="D670" s="5">
        <v>45912.0</v>
      </c>
      <c r="E670" s="4" t="s">
        <v>2404</v>
      </c>
      <c r="F670" s="9"/>
      <c r="G670" s="11">
        <v>9323.0</v>
      </c>
      <c r="H670" s="6"/>
      <c r="I670" s="7" t="s">
        <v>2405</v>
      </c>
      <c r="J670" s="2" t="s">
        <v>2406</v>
      </c>
      <c r="K670" s="2" t="s">
        <v>123</v>
      </c>
      <c r="M670" s="2" t="s">
        <v>114</v>
      </c>
      <c r="N670" s="2" t="s">
        <v>169</v>
      </c>
      <c r="O670" s="2">
        <v>1.10751038E8</v>
      </c>
      <c r="Q670" s="8">
        <v>2025.0</v>
      </c>
      <c r="R670" s="8" t="s">
        <v>1933</v>
      </c>
    </row>
    <row r="671">
      <c r="A671" s="4" t="s">
        <v>18</v>
      </c>
      <c r="B671" s="2" t="s">
        <v>2407</v>
      </c>
      <c r="C671" s="5">
        <v>45912.0</v>
      </c>
      <c r="D671" s="5">
        <v>45912.0</v>
      </c>
      <c r="E671" s="4" t="s">
        <v>2408</v>
      </c>
      <c r="F671" s="9"/>
      <c r="G671" s="6"/>
      <c r="H671" s="11">
        <v>5852.0</v>
      </c>
      <c r="I671" s="7" t="s">
        <v>2409</v>
      </c>
      <c r="K671" s="12" t="str">
        <f t="shared" ref="K671:K681" si="64">RIGHT(E671,6)</f>
        <v>SC3567</v>
      </c>
      <c r="L671" s="2" t="s">
        <v>2410</v>
      </c>
      <c r="M671" s="2" t="s">
        <v>24</v>
      </c>
      <c r="N671" s="2" t="s">
        <v>60</v>
      </c>
      <c r="O671" s="2">
        <v>1.10751038E8</v>
      </c>
      <c r="P671" s="15"/>
      <c r="Q671" s="8">
        <v>2025.0</v>
      </c>
      <c r="R671" s="8" t="s">
        <v>1933</v>
      </c>
    </row>
    <row r="672">
      <c r="A672" s="4" t="s">
        <v>18</v>
      </c>
      <c r="B672" s="2" t="s">
        <v>2411</v>
      </c>
      <c r="C672" s="5">
        <v>45912.0</v>
      </c>
      <c r="D672" s="5">
        <v>45912.0</v>
      </c>
      <c r="E672" s="4" t="s">
        <v>2412</v>
      </c>
      <c r="F672" s="9"/>
      <c r="G672" s="6"/>
      <c r="H672" s="7">
        <v>250.0</v>
      </c>
      <c r="I672" s="7" t="s">
        <v>2413</v>
      </c>
      <c r="K672" s="12" t="str">
        <f t="shared" si="64"/>
        <v>UN3668</v>
      </c>
      <c r="L672" s="2" t="s">
        <v>2414</v>
      </c>
      <c r="M672" s="2" t="s">
        <v>24</v>
      </c>
      <c r="N672" s="2" t="s">
        <v>60</v>
      </c>
      <c r="O672" s="2">
        <v>1.10751038E8</v>
      </c>
      <c r="P672" s="15"/>
      <c r="Q672" s="8">
        <v>2025.0</v>
      </c>
      <c r="R672" s="8" t="s">
        <v>1933</v>
      </c>
    </row>
    <row r="673">
      <c r="A673" s="4" t="s">
        <v>18</v>
      </c>
      <c r="B673" s="2" t="s">
        <v>2415</v>
      </c>
      <c r="C673" s="5">
        <v>45912.0</v>
      </c>
      <c r="D673" s="5">
        <v>45912.0</v>
      </c>
      <c r="E673" s="4" t="s">
        <v>2416</v>
      </c>
      <c r="F673" s="9"/>
      <c r="G673" s="6"/>
      <c r="H673" s="7">
        <v>400.0</v>
      </c>
      <c r="I673" s="7" t="s">
        <v>2417</v>
      </c>
      <c r="K673" s="12" t="str">
        <f t="shared" si="64"/>
        <v>KN3817</v>
      </c>
      <c r="L673" s="2" t="s">
        <v>1955</v>
      </c>
      <c r="M673" s="2" t="s">
        <v>24</v>
      </c>
      <c r="N673" s="2" t="s">
        <v>60</v>
      </c>
      <c r="O673" s="2">
        <v>1.10751038E8</v>
      </c>
      <c r="P673" s="15"/>
      <c r="Q673" s="8">
        <v>2025.0</v>
      </c>
      <c r="R673" s="8" t="s">
        <v>1933</v>
      </c>
    </row>
    <row r="674">
      <c r="A674" s="4" t="s">
        <v>18</v>
      </c>
      <c r="B674" s="2" t="s">
        <v>2418</v>
      </c>
      <c r="C674" s="5">
        <v>45912.0</v>
      </c>
      <c r="D674" s="5">
        <v>45912.0</v>
      </c>
      <c r="E674" s="4" t="s">
        <v>2419</v>
      </c>
      <c r="F674" s="9"/>
      <c r="G674" s="6"/>
      <c r="H674" s="7">
        <v>210.0</v>
      </c>
      <c r="I674" s="7" t="s">
        <v>2420</v>
      </c>
      <c r="K674" s="12" t="str">
        <f t="shared" si="64"/>
        <v>UN3668</v>
      </c>
      <c r="L674" s="2" t="s">
        <v>2421</v>
      </c>
      <c r="M674" s="2" t="s">
        <v>24</v>
      </c>
      <c r="N674" s="2" t="s">
        <v>60</v>
      </c>
      <c r="O674" s="2">
        <v>1.10751038E8</v>
      </c>
      <c r="P674" s="15"/>
      <c r="Q674" s="8">
        <v>2025.0</v>
      </c>
      <c r="R674" s="8" t="s">
        <v>1933</v>
      </c>
    </row>
    <row r="675">
      <c r="A675" s="4" t="s">
        <v>18</v>
      </c>
      <c r="B675" s="2" t="s">
        <v>2422</v>
      </c>
      <c r="C675" s="5">
        <v>45913.0</v>
      </c>
      <c r="D675" s="5">
        <v>45913.0</v>
      </c>
      <c r="E675" s="4" t="s">
        <v>2423</v>
      </c>
      <c r="F675" s="9"/>
      <c r="G675" s="6"/>
      <c r="H675" s="7">
        <v>55.0</v>
      </c>
      <c r="I675" s="7" t="s">
        <v>2424</v>
      </c>
      <c r="K675" s="12" t="str">
        <f t="shared" si="64"/>
        <v>SL1610</v>
      </c>
      <c r="L675" s="2" t="s">
        <v>1497</v>
      </c>
      <c r="M675" s="2" t="s">
        <v>24</v>
      </c>
      <c r="N675" s="2" t="s">
        <v>60</v>
      </c>
      <c r="O675" s="2">
        <v>1.10751038E8</v>
      </c>
      <c r="P675" s="15"/>
      <c r="Q675" s="8">
        <v>2025.0</v>
      </c>
      <c r="R675" s="8" t="s">
        <v>1933</v>
      </c>
    </row>
    <row r="676">
      <c r="A676" s="4" t="s">
        <v>18</v>
      </c>
      <c r="B676" s="2" t="s">
        <v>2425</v>
      </c>
      <c r="C676" s="5">
        <v>45913.0</v>
      </c>
      <c r="D676" s="5">
        <v>45913.0</v>
      </c>
      <c r="E676" s="4" t="s">
        <v>2426</v>
      </c>
      <c r="F676" s="9"/>
      <c r="G676" s="6"/>
      <c r="H676" s="7">
        <v>210.0</v>
      </c>
      <c r="I676" s="7" t="s">
        <v>2427</v>
      </c>
      <c r="K676" s="12" t="str">
        <f t="shared" si="64"/>
        <v>SC3567</v>
      </c>
      <c r="L676" s="2" t="s">
        <v>2428</v>
      </c>
      <c r="M676" s="2" t="s">
        <v>24</v>
      </c>
      <c r="N676" s="2" t="s">
        <v>60</v>
      </c>
      <c r="O676" s="2">
        <v>1.10751038E8</v>
      </c>
      <c r="P676" s="15"/>
      <c r="Q676" s="8">
        <v>2025.0</v>
      </c>
      <c r="R676" s="8" t="s">
        <v>1933</v>
      </c>
    </row>
    <row r="677">
      <c r="A677" s="4" t="s">
        <v>18</v>
      </c>
      <c r="B677" s="2" t="s">
        <v>2429</v>
      </c>
      <c r="C677" s="5">
        <v>45913.0</v>
      </c>
      <c r="D677" s="5">
        <v>45913.0</v>
      </c>
      <c r="E677" s="4" t="s">
        <v>2430</v>
      </c>
      <c r="F677" s="9"/>
      <c r="G677" s="6"/>
      <c r="H677" s="7">
        <v>362.0</v>
      </c>
      <c r="I677" s="7" t="s">
        <v>2431</v>
      </c>
      <c r="K677" s="12" t="str">
        <f t="shared" si="64"/>
        <v>SC3567</v>
      </c>
      <c r="L677" s="2" t="s">
        <v>2432</v>
      </c>
      <c r="M677" s="2" t="s">
        <v>24</v>
      </c>
      <c r="N677" s="2" t="s">
        <v>60</v>
      </c>
      <c r="O677" s="2">
        <v>1.10751038E8</v>
      </c>
      <c r="P677" s="15"/>
      <c r="Q677" s="8">
        <v>2025.0</v>
      </c>
      <c r="R677" s="8" t="s">
        <v>1933</v>
      </c>
    </row>
    <row r="678">
      <c r="A678" s="4" t="s">
        <v>18</v>
      </c>
      <c r="B678" s="2" t="s">
        <v>2433</v>
      </c>
      <c r="C678" s="5">
        <v>45913.0</v>
      </c>
      <c r="D678" s="5">
        <v>45913.0</v>
      </c>
      <c r="E678" s="4" t="s">
        <v>2434</v>
      </c>
      <c r="F678" s="9"/>
      <c r="G678" s="6"/>
      <c r="H678" s="11">
        <v>1148.0</v>
      </c>
      <c r="I678" s="7" t="s">
        <v>2435</v>
      </c>
      <c r="K678" s="12" t="str">
        <f t="shared" si="64"/>
        <v>SC3567</v>
      </c>
      <c r="M678" s="2" t="s">
        <v>24</v>
      </c>
      <c r="N678" s="2" t="s">
        <v>60</v>
      </c>
      <c r="O678" s="2">
        <v>1.10751038E8</v>
      </c>
      <c r="P678" s="15" t="str">
        <f>IFERROR(__xludf.DUMMYFUNCTION("CONCATENATE(B678,"", "", to_text(D678),"", "", E678,"", "", H678)"),"TSV-09-0137, 13-Sep-2025, UPI/CR/185479068601/KANAK KU/HDFC/9741051/SC3567, 1148")</f>
        <v>TSV-09-0137, 13-Sep-2025, UPI/CR/185479068601/KANAK KU/HDFC/9741051/SC3567, 1148</v>
      </c>
      <c r="Q678" s="8">
        <v>2025.0</v>
      </c>
      <c r="R678" s="8" t="s">
        <v>1933</v>
      </c>
    </row>
    <row r="679">
      <c r="A679" s="4" t="s">
        <v>18</v>
      </c>
      <c r="B679" s="2" t="s">
        <v>2436</v>
      </c>
      <c r="C679" s="5">
        <v>45913.0</v>
      </c>
      <c r="D679" s="5">
        <v>45913.0</v>
      </c>
      <c r="E679" s="4" t="s">
        <v>2437</v>
      </c>
      <c r="F679" s="9"/>
      <c r="G679" s="6"/>
      <c r="H679" s="7">
        <v>150.0</v>
      </c>
      <c r="I679" s="7" t="s">
        <v>2438</v>
      </c>
      <c r="K679" s="12" t="str">
        <f t="shared" si="64"/>
        <v>SC3567</v>
      </c>
      <c r="L679" s="2" t="s">
        <v>2439</v>
      </c>
      <c r="M679" s="2" t="s">
        <v>24</v>
      </c>
      <c r="N679" s="2" t="s">
        <v>60</v>
      </c>
      <c r="O679" s="2">
        <v>1.10751038E8</v>
      </c>
      <c r="P679" s="15"/>
      <c r="Q679" s="8">
        <v>2025.0</v>
      </c>
      <c r="R679" s="8" t="s">
        <v>1933</v>
      </c>
    </row>
    <row r="680">
      <c r="A680" s="4" t="s">
        <v>18</v>
      </c>
      <c r="B680" s="2" t="s">
        <v>2440</v>
      </c>
      <c r="C680" s="5">
        <v>45913.0</v>
      </c>
      <c r="D680" s="5">
        <v>45913.0</v>
      </c>
      <c r="E680" s="4" t="s">
        <v>2441</v>
      </c>
      <c r="F680" s="9"/>
      <c r="G680" s="6"/>
      <c r="H680" s="7">
        <v>260.0</v>
      </c>
      <c r="I680" s="7" t="s">
        <v>2442</v>
      </c>
      <c r="K680" s="12" t="str">
        <f t="shared" si="64"/>
        <v>UN3668</v>
      </c>
      <c r="L680" s="2" t="s">
        <v>2443</v>
      </c>
      <c r="M680" s="2" t="s">
        <v>24</v>
      </c>
      <c r="N680" s="2" t="s">
        <v>60</v>
      </c>
      <c r="O680" s="2">
        <v>1.10751038E8</v>
      </c>
      <c r="P680" s="15"/>
      <c r="Q680" s="8">
        <v>2025.0</v>
      </c>
      <c r="R680" s="8" t="s">
        <v>1933</v>
      </c>
    </row>
    <row r="681">
      <c r="A681" s="4" t="s">
        <v>18</v>
      </c>
      <c r="B681" s="2" t="s">
        <v>2444</v>
      </c>
      <c r="C681" s="5">
        <v>45913.0</v>
      </c>
      <c r="D681" s="5">
        <v>45913.0</v>
      </c>
      <c r="E681" s="4" t="s">
        <v>2445</v>
      </c>
      <c r="F681" s="9"/>
      <c r="G681" s="6"/>
      <c r="H681" s="11">
        <v>1250.0</v>
      </c>
      <c r="I681" s="7" t="s">
        <v>2446</v>
      </c>
      <c r="K681" s="12" t="str">
        <f t="shared" si="64"/>
        <v>SL1610</v>
      </c>
      <c r="L681" s="2" t="s">
        <v>2447</v>
      </c>
      <c r="M681" s="2" t="s">
        <v>24</v>
      </c>
      <c r="N681" s="2" t="s">
        <v>60</v>
      </c>
      <c r="O681" s="2">
        <v>1.10751038E8</v>
      </c>
      <c r="P681" s="15"/>
      <c r="Q681" s="8">
        <v>2025.0</v>
      </c>
      <c r="R681" s="8" t="s">
        <v>1933</v>
      </c>
    </row>
    <row r="682">
      <c r="A682" s="4" t="s">
        <v>18</v>
      </c>
      <c r="B682" s="2" t="s">
        <v>2448</v>
      </c>
      <c r="C682" s="5">
        <v>45913.0</v>
      </c>
      <c r="D682" s="5">
        <v>45913.0</v>
      </c>
      <c r="E682" s="4" t="s">
        <v>2449</v>
      </c>
      <c r="F682" s="9"/>
      <c r="G682" s="11">
        <v>13250.0</v>
      </c>
      <c r="H682" s="6"/>
      <c r="I682" s="7" t="s">
        <v>2450</v>
      </c>
      <c r="K682" s="2" t="s">
        <v>119</v>
      </c>
      <c r="M682" s="2" t="s">
        <v>114</v>
      </c>
      <c r="N682" s="2" t="s">
        <v>220</v>
      </c>
      <c r="O682" s="2">
        <v>1.10751038E8</v>
      </c>
      <c r="P682" s="15"/>
      <c r="Q682" s="8">
        <v>2025.0</v>
      </c>
      <c r="R682" s="8" t="s">
        <v>1933</v>
      </c>
    </row>
    <row r="683">
      <c r="A683" s="4" t="s">
        <v>18</v>
      </c>
      <c r="B683" s="2" t="s">
        <v>2451</v>
      </c>
      <c r="C683" s="5">
        <v>45913.0</v>
      </c>
      <c r="D683" s="5">
        <v>45913.0</v>
      </c>
      <c r="E683" s="4" t="s">
        <v>2452</v>
      </c>
      <c r="F683" s="9"/>
      <c r="G683" s="6"/>
      <c r="H683" s="7">
        <v>556.0</v>
      </c>
      <c r="I683" s="7" t="s">
        <v>2453</v>
      </c>
      <c r="K683" s="12" t="str">
        <f t="shared" ref="K683:K706" si="65">RIGHT(E683,6)</f>
        <v>SL1610</v>
      </c>
      <c r="L683" s="2" t="s">
        <v>2454</v>
      </c>
      <c r="M683" s="2" t="s">
        <v>24</v>
      </c>
      <c r="N683" s="2" t="s">
        <v>60</v>
      </c>
      <c r="O683" s="2">
        <v>1.10751038E8</v>
      </c>
      <c r="P683" s="15"/>
      <c r="Q683" s="8">
        <v>2025.0</v>
      </c>
      <c r="R683" s="8" t="s">
        <v>1933</v>
      </c>
    </row>
    <row r="684">
      <c r="A684" s="4" t="s">
        <v>18</v>
      </c>
      <c r="B684" s="2" t="s">
        <v>2455</v>
      </c>
      <c r="C684" s="5">
        <v>45913.0</v>
      </c>
      <c r="D684" s="5">
        <v>45913.0</v>
      </c>
      <c r="E684" s="4" t="s">
        <v>2456</v>
      </c>
      <c r="F684" s="9"/>
      <c r="G684" s="6"/>
      <c r="H684" s="7">
        <v>929.0</v>
      </c>
      <c r="I684" s="7" t="s">
        <v>2457</v>
      </c>
      <c r="K684" s="12" t="str">
        <f t="shared" si="65"/>
        <v>SL1610</v>
      </c>
      <c r="L684" s="2" t="s">
        <v>2458</v>
      </c>
      <c r="M684" s="2" t="s">
        <v>24</v>
      </c>
      <c r="N684" s="2" t="s">
        <v>60</v>
      </c>
      <c r="O684" s="2">
        <v>1.10751038E8</v>
      </c>
      <c r="P684" s="15"/>
      <c r="Q684" s="8">
        <v>2025.0</v>
      </c>
      <c r="R684" s="8" t="s">
        <v>1933</v>
      </c>
    </row>
    <row r="685">
      <c r="A685" s="4" t="s">
        <v>18</v>
      </c>
      <c r="B685" s="2" t="s">
        <v>2459</v>
      </c>
      <c r="C685" s="5">
        <v>45913.0</v>
      </c>
      <c r="D685" s="5">
        <v>45913.0</v>
      </c>
      <c r="E685" s="4" t="s">
        <v>2460</v>
      </c>
      <c r="F685" s="9"/>
      <c r="G685" s="6"/>
      <c r="H685" s="7">
        <v>312.0</v>
      </c>
      <c r="I685" s="7" t="s">
        <v>2461</v>
      </c>
      <c r="K685" s="12" t="str">
        <f t="shared" si="65"/>
        <v>UN3668</v>
      </c>
      <c r="L685" s="2" t="s">
        <v>2462</v>
      </c>
      <c r="M685" s="2" t="s">
        <v>24</v>
      </c>
      <c r="N685" s="2" t="s">
        <v>60</v>
      </c>
      <c r="O685" s="2">
        <v>1.10751038E8</v>
      </c>
      <c r="P685" s="15"/>
      <c r="Q685" s="8">
        <v>2025.0</v>
      </c>
      <c r="R685" s="8" t="s">
        <v>1933</v>
      </c>
    </row>
    <row r="686">
      <c r="A686" s="4" t="s">
        <v>18</v>
      </c>
      <c r="B686" s="2" t="s">
        <v>2463</v>
      </c>
      <c r="C686" s="5">
        <v>45913.0</v>
      </c>
      <c r="D686" s="5">
        <v>45913.0</v>
      </c>
      <c r="E686" s="4" t="s">
        <v>2464</v>
      </c>
      <c r="F686" s="9"/>
      <c r="G686" s="6"/>
      <c r="H686" s="7">
        <v>426.0</v>
      </c>
      <c r="I686" s="7" t="s">
        <v>2465</v>
      </c>
      <c r="K686" s="12" t="str">
        <f t="shared" si="65"/>
        <v>UN3668</v>
      </c>
      <c r="L686" s="2" t="s">
        <v>2466</v>
      </c>
      <c r="M686" s="2" t="s">
        <v>24</v>
      </c>
      <c r="N686" s="2" t="s">
        <v>60</v>
      </c>
      <c r="O686" s="2">
        <v>1.10751038E8</v>
      </c>
      <c r="P686" s="15"/>
      <c r="Q686" s="8">
        <v>2025.0</v>
      </c>
      <c r="R686" s="8" t="s">
        <v>1933</v>
      </c>
    </row>
    <row r="687">
      <c r="A687" s="4" t="s">
        <v>18</v>
      </c>
      <c r="B687" s="2" t="s">
        <v>2467</v>
      </c>
      <c r="C687" s="5">
        <v>45913.0</v>
      </c>
      <c r="D687" s="5">
        <v>45913.0</v>
      </c>
      <c r="E687" s="4" t="s">
        <v>2468</v>
      </c>
      <c r="F687" s="9"/>
      <c r="G687" s="6"/>
      <c r="H687" s="11">
        <v>1050.0</v>
      </c>
      <c r="I687" s="7" t="s">
        <v>2469</v>
      </c>
      <c r="K687" s="12" t="str">
        <f t="shared" si="65"/>
        <v>UN3668</v>
      </c>
      <c r="L687" s="2" t="s">
        <v>2470</v>
      </c>
      <c r="M687" s="2" t="s">
        <v>24</v>
      </c>
      <c r="N687" s="2" t="s">
        <v>60</v>
      </c>
      <c r="O687" s="2">
        <v>1.10751038E8</v>
      </c>
      <c r="P687" s="15"/>
      <c r="Q687" s="8">
        <v>2025.0</v>
      </c>
      <c r="R687" s="8" t="s">
        <v>1933</v>
      </c>
    </row>
    <row r="688">
      <c r="A688" s="4" t="s">
        <v>18</v>
      </c>
      <c r="B688" s="2" t="s">
        <v>2471</v>
      </c>
      <c r="C688" s="5">
        <v>45913.0</v>
      </c>
      <c r="D688" s="5">
        <v>45913.0</v>
      </c>
      <c r="E688" s="4" t="s">
        <v>2472</v>
      </c>
      <c r="F688" s="9"/>
      <c r="G688" s="6"/>
      <c r="H688" s="7">
        <v>323.0</v>
      </c>
      <c r="I688" s="7" t="s">
        <v>2473</v>
      </c>
      <c r="K688" s="12" t="str">
        <f t="shared" si="65"/>
        <v>UN3668</v>
      </c>
      <c r="L688" s="2" t="s">
        <v>2474</v>
      </c>
      <c r="M688" s="2" t="s">
        <v>24</v>
      </c>
      <c r="N688" s="2" t="s">
        <v>60</v>
      </c>
      <c r="O688" s="2">
        <v>1.10751038E8</v>
      </c>
      <c r="P688" s="15"/>
      <c r="Q688" s="8">
        <v>2025.0</v>
      </c>
      <c r="R688" s="8" t="s">
        <v>1933</v>
      </c>
    </row>
    <row r="689">
      <c r="A689" s="4" t="s">
        <v>18</v>
      </c>
      <c r="B689" s="2" t="s">
        <v>2475</v>
      </c>
      <c r="C689" s="5">
        <v>45913.0</v>
      </c>
      <c r="D689" s="5">
        <v>45913.0</v>
      </c>
      <c r="E689" s="4" t="s">
        <v>2476</v>
      </c>
      <c r="F689" s="9"/>
      <c r="G689" s="6"/>
      <c r="H689" s="7">
        <v>966.0</v>
      </c>
      <c r="I689" s="7" t="s">
        <v>2477</v>
      </c>
      <c r="K689" s="12" t="str">
        <f t="shared" si="65"/>
        <v>UN3668</v>
      </c>
      <c r="M689" s="2" t="s">
        <v>24</v>
      </c>
      <c r="N689" s="2" t="s">
        <v>60</v>
      </c>
      <c r="O689" s="2">
        <v>1.10751038E8</v>
      </c>
      <c r="P689" s="15" t="str">
        <f>IFERROR(__xludf.DUMMYFUNCTION("CONCATENATE(B689,"", "", to_text(D689),"", "", E689,"", "", H689)"),"TSV-09-0148, 13-Sep-2025, UPI/CR/414728502856/NEHA ARO/HDFC/9990490/UN3668, 966")</f>
        <v>TSV-09-0148, 13-Sep-2025, UPI/CR/414728502856/NEHA ARO/HDFC/9990490/UN3668, 966</v>
      </c>
      <c r="Q689" s="8">
        <v>2025.0</v>
      </c>
      <c r="R689" s="8" t="s">
        <v>1933</v>
      </c>
    </row>
    <row r="690">
      <c r="A690" s="4" t="s">
        <v>18</v>
      </c>
      <c r="B690" s="2" t="s">
        <v>2478</v>
      </c>
      <c r="C690" s="5">
        <v>45914.0</v>
      </c>
      <c r="D690" s="5">
        <v>45914.0</v>
      </c>
      <c r="E690" s="4" t="s">
        <v>2479</v>
      </c>
      <c r="F690" s="9"/>
      <c r="G690" s="6"/>
      <c r="H690" s="7">
        <v>317.0</v>
      </c>
      <c r="I690" s="7" t="s">
        <v>2480</v>
      </c>
      <c r="K690" s="12" t="str">
        <f t="shared" si="65"/>
        <v>SL1610</v>
      </c>
      <c r="L690" s="2" t="s">
        <v>2481</v>
      </c>
      <c r="M690" s="12" t="str">
        <f t="shared" ref="M690:M778" si="66">if(H690&gt;0,"Income","Expense")</f>
        <v>Income</v>
      </c>
      <c r="N690" s="12" t="str">
        <f t="shared" ref="N690:N711" si="67">if(H690&gt;0,"Sales","")</f>
        <v>Sales</v>
      </c>
      <c r="O690" s="2">
        <v>1.10751038E8</v>
      </c>
      <c r="P690" s="15"/>
      <c r="Q690" s="8">
        <v>2025.0</v>
      </c>
      <c r="R690" s="8" t="s">
        <v>1933</v>
      </c>
    </row>
    <row r="691">
      <c r="A691" s="4" t="s">
        <v>18</v>
      </c>
      <c r="B691" s="2" t="s">
        <v>2482</v>
      </c>
      <c r="C691" s="5">
        <v>45914.0</v>
      </c>
      <c r="D691" s="5">
        <v>45914.0</v>
      </c>
      <c r="E691" s="4" t="s">
        <v>2483</v>
      </c>
      <c r="F691" s="9"/>
      <c r="G691" s="6"/>
      <c r="H691" s="7">
        <v>482.0</v>
      </c>
      <c r="I691" s="7" t="s">
        <v>2484</v>
      </c>
      <c r="K691" s="12" t="str">
        <f t="shared" si="65"/>
        <v>SL1610</v>
      </c>
      <c r="L691" s="2" t="s">
        <v>2485</v>
      </c>
      <c r="M691" s="12" t="str">
        <f t="shared" si="66"/>
        <v>Income</v>
      </c>
      <c r="N691" s="12" t="str">
        <f t="shared" si="67"/>
        <v>Sales</v>
      </c>
      <c r="O691" s="2">
        <v>1.10751038E8</v>
      </c>
      <c r="P691" s="15"/>
      <c r="Q691" s="8">
        <v>2025.0</v>
      </c>
      <c r="R691" s="8" t="s">
        <v>1933</v>
      </c>
    </row>
    <row r="692">
      <c r="A692" s="4" t="s">
        <v>18</v>
      </c>
      <c r="B692" s="2" t="s">
        <v>2486</v>
      </c>
      <c r="C692" s="5">
        <v>45914.0</v>
      </c>
      <c r="D692" s="5">
        <v>45914.0</v>
      </c>
      <c r="E692" s="4" t="s">
        <v>2487</v>
      </c>
      <c r="F692" s="9"/>
      <c r="G692" s="6"/>
      <c r="H692" s="7">
        <v>367.0</v>
      </c>
      <c r="I692" s="7" t="s">
        <v>2488</v>
      </c>
      <c r="K692" s="12" t="str">
        <f t="shared" si="65"/>
        <v>SL1610</v>
      </c>
      <c r="L692" s="2" t="s">
        <v>2489</v>
      </c>
      <c r="M692" s="12" t="str">
        <f t="shared" si="66"/>
        <v>Income</v>
      </c>
      <c r="N692" s="12" t="str">
        <f t="shared" si="67"/>
        <v>Sales</v>
      </c>
      <c r="O692" s="2">
        <v>1.10751038E8</v>
      </c>
      <c r="P692" s="15"/>
      <c r="Q692" s="8">
        <v>2025.0</v>
      </c>
      <c r="R692" s="8" t="s">
        <v>1933</v>
      </c>
    </row>
    <row r="693">
      <c r="A693" s="4" t="s">
        <v>18</v>
      </c>
      <c r="B693" s="2" t="s">
        <v>2490</v>
      </c>
      <c r="C693" s="5">
        <v>45914.0</v>
      </c>
      <c r="D693" s="5">
        <v>45914.0</v>
      </c>
      <c r="E693" s="4" t="s">
        <v>2491</v>
      </c>
      <c r="F693" s="9"/>
      <c r="G693" s="6"/>
      <c r="H693" s="11">
        <v>1100.0</v>
      </c>
      <c r="I693" s="7" t="s">
        <v>2492</v>
      </c>
      <c r="K693" s="12" t="str">
        <f t="shared" si="65"/>
        <v>UN3668</v>
      </c>
      <c r="L693" s="2" t="s">
        <v>2493</v>
      </c>
      <c r="M693" s="12" t="str">
        <f t="shared" si="66"/>
        <v>Income</v>
      </c>
      <c r="N693" s="12" t="str">
        <f t="shared" si="67"/>
        <v>Sales</v>
      </c>
      <c r="O693" s="2">
        <v>1.10751038E8</v>
      </c>
      <c r="P693" s="15"/>
      <c r="Q693" s="8">
        <v>2025.0</v>
      </c>
      <c r="R693" s="8" t="s">
        <v>1933</v>
      </c>
    </row>
    <row r="694">
      <c r="A694" s="4" t="s">
        <v>18</v>
      </c>
      <c r="B694" s="2" t="s">
        <v>2494</v>
      </c>
      <c r="C694" s="5">
        <v>45914.0</v>
      </c>
      <c r="D694" s="5">
        <v>45914.0</v>
      </c>
      <c r="E694" s="4" t="s">
        <v>2495</v>
      </c>
      <c r="F694" s="9"/>
      <c r="G694" s="6"/>
      <c r="H694" s="7">
        <v>648.0</v>
      </c>
      <c r="I694" s="7" t="s">
        <v>2496</v>
      </c>
      <c r="K694" s="12" t="str">
        <f t="shared" si="65"/>
        <v>SL1610</v>
      </c>
      <c r="L694" s="2" t="s">
        <v>2497</v>
      </c>
      <c r="M694" s="12" t="str">
        <f t="shared" si="66"/>
        <v>Income</v>
      </c>
      <c r="N694" s="12" t="str">
        <f t="shared" si="67"/>
        <v>Sales</v>
      </c>
      <c r="O694" s="2">
        <v>1.10751038E8</v>
      </c>
      <c r="P694" s="15"/>
      <c r="Q694" s="8">
        <v>2025.0</v>
      </c>
      <c r="R694" s="8" t="s">
        <v>1933</v>
      </c>
    </row>
    <row r="695">
      <c r="A695" s="4" t="s">
        <v>18</v>
      </c>
      <c r="B695" s="2" t="s">
        <v>2498</v>
      </c>
      <c r="C695" s="5">
        <v>45914.0</v>
      </c>
      <c r="D695" s="5">
        <v>45914.0</v>
      </c>
      <c r="E695" s="4" t="s">
        <v>2499</v>
      </c>
      <c r="F695" s="9"/>
      <c r="G695" s="6"/>
      <c r="H695" s="7">
        <v>350.0</v>
      </c>
      <c r="I695" s="7" t="s">
        <v>2500</v>
      </c>
      <c r="K695" s="12" t="str">
        <f t="shared" si="65"/>
        <v>SC3567</v>
      </c>
      <c r="L695" s="2" t="s">
        <v>2501</v>
      </c>
      <c r="M695" s="12" t="str">
        <f t="shared" si="66"/>
        <v>Income</v>
      </c>
      <c r="N695" s="12" t="str">
        <f t="shared" si="67"/>
        <v>Sales</v>
      </c>
      <c r="O695" s="2">
        <v>1.10751038E8</v>
      </c>
      <c r="P695" s="15"/>
      <c r="Q695" s="8">
        <v>2025.0</v>
      </c>
      <c r="R695" s="8" t="s">
        <v>1933</v>
      </c>
    </row>
    <row r="696">
      <c r="A696" s="4" t="s">
        <v>18</v>
      </c>
      <c r="B696" s="2" t="s">
        <v>2502</v>
      </c>
      <c r="C696" s="5">
        <v>45914.0</v>
      </c>
      <c r="D696" s="5">
        <v>45914.0</v>
      </c>
      <c r="E696" s="4" t="s">
        <v>2503</v>
      </c>
      <c r="F696" s="9"/>
      <c r="G696" s="6"/>
      <c r="H696" s="11">
        <v>1800.0</v>
      </c>
      <c r="I696" s="7" t="s">
        <v>2504</v>
      </c>
      <c r="K696" s="12" t="str">
        <f t="shared" si="65"/>
        <v>UN3668</v>
      </c>
      <c r="L696" s="2" t="s">
        <v>2505</v>
      </c>
      <c r="M696" s="12" t="str">
        <f t="shared" si="66"/>
        <v>Income</v>
      </c>
      <c r="N696" s="12" t="str">
        <f t="shared" si="67"/>
        <v>Sales</v>
      </c>
      <c r="O696" s="2">
        <v>1.10751038E8</v>
      </c>
      <c r="P696" s="15"/>
      <c r="Q696" s="8">
        <v>2025.0</v>
      </c>
      <c r="R696" s="8" t="s">
        <v>1933</v>
      </c>
    </row>
    <row r="697">
      <c r="A697" s="4" t="s">
        <v>18</v>
      </c>
      <c r="B697" s="2" t="s">
        <v>2506</v>
      </c>
      <c r="C697" s="5">
        <v>45915.0</v>
      </c>
      <c r="D697" s="5">
        <v>45915.0</v>
      </c>
      <c r="E697" s="4" t="s">
        <v>2507</v>
      </c>
      <c r="F697" s="9"/>
      <c r="G697" s="6"/>
      <c r="H697" s="11">
        <v>1040.0</v>
      </c>
      <c r="I697" s="7" t="s">
        <v>2508</v>
      </c>
      <c r="K697" s="12" t="str">
        <f t="shared" si="65"/>
        <v>UN3668</v>
      </c>
      <c r="M697" s="12" t="str">
        <f t="shared" si="66"/>
        <v>Income</v>
      </c>
      <c r="N697" s="12" t="str">
        <f t="shared" si="67"/>
        <v>Sales</v>
      </c>
      <c r="O697" s="2">
        <v>1.10751038E8</v>
      </c>
      <c r="P697" s="15" t="str">
        <f>IFERROR(__xludf.DUMMYFUNCTION("CONCATENATE(B697,"", "", to_text(D697),"", "", E697,"", "", H697)"),"TSV-09-0156, 15-Sep-2025, UPI/CR/525853536140/MEENAKSH/CNRB/kainmee/UN3668, 1040")</f>
        <v>TSV-09-0156, 15-Sep-2025, UPI/CR/525853536140/MEENAKSH/CNRB/kainmee/UN3668, 1040</v>
      </c>
      <c r="Q697" s="8">
        <v>2025.0</v>
      </c>
      <c r="R697" s="8" t="s">
        <v>1933</v>
      </c>
    </row>
    <row r="698">
      <c r="A698" s="4" t="s">
        <v>18</v>
      </c>
      <c r="B698" s="2" t="s">
        <v>2509</v>
      </c>
      <c r="C698" s="5">
        <v>45915.0</v>
      </c>
      <c r="D698" s="5">
        <v>45915.0</v>
      </c>
      <c r="E698" s="4" t="s">
        <v>2510</v>
      </c>
      <c r="F698" s="9"/>
      <c r="G698" s="6"/>
      <c r="H698" s="11">
        <v>5000.0</v>
      </c>
      <c r="I698" s="7" t="s">
        <v>2511</v>
      </c>
      <c r="K698" s="12" t="str">
        <f t="shared" si="65"/>
        <v>UN3668</v>
      </c>
      <c r="L698" s="2" t="s">
        <v>2512</v>
      </c>
      <c r="M698" s="12" t="str">
        <f t="shared" si="66"/>
        <v>Income</v>
      </c>
      <c r="N698" s="12" t="str">
        <f t="shared" si="67"/>
        <v>Sales</v>
      </c>
      <c r="O698" s="2">
        <v>1.10751038E8</v>
      </c>
      <c r="P698" s="15"/>
      <c r="Q698" s="8">
        <v>2025.0</v>
      </c>
      <c r="R698" s="8" t="s">
        <v>1933</v>
      </c>
    </row>
    <row r="699">
      <c r="A699" s="4" t="s">
        <v>18</v>
      </c>
      <c r="B699" s="2" t="s">
        <v>2513</v>
      </c>
      <c r="C699" s="5">
        <v>45915.0</v>
      </c>
      <c r="D699" s="5">
        <v>45915.0</v>
      </c>
      <c r="E699" s="4" t="s">
        <v>2514</v>
      </c>
      <c r="F699" s="9"/>
      <c r="G699" s="6"/>
      <c r="H699" s="7">
        <v>840.0</v>
      </c>
      <c r="I699" s="7" t="s">
        <v>2515</v>
      </c>
      <c r="K699" s="12" t="str">
        <f t="shared" si="65"/>
        <v>UN3668</v>
      </c>
      <c r="M699" s="12" t="str">
        <f t="shared" si="66"/>
        <v>Income</v>
      </c>
      <c r="N699" s="12" t="str">
        <f t="shared" si="67"/>
        <v>Sales</v>
      </c>
      <c r="O699" s="2">
        <v>1.10751038E8</v>
      </c>
      <c r="P699" s="15" t="str">
        <f>IFERROR(__xludf.DUMMYFUNCTION("CONCATENATE(B699,"", "", to_text(D699),"", "", E699,"", "", H699)"),"TSV-09-0158, 15-Sep-2025, UPI/CR/339013800205/PRIYANSH/YESB/7895282/UN3668, 840")</f>
        <v>TSV-09-0158, 15-Sep-2025, UPI/CR/339013800205/PRIYANSH/YESB/7895282/UN3668, 840</v>
      </c>
      <c r="Q699" s="8">
        <v>2025.0</v>
      </c>
      <c r="R699" s="8" t="s">
        <v>1933</v>
      </c>
    </row>
    <row r="700">
      <c r="A700" s="4" t="s">
        <v>18</v>
      </c>
      <c r="B700" s="2" t="s">
        <v>2516</v>
      </c>
      <c r="C700" s="5">
        <v>45916.0</v>
      </c>
      <c r="D700" s="5">
        <v>45916.0</v>
      </c>
      <c r="E700" s="4" t="s">
        <v>2517</v>
      </c>
      <c r="F700" s="9"/>
      <c r="G700" s="6"/>
      <c r="H700" s="7">
        <v>495.0</v>
      </c>
      <c r="I700" s="7" t="s">
        <v>2518</v>
      </c>
      <c r="K700" s="12" t="str">
        <f t="shared" si="65"/>
        <v>UN3668</v>
      </c>
      <c r="L700" s="2" t="s">
        <v>2519</v>
      </c>
      <c r="M700" s="12" t="str">
        <f t="shared" si="66"/>
        <v>Income</v>
      </c>
      <c r="N700" s="12" t="str">
        <f t="shared" si="67"/>
        <v>Sales</v>
      </c>
      <c r="O700" s="2">
        <v>1.10751038E8</v>
      </c>
      <c r="P700" s="15"/>
      <c r="Q700" s="8">
        <v>2025.0</v>
      </c>
      <c r="R700" s="8" t="s">
        <v>1933</v>
      </c>
    </row>
    <row r="701">
      <c r="A701" s="4" t="s">
        <v>18</v>
      </c>
      <c r="B701" s="2" t="s">
        <v>2520</v>
      </c>
      <c r="C701" s="5">
        <v>45916.0</v>
      </c>
      <c r="D701" s="5">
        <v>45916.0</v>
      </c>
      <c r="E701" s="4" t="s">
        <v>2521</v>
      </c>
      <c r="F701" s="9"/>
      <c r="G701" s="6"/>
      <c r="H701" s="7">
        <v>810.0</v>
      </c>
      <c r="I701" s="7" t="s">
        <v>2522</v>
      </c>
      <c r="K701" s="12" t="str">
        <f t="shared" si="65"/>
        <v>UN3668</v>
      </c>
      <c r="L701" s="2" t="s">
        <v>2523</v>
      </c>
      <c r="M701" s="12" t="str">
        <f t="shared" si="66"/>
        <v>Income</v>
      </c>
      <c r="N701" s="12" t="str">
        <f t="shared" si="67"/>
        <v>Sales</v>
      </c>
      <c r="O701" s="2">
        <v>1.10751038E8</v>
      </c>
      <c r="P701" s="15"/>
      <c r="Q701" s="8">
        <v>2025.0</v>
      </c>
      <c r="R701" s="8" t="s">
        <v>1933</v>
      </c>
    </row>
    <row r="702">
      <c r="A702" s="4" t="s">
        <v>18</v>
      </c>
      <c r="B702" s="2" t="s">
        <v>2524</v>
      </c>
      <c r="C702" s="5">
        <v>45916.0</v>
      </c>
      <c r="D702" s="5">
        <v>45916.0</v>
      </c>
      <c r="E702" s="4" t="s">
        <v>2525</v>
      </c>
      <c r="F702" s="9"/>
      <c r="G702" s="6"/>
      <c r="H702" s="7">
        <v>990.0</v>
      </c>
      <c r="I702" s="7" t="s">
        <v>2526</v>
      </c>
      <c r="K702" s="12" t="str">
        <f t="shared" si="65"/>
        <v>UN3668</v>
      </c>
      <c r="L702" s="2" t="s">
        <v>2527</v>
      </c>
      <c r="M702" s="12" t="str">
        <f t="shared" si="66"/>
        <v>Income</v>
      </c>
      <c r="N702" s="12" t="str">
        <f t="shared" si="67"/>
        <v>Sales</v>
      </c>
      <c r="O702" s="2">
        <v>1.10751038E8</v>
      </c>
      <c r="P702" s="15"/>
      <c r="Q702" s="8">
        <v>2025.0</v>
      </c>
      <c r="R702" s="8" t="s">
        <v>1933</v>
      </c>
    </row>
    <row r="703">
      <c r="A703" s="4" t="s">
        <v>18</v>
      </c>
      <c r="B703" s="2" t="s">
        <v>2528</v>
      </c>
      <c r="C703" s="5">
        <v>45917.0</v>
      </c>
      <c r="D703" s="5">
        <v>45917.0</v>
      </c>
      <c r="E703" s="4" t="s">
        <v>2529</v>
      </c>
      <c r="F703" s="9"/>
      <c r="G703" s="6"/>
      <c r="H703" s="7">
        <v>200.0</v>
      </c>
      <c r="I703" s="7" t="s">
        <v>2530</v>
      </c>
      <c r="K703" s="12" t="str">
        <f t="shared" si="65"/>
        <v>UN3668</v>
      </c>
      <c r="L703" s="2" t="s">
        <v>2531</v>
      </c>
      <c r="M703" s="12" t="str">
        <f t="shared" si="66"/>
        <v>Income</v>
      </c>
      <c r="N703" s="12" t="str">
        <f t="shared" si="67"/>
        <v>Sales</v>
      </c>
      <c r="O703" s="2">
        <v>1.10751038E8</v>
      </c>
      <c r="P703" s="15"/>
      <c r="Q703" s="8">
        <v>2025.0</v>
      </c>
      <c r="R703" s="8" t="s">
        <v>1933</v>
      </c>
    </row>
    <row r="704">
      <c r="A704" s="4" t="s">
        <v>18</v>
      </c>
      <c r="B704" s="2" t="s">
        <v>2532</v>
      </c>
      <c r="C704" s="5">
        <v>45917.0</v>
      </c>
      <c r="D704" s="5">
        <v>45917.0</v>
      </c>
      <c r="E704" s="4" t="s">
        <v>2533</v>
      </c>
      <c r="F704" s="9"/>
      <c r="G704" s="6"/>
      <c r="H704" s="7">
        <v>200.0</v>
      </c>
      <c r="I704" s="7" t="s">
        <v>2534</v>
      </c>
      <c r="K704" s="12" t="str">
        <f t="shared" si="65"/>
        <v>UN3668</v>
      </c>
      <c r="L704" s="2" t="s">
        <v>2531</v>
      </c>
      <c r="M704" s="12" t="str">
        <f t="shared" si="66"/>
        <v>Income</v>
      </c>
      <c r="N704" s="12" t="str">
        <f t="shared" si="67"/>
        <v>Sales</v>
      </c>
      <c r="O704" s="2">
        <v>1.10751038E8</v>
      </c>
      <c r="P704" s="15"/>
      <c r="Q704" s="8">
        <v>2025.0</v>
      </c>
      <c r="R704" s="8" t="s">
        <v>1933</v>
      </c>
    </row>
    <row r="705">
      <c r="A705" s="4" t="s">
        <v>18</v>
      </c>
      <c r="B705" s="2" t="s">
        <v>2535</v>
      </c>
      <c r="C705" s="5">
        <v>45917.0</v>
      </c>
      <c r="D705" s="5">
        <v>45917.0</v>
      </c>
      <c r="E705" s="4" t="s">
        <v>2536</v>
      </c>
      <c r="F705" s="9"/>
      <c r="G705" s="6"/>
      <c r="H705" s="7">
        <v>761.0</v>
      </c>
      <c r="I705" s="7" t="s">
        <v>2537</v>
      </c>
      <c r="K705" s="12" t="str">
        <f t="shared" si="65"/>
        <v>SC3567</v>
      </c>
      <c r="L705" s="2" t="s">
        <v>2538</v>
      </c>
      <c r="M705" s="12" t="str">
        <f t="shared" si="66"/>
        <v>Income</v>
      </c>
      <c r="N705" s="12" t="str">
        <f t="shared" si="67"/>
        <v>Sales</v>
      </c>
      <c r="O705" s="2">
        <v>1.10751038E8</v>
      </c>
      <c r="P705" s="15"/>
      <c r="Q705" s="8">
        <v>2025.0</v>
      </c>
      <c r="R705" s="8" t="s">
        <v>1933</v>
      </c>
    </row>
    <row r="706">
      <c r="A706" s="4" t="s">
        <v>18</v>
      </c>
      <c r="B706" s="2" t="s">
        <v>2539</v>
      </c>
      <c r="C706" s="5">
        <v>45917.0</v>
      </c>
      <c r="D706" s="5">
        <v>45917.0</v>
      </c>
      <c r="E706" s="4" t="s">
        <v>2540</v>
      </c>
      <c r="F706" s="9"/>
      <c r="G706" s="6"/>
      <c r="H706" s="7">
        <v>255.0</v>
      </c>
      <c r="I706" s="7" t="s">
        <v>2541</v>
      </c>
      <c r="K706" s="12" t="str">
        <f t="shared" si="65"/>
        <v>UN3668</v>
      </c>
      <c r="L706" s="2" t="s">
        <v>2542</v>
      </c>
      <c r="M706" s="12" t="str">
        <f t="shared" si="66"/>
        <v>Income</v>
      </c>
      <c r="N706" s="12" t="str">
        <f t="shared" si="67"/>
        <v>Sales</v>
      </c>
      <c r="O706" s="2">
        <v>1.10751038E8</v>
      </c>
      <c r="P706" s="15"/>
      <c r="Q706" s="8">
        <v>2025.0</v>
      </c>
      <c r="R706" s="8" t="s">
        <v>1933</v>
      </c>
    </row>
    <row r="707">
      <c r="A707" s="4" t="s">
        <v>18</v>
      </c>
      <c r="B707" s="2" t="s">
        <v>2543</v>
      </c>
      <c r="C707" s="5">
        <v>45917.0</v>
      </c>
      <c r="D707" s="5">
        <v>45917.0</v>
      </c>
      <c r="E707" s="4" t="s">
        <v>2544</v>
      </c>
      <c r="F707" s="9"/>
      <c r="G707" s="6"/>
      <c r="H707" s="7">
        <v>136.0</v>
      </c>
      <c r="I707" s="7" t="s">
        <v>2545</v>
      </c>
      <c r="K707" s="2" t="s">
        <v>539</v>
      </c>
      <c r="M707" s="12" t="str">
        <f t="shared" si="66"/>
        <v>Income</v>
      </c>
      <c r="N707" s="12" t="str">
        <f t="shared" si="67"/>
        <v>Sales</v>
      </c>
      <c r="O707" s="2">
        <v>1.10751038E8</v>
      </c>
      <c r="P707" s="15" t="str">
        <f>IFERROR(__xludf.DUMMYFUNCTION("CONCATENATE(B707,"", "", to_text(D707),"", "", E707,"", "", H707)"),"TSV-09-0166, 17-Sep-2025, UPI/CR/526089574686/JUBIN JA/SBIN/9899293/Sent us, 136")</f>
        <v>TSV-09-0166, 17-Sep-2025, UPI/CR/526089574686/JUBIN JA/SBIN/9899293/Sent us, 136</v>
      </c>
      <c r="Q707" s="8">
        <v>2025.0</v>
      </c>
      <c r="R707" s="8" t="s">
        <v>1933</v>
      </c>
    </row>
    <row r="708">
      <c r="A708" s="4" t="s">
        <v>18</v>
      </c>
      <c r="B708" s="2" t="s">
        <v>2546</v>
      </c>
      <c r="C708" s="5">
        <v>45917.0</v>
      </c>
      <c r="D708" s="5">
        <v>45917.0</v>
      </c>
      <c r="E708" s="4" t="s">
        <v>2547</v>
      </c>
      <c r="F708" s="9"/>
      <c r="G708" s="6"/>
      <c r="H708" s="7">
        <v>860.0</v>
      </c>
      <c r="I708" s="7" t="s">
        <v>2548</v>
      </c>
      <c r="K708" s="12" t="str">
        <f t="shared" ref="K708:K711" si="68">RIGHT(E708,6)</f>
        <v>SL1610</v>
      </c>
      <c r="L708" s="2" t="s">
        <v>2549</v>
      </c>
      <c r="M708" s="12" t="str">
        <f t="shared" si="66"/>
        <v>Income</v>
      </c>
      <c r="N708" s="12" t="str">
        <f t="shared" si="67"/>
        <v>Sales</v>
      </c>
      <c r="O708" s="2">
        <v>1.10751038E8</v>
      </c>
      <c r="P708" s="15"/>
      <c r="Q708" s="8">
        <v>2025.0</v>
      </c>
      <c r="R708" s="8" t="s">
        <v>1933</v>
      </c>
    </row>
    <row r="709">
      <c r="A709" s="4" t="s">
        <v>18</v>
      </c>
      <c r="B709" s="2" t="s">
        <v>2550</v>
      </c>
      <c r="C709" s="5">
        <v>45917.0</v>
      </c>
      <c r="D709" s="5">
        <v>45917.0</v>
      </c>
      <c r="E709" s="4" t="s">
        <v>2551</v>
      </c>
      <c r="F709" s="9"/>
      <c r="G709" s="6"/>
      <c r="H709" s="7">
        <v>606.0</v>
      </c>
      <c r="I709" s="7" t="s">
        <v>2552</v>
      </c>
      <c r="K709" s="12" t="str">
        <f t="shared" si="68"/>
        <v>SL1610</v>
      </c>
      <c r="L709" s="2" t="s">
        <v>2553</v>
      </c>
      <c r="M709" s="12" t="str">
        <f t="shared" si="66"/>
        <v>Income</v>
      </c>
      <c r="N709" s="12" t="str">
        <f t="shared" si="67"/>
        <v>Sales</v>
      </c>
      <c r="O709" s="2">
        <v>1.10751038E8</v>
      </c>
      <c r="P709" s="15"/>
      <c r="Q709" s="8">
        <v>2025.0</v>
      </c>
      <c r="R709" s="8" t="s">
        <v>1933</v>
      </c>
    </row>
    <row r="710">
      <c r="A710" s="4" t="s">
        <v>18</v>
      </c>
      <c r="B710" s="2" t="s">
        <v>2554</v>
      </c>
      <c r="C710" s="5">
        <v>45917.0</v>
      </c>
      <c r="D710" s="5">
        <v>45917.0</v>
      </c>
      <c r="E710" s="4" t="s">
        <v>2555</v>
      </c>
      <c r="F710" s="9"/>
      <c r="G710" s="6"/>
      <c r="H710" s="7">
        <v>400.0</v>
      </c>
      <c r="I710" s="7" t="s">
        <v>2556</v>
      </c>
      <c r="K710" s="12" t="str">
        <f t="shared" si="68"/>
        <v>UN3668</v>
      </c>
      <c r="L710" s="2" t="s">
        <v>2557</v>
      </c>
      <c r="M710" s="12" t="str">
        <f t="shared" si="66"/>
        <v>Income</v>
      </c>
      <c r="N710" s="12" t="str">
        <f t="shared" si="67"/>
        <v>Sales</v>
      </c>
      <c r="O710" s="2">
        <v>1.10751038E8</v>
      </c>
      <c r="P710" s="15"/>
      <c r="Q710" s="8">
        <v>2025.0</v>
      </c>
      <c r="R710" s="8" t="s">
        <v>1933</v>
      </c>
    </row>
    <row r="711">
      <c r="A711" s="4" t="s">
        <v>18</v>
      </c>
      <c r="B711" s="2" t="s">
        <v>2558</v>
      </c>
      <c r="C711" s="5">
        <v>45917.0</v>
      </c>
      <c r="D711" s="5">
        <v>45917.0</v>
      </c>
      <c r="E711" s="4" t="s">
        <v>2559</v>
      </c>
      <c r="F711" s="9"/>
      <c r="G711" s="6"/>
      <c r="H711" s="7">
        <v>299.0</v>
      </c>
      <c r="I711" s="7" t="s">
        <v>2560</v>
      </c>
      <c r="K711" s="12" t="str">
        <f t="shared" si="68"/>
        <v>UN3668</v>
      </c>
      <c r="L711" s="2" t="s">
        <v>2561</v>
      </c>
      <c r="M711" s="12" t="str">
        <f t="shared" si="66"/>
        <v>Income</v>
      </c>
      <c r="N711" s="12" t="str">
        <f t="shared" si="67"/>
        <v>Sales</v>
      </c>
      <c r="O711" s="2">
        <v>1.10751038E8</v>
      </c>
      <c r="P711" s="15"/>
      <c r="Q711" s="8">
        <v>2025.0</v>
      </c>
      <c r="R711" s="8" t="s">
        <v>1933</v>
      </c>
    </row>
    <row r="712">
      <c r="A712" s="4" t="s">
        <v>18</v>
      </c>
      <c r="B712" s="2" t="s">
        <v>2562</v>
      </c>
      <c r="C712" s="5">
        <v>45917.0</v>
      </c>
      <c r="D712" s="5">
        <v>45917.0</v>
      </c>
      <c r="E712" s="4" t="s">
        <v>2563</v>
      </c>
      <c r="F712" s="9"/>
      <c r="G712" s="11">
        <v>20000.0</v>
      </c>
      <c r="H712" s="6"/>
      <c r="I712" s="7" t="s">
        <v>2564</v>
      </c>
      <c r="J712" s="2" t="s">
        <v>2565</v>
      </c>
      <c r="K712" s="1" t="s">
        <v>23</v>
      </c>
      <c r="M712" s="12" t="str">
        <f t="shared" si="66"/>
        <v>Expense</v>
      </c>
      <c r="N712" s="2" t="s">
        <v>169</v>
      </c>
      <c r="O712" s="2">
        <v>1.10751038E8</v>
      </c>
      <c r="Q712" s="8">
        <v>2025.0</v>
      </c>
      <c r="R712" s="8" t="s">
        <v>1933</v>
      </c>
    </row>
    <row r="713">
      <c r="A713" s="4" t="s">
        <v>18</v>
      </c>
      <c r="B713" s="2" t="s">
        <v>2566</v>
      </c>
      <c r="C713" s="5">
        <v>45917.0</v>
      </c>
      <c r="D713" s="5">
        <v>45917.0</v>
      </c>
      <c r="E713" s="4" t="s">
        <v>2567</v>
      </c>
      <c r="F713" s="9"/>
      <c r="G713" s="11">
        <v>20000.0</v>
      </c>
      <c r="H713" s="6"/>
      <c r="I713" s="7" t="s">
        <v>2568</v>
      </c>
      <c r="J713" s="2" t="s">
        <v>2569</v>
      </c>
      <c r="K713" s="1" t="s">
        <v>23</v>
      </c>
      <c r="M713" s="12" t="str">
        <f t="shared" si="66"/>
        <v>Expense</v>
      </c>
      <c r="N713" s="2" t="s">
        <v>169</v>
      </c>
      <c r="O713" s="2">
        <v>1.10751038E8</v>
      </c>
      <c r="Q713" s="8">
        <v>2025.0</v>
      </c>
      <c r="R713" s="8" t="s">
        <v>1933</v>
      </c>
    </row>
    <row r="714">
      <c r="A714" s="4" t="s">
        <v>18</v>
      </c>
      <c r="B714" s="2" t="s">
        <v>2570</v>
      </c>
      <c r="C714" s="5">
        <v>45917.0</v>
      </c>
      <c r="D714" s="5">
        <v>45917.0</v>
      </c>
      <c r="E714" s="4" t="s">
        <v>2571</v>
      </c>
      <c r="F714" s="9"/>
      <c r="G714" s="6"/>
      <c r="H714" s="7">
        <v>174.0</v>
      </c>
      <c r="I714" s="7" t="s">
        <v>2572</v>
      </c>
      <c r="K714" s="12" t="str">
        <f t="shared" ref="K714:K719" si="69">RIGHT(E714,6)</f>
        <v>SC3567</v>
      </c>
      <c r="L714" s="2" t="s">
        <v>2573</v>
      </c>
      <c r="M714" s="12" t="str">
        <f t="shared" si="66"/>
        <v>Income</v>
      </c>
      <c r="N714" s="12" t="str">
        <f t="shared" ref="N714:N719" si="70">if(H714&gt;0,"Sales","")</f>
        <v>Sales</v>
      </c>
      <c r="O714" s="2">
        <v>1.10751038E8</v>
      </c>
      <c r="P714" s="15"/>
      <c r="Q714" s="8">
        <v>2025.0</v>
      </c>
      <c r="R714" s="8" t="s">
        <v>1933</v>
      </c>
    </row>
    <row r="715">
      <c r="A715" s="4" t="s">
        <v>18</v>
      </c>
      <c r="B715" s="2" t="s">
        <v>2574</v>
      </c>
      <c r="C715" s="5">
        <v>45917.0</v>
      </c>
      <c r="D715" s="5">
        <v>45917.0</v>
      </c>
      <c r="E715" s="4" t="s">
        <v>2575</v>
      </c>
      <c r="F715" s="9"/>
      <c r="G715" s="6"/>
      <c r="H715" s="7">
        <v>109.0</v>
      </c>
      <c r="I715" s="7" t="s">
        <v>2576</v>
      </c>
      <c r="K715" s="12" t="str">
        <f t="shared" si="69"/>
        <v>SC3567</v>
      </c>
      <c r="L715" s="2" t="s">
        <v>2577</v>
      </c>
      <c r="M715" s="12" t="str">
        <f t="shared" si="66"/>
        <v>Income</v>
      </c>
      <c r="N715" s="12" t="str">
        <f t="shared" si="70"/>
        <v>Sales</v>
      </c>
      <c r="O715" s="2">
        <v>1.10751038E8</v>
      </c>
      <c r="P715" s="15"/>
      <c r="Q715" s="8">
        <v>2025.0</v>
      </c>
      <c r="R715" s="8" t="s">
        <v>1933</v>
      </c>
    </row>
    <row r="716">
      <c r="A716" s="4" t="s">
        <v>18</v>
      </c>
      <c r="B716" s="2" t="s">
        <v>2578</v>
      </c>
      <c r="C716" s="5">
        <v>45917.0</v>
      </c>
      <c r="D716" s="5">
        <v>45917.0</v>
      </c>
      <c r="E716" s="4" t="s">
        <v>2579</v>
      </c>
      <c r="F716" s="9"/>
      <c r="G716" s="6"/>
      <c r="H716" s="7">
        <v>375.0</v>
      </c>
      <c r="I716" s="7" t="s">
        <v>2580</v>
      </c>
      <c r="K716" s="12" t="str">
        <f t="shared" si="69"/>
        <v>SL1610</v>
      </c>
      <c r="L716" s="2" t="s">
        <v>2581</v>
      </c>
      <c r="M716" s="12" t="str">
        <f t="shared" si="66"/>
        <v>Income</v>
      </c>
      <c r="N716" s="12" t="str">
        <f t="shared" si="70"/>
        <v>Sales</v>
      </c>
      <c r="O716" s="2">
        <v>1.10751038E8</v>
      </c>
      <c r="P716" s="15"/>
      <c r="Q716" s="8">
        <v>2025.0</v>
      </c>
      <c r="R716" s="8" t="s">
        <v>1933</v>
      </c>
    </row>
    <row r="717">
      <c r="A717" s="4" t="s">
        <v>18</v>
      </c>
      <c r="B717" s="2" t="s">
        <v>2582</v>
      </c>
      <c r="C717" s="5">
        <v>45917.0</v>
      </c>
      <c r="D717" s="5">
        <v>45917.0</v>
      </c>
      <c r="E717" s="4" t="s">
        <v>2583</v>
      </c>
      <c r="F717" s="9"/>
      <c r="G717" s="6"/>
      <c r="H717" s="7">
        <v>278.0</v>
      </c>
      <c r="I717" s="7" t="s">
        <v>2584</v>
      </c>
      <c r="K717" s="12" t="str">
        <f t="shared" si="69"/>
        <v>UN3668</v>
      </c>
      <c r="L717" s="2" t="s">
        <v>2585</v>
      </c>
      <c r="M717" s="12" t="str">
        <f t="shared" si="66"/>
        <v>Income</v>
      </c>
      <c r="N717" s="12" t="str">
        <f t="shared" si="70"/>
        <v>Sales</v>
      </c>
      <c r="O717" s="2">
        <v>1.10751038E8</v>
      </c>
      <c r="P717" s="15"/>
      <c r="Q717" s="8">
        <v>2025.0</v>
      </c>
      <c r="R717" s="8" t="s">
        <v>1933</v>
      </c>
    </row>
    <row r="718">
      <c r="A718" s="4" t="s">
        <v>18</v>
      </c>
      <c r="B718" s="2" t="s">
        <v>2586</v>
      </c>
      <c r="C718" s="5">
        <v>45917.0</v>
      </c>
      <c r="D718" s="5">
        <v>45917.0</v>
      </c>
      <c r="E718" s="4" t="s">
        <v>2587</v>
      </c>
      <c r="F718" s="9"/>
      <c r="G718" s="6"/>
      <c r="H718" s="7">
        <v>550.0</v>
      </c>
      <c r="I718" s="7" t="s">
        <v>2588</v>
      </c>
      <c r="K718" s="12" t="str">
        <f t="shared" si="69"/>
        <v>UN3668</v>
      </c>
      <c r="L718" s="2" t="s">
        <v>2589</v>
      </c>
      <c r="M718" s="12" t="str">
        <f t="shared" si="66"/>
        <v>Income</v>
      </c>
      <c r="N718" s="12" t="str">
        <f t="shared" si="70"/>
        <v>Sales</v>
      </c>
      <c r="O718" s="2">
        <v>1.10751038E8</v>
      </c>
      <c r="P718" s="15"/>
      <c r="Q718" s="8">
        <v>2025.0</v>
      </c>
      <c r="R718" s="8" t="s">
        <v>1933</v>
      </c>
    </row>
    <row r="719">
      <c r="A719" s="4" t="s">
        <v>18</v>
      </c>
      <c r="B719" s="2" t="s">
        <v>2590</v>
      </c>
      <c r="C719" s="5">
        <v>45917.0</v>
      </c>
      <c r="D719" s="5">
        <v>45917.0</v>
      </c>
      <c r="E719" s="4" t="s">
        <v>2591</v>
      </c>
      <c r="F719" s="9"/>
      <c r="G719" s="6"/>
      <c r="H719" s="7">
        <v>777.0</v>
      </c>
      <c r="I719" s="7" t="s">
        <v>2592</v>
      </c>
      <c r="K719" s="12" t="str">
        <f t="shared" si="69"/>
        <v>SL1610</v>
      </c>
      <c r="L719" s="2" t="s">
        <v>2593</v>
      </c>
      <c r="M719" s="12" t="str">
        <f t="shared" si="66"/>
        <v>Income</v>
      </c>
      <c r="N719" s="12" t="str">
        <f t="shared" si="70"/>
        <v>Sales</v>
      </c>
      <c r="O719" s="2">
        <v>1.10751038E8</v>
      </c>
      <c r="P719" s="15"/>
      <c r="Q719" s="8">
        <v>2025.0</v>
      </c>
      <c r="R719" s="8" t="s">
        <v>1933</v>
      </c>
    </row>
    <row r="720">
      <c r="A720" s="4" t="s">
        <v>18</v>
      </c>
      <c r="B720" s="2" t="s">
        <v>2594</v>
      </c>
      <c r="C720" s="5">
        <v>45918.0</v>
      </c>
      <c r="D720" s="5">
        <v>45918.0</v>
      </c>
      <c r="E720" s="4" t="s">
        <v>2595</v>
      </c>
      <c r="F720" s="9"/>
      <c r="G720" s="11">
        <v>4000.0</v>
      </c>
      <c r="H720" s="6"/>
      <c r="I720" s="7" t="s">
        <v>2596</v>
      </c>
      <c r="J720" s="2" t="s">
        <v>2597</v>
      </c>
      <c r="K720" s="1" t="s">
        <v>23</v>
      </c>
      <c r="M720" s="12" t="str">
        <f t="shared" si="66"/>
        <v>Expense</v>
      </c>
      <c r="N720" s="2" t="s">
        <v>1835</v>
      </c>
      <c r="O720" s="2">
        <v>1.10751038E8</v>
      </c>
      <c r="Q720" s="8">
        <v>2025.0</v>
      </c>
      <c r="R720" s="8" t="s">
        <v>1933</v>
      </c>
    </row>
    <row r="721">
      <c r="A721" s="4" t="s">
        <v>18</v>
      </c>
      <c r="B721" s="2" t="s">
        <v>2598</v>
      </c>
      <c r="C721" s="5">
        <v>45918.0</v>
      </c>
      <c r="D721" s="5">
        <v>45918.0</v>
      </c>
      <c r="E721" s="4" t="s">
        <v>2599</v>
      </c>
      <c r="F721" s="9"/>
      <c r="G721" s="6"/>
      <c r="H721" s="7">
        <v>607.0</v>
      </c>
      <c r="I721" s="7" t="s">
        <v>2600</v>
      </c>
      <c r="K721" s="2" t="s">
        <v>113</v>
      </c>
      <c r="L721" s="2" t="s">
        <v>2601</v>
      </c>
      <c r="M721" s="12" t="str">
        <f t="shared" si="66"/>
        <v>Income</v>
      </c>
      <c r="N721" s="12" t="str">
        <f t="shared" ref="N721:N725" si="71">if(H721&gt;0,"Sales","")</f>
        <v>Sales</v>
      </c>
      <c r="O721" s="2">
        <v>1.10751038E8</v>
      </c>
      <c r="P721" s="15" t="str">
        <f>IFERROR(__xludf.DUMMYFUNCTION("CONCATENATE(B721,"", "", to_text(D721),"", "", E721,"", "", H721)"),"TSV-09-0180, 18-Sep-2025, UPI/CR/405726817218/NEHA KU/SBIN/9637130/Payment, 607")</f>
        <v>TSV-09-0180, 18-Sep-2025, UPI/CR/405726817218/NEHA KU/SBIN/9637130/Payment, 607</v>
      </c>
      <c r="Q721" s="8">
        <v>2025.0</v>
      </c>
      <c r="R721" s="8" t="s">
        <v>1933</v>
      </c>
    </row>
    <row r="722">
      <c r="A722" s="4" t="s">
        <v>18</v>
      </c>
      <c r="B722" s="2" t="s">
        <v>2602</v>
      </c>
      <c r="C722" s="5">
        <v>45918.0</v>
      </c>
      <c r="D722" s="5">
        <v>45918.0</v>
      </c>
      <c r="E722" s="4" t="s">
        <v>2603</v>
      </c>
      <c r="F722" s="9"/>
      <c r="G722" s="6"/>
      <c r="H722" s="7">
        <v>548.0</v>
      </c>
      <c r="I722" s="7" t="s">
        <v>2604</v>
      </c>
      <c r="K722" s="12" t="str">
        <f t="shared" ref="K722:K725" si="72">RIGHT(E722,6)</f>
        <v>UN3668</v>
      </c>
      <c r="L722" s="2" t="s">
        <v>2605</v>
      </c>
      <c r="M722" s="12" t="str">
        <f t="shared" si="66"/>
        <v>Income</v>
      </c>
      <c r="N722" s="12" t="str">
        <f t="shared" si="71"/>
        <v>Sales</v>
      </c>
      <c r="O722" s="2">
        <v>1.10751038E8</v>
      </c>
      <c r="P722" s="15"/>
      <c r="Q722" s="8">
        <v>2025.0</v>
      </c>
      <c r="R722" s="8" t="s">
        <v>1933</v>
      </c>
    </row>
    <row r="723">
      <c r="A723" s="4" t="s">
        <v>18</v>
      </c>
      <c r="B723" s="2" t="s">
        <v>2606</v>
      </c>
      <c r="C723" s="5">
        <v>45918.0</v>
      </c>
      <c r="D723" s="5">
        <v>45918.0</v>
      </c>
      <c r="E723" s="4" t="s">
        <v>2607</v>
      </c>
      <c r="F723" s="9"/>
      <c r="G723" s="6"/>
      <c r="H723" s="7">
        <v>120.0</v>
      </c>
      <c r="I723" s="7" t="s">
        <v>2608</v>
      </c>
      <c r="K723" s="12" t="str">
        <f t="shared" si="72"/>
        <v>UN3668</v>
      </c>
      <c r="L723" s="2" t="s">
        <v>2609</v>
      </c>
      <c r="M723" s="12" t="str">
        <f t="shared" si="66"/>
        <v>Income</v>
      </c>
      <c r="N723" s="12" t="str">
        <f t="shared" si="71"/>
        <v>Sales</v>
      </c>
      <c r="O723" s="2">
        <v>1.10751038E8</v>
      </c>
      <c r="P723" s="15"/>
      <c r="Q723" s="8">
        <v>2025.0</v>
      </c>
      <c r="R723" s="8" t="s">
        <v>1933</v>
      </c>
    </row>
    <row r="724">
      <c r="A724" s="4" t="s">
        <v>18</v>
      </c>
      <c r="B724" s="2" t="s">
        <v>2610</v>
      </c>
      <c r="C724" s="5">
        <v>45918.0</v>
      </c>
      <c r="D724" s="5">
        <v>45918.0</v>
      </c>
      <c r="E724" s="4" t="s">
        <v>2611</v>
      </c>
      <c r="F724" s="9"/>
      <c r="G724" s="6"/>
      <c r="H724" s="7">
        <v>427.0</v>
      </c>
      <c r="I724" s="7" t="s">
        <v>2612</v>
      </c>
      <c r="K724" s="12" t="str">
        <f t="shared" si="72"/>
        <v>UN3668</v>
      </c>
      <c r="L724" s="2" t="s">
        <v>2613</v>
      </c>
      <c r="M724" s="12" t="str">
        <f t="shared" si="66"/>
        <v>Income</v>
      </c>
      <c r="N724" s="12" t="str">
        <f t="shared" si="71"/>
        <v>Sales</v>
      </c>
      <c r="O724" s="2">
        <v>1.10751038E8</v>
      </c>
      <c r="P724" s="15"/>
      <c r="Q724" s="8">
        <v>2025.0</v>
      </c>
      <c r="R724" s="8" t="s">
        <v>1933</v>
      </c>
    </row>
    <row r="725">
      <c r="A725" s="4" t="s">
        <v>18</v>
      </c>
      <c r="B725" s="2" t="s">
        <v>2614</v>
      </c>
      <c r="C725" s="5">
        <v>45918.0</v>
      </c>
      <c r="D725" s="5">
        <v>45918.0</v>
      </c>
      <c r="E725" s="4" t="s">
        <v>2615</v>
      </c>
      <c r="F725" s="9"/>
      <c r="G725" s="6"/>
      <c r="H725" s="7">
        <v>806.0</v>
      </c>
      <c r="I725" s="7" t="s">
        <v>2616</v>
      </c>
      <c r="K725" s="12" t="str">
        <f t="shared" si="72"/>
        <v>UN3668</v>
      </c>
      <c r="L725" s="2" t="s">
        <v>2617</v>
      </c>
      <c r="M725" s="12" t="str">
        <f t="shared" si="66"/>
        <v>Income</v>
      </c>
      <c r="N725" s="12" t="str">
        <f t="shared" si="71"/>
        <v>Sales</v>
      </c>
      <c r="O725" s="2">
        <v>1.10751038E8</v>
      </c>
      <c r="P725" s="15"/>
      <c r="Q725" s="8">
        <v>2025.0</v>
      </c>
      <c r="R725" s="8" t="s">
        <v>1933</v>
      </c>
    </row>
    <row r="726">
      <c r="A726" s="4" t="s">
        <v>18</v>
      </c>
      <c r="B726" s="2" t="s">
        <v>2618</v>
      </c>
      <c r="C726" s="5">
        <v>45918.0</v>
      </c>
      <c r="D726" s="5">
        <v>45918.0</v>
      </c>
      <c r="E726" s="4" t="s">
        <v>2619</v>
      </c>
      <c r="F726" s="9"/>
      <c r="G726" s="11">
        <v>31928.14</v>
      </c>
      <c r="H726" s="6"/>
      <c r="I726" s="7" t="s">
        <v>2620</v>
      </c>
      <c r="K726" s="2" t="s">
        <v>119</v>
      </c>
      <c r="M726" s="12" t="str">
        <f t="shared" si="66"/>
        <v>Expense</v>
      </c>
      <c r="N726" s="2" t="s">
        <v>478</v>
      </c>
      <c r="O726" s="2">
        <v>1.10751038E8</v>
      </c>
      <c r="Q726" s="8">
        <v>2025.0</v>
      </c>
      <c r="R726" s="8" t="s">
        <v>1933</v>
      </c>
    </row>
    <row r="727">
      <c r="A727" s="4" t="s">
        <v>18</v>
      </c>
      <c r="B727" s="2" t="s">
        <v>2621</v>
      </c>
      <c r="C727" s="5">
        <v>45918.0</v>
      </c>
      <c r="D727" s="5">
        <v>45918.0</v>
      </c>
      <c r="E727" s="4" t="s">
        <v>2622</v>
      </c>
      <c r="F727" s="9"/>
      <c r="G727" s="6"/>
      <c r="H727" s="7">
        <v>83.0</v>
      </c>
      <c r="I727" s="7" t="s">
        <v>2623</v>
      </c>
      <c r="K727" s="12" t="str">
        <f t="shared" ref="K727:K729" si="73">RIGHT(E727,6)</f>
        <v>UN3668</v>
      </c>
      <c r="L727" s="2" t="s">
        <v>2624</v>
      </c>
      <c r="M727" s="12" t="str">
        <f t="shared" si="66"/>
        <v>Income</v>
      </c>
      <c r="N727" s="12" t="str">
        <f t="shared" ref="N727:N736" si="74">if(H727&gt;0,"Sales","")</f>
        <v>Sales</v>
      </c>
      <c r="O727" s="2">
        <v>1.10751038E8</v>
      </c>
      <c r="P727" s="15"/>
      <c r="Q727" s="8">
        <v>2025.0</v>
      </c>
      <c r="R727" s="8" t="s">
        <v>1933</v>
      </c>
    </row>
    <row r="728">
      <c r="A728" s="4" t="s">
        <v>18</v>
      </c>
      <c r="B728" s="2" t="s">
        <v>2625</v>
      </c>
      <c r="C728" s="5">
        <v>45918.0</v>
      </c>
      <c r="D728" s="5">
        <v>45918.0</v>
      </c>
      <c r="E728" s="4" t="s">
        <v>2626</v>
      </c>
      <c r="F728" s="9"/>
      <c r="G728" s="6"/>
      <c r="H728" s="7">
        <v>325.0</v>
      </c>
      <c r="I728" s="7" t="s">
        <v>2627</v>
      </c>
      <c r="K728" s="12" t="str">
        <f t="shared" si="73"/>
        <v>KN3817</v>
      </c>
      <c r="L728" s="2" t="s">
        <v>229</v>
      </c>
      <c r="M728" s="12" t="str">
        <f t="shared" si="66"/>
        <v>Income</v>
      </c>
      <c r="N728" s="12" t="str">
        <f t="shared" si="74"/>
        <v>Sales</v>
      </c>
      <c r="O728" s="2">
        <v>1.10751038E8</v>
      </c>
      <c r="P728" s="15"/>
      <c r="Q728" s="8">
        <v>2025.0</v>
      </c>
      <c r="R728" s="8" t="s">
        <v>1933</v>
      </c>
    </row>
    <row r="729">
      <c r="A729" s="4" t="s">
        <v>18</v>
      </c>
      <c r="B729" s="2" t="s">
        <v>2628</v>
      </c>
      <c r="C729" s="5">
        <v>45918.0</v>
      </c>
      <c r="D729" s="5">
        <v>45918.0</v>
      </c>
      <c r="E729" s="4" t="s">
        <v>2629</v>
      </c>
      <c r="F729" s="9"/>
      <c r="G729" s="6"/>
      <c r="H729" s="7">
        <v>300.0</v>
      </c>
      <c r="I729" s="7" t="s">
        <v>2630</v>
      </c>
      <c r="K729" s="12" t="str">
        <f t="shared" si="73"/>
        <v>SC3567</v>
      </c>
      <c r="L729" s="2" t="s">
        <v>2631</v>
      </c>
      <c r="M729" s="12" t="str">
        <f t="shared" si="66"/>
        <v>Income</v>
      </c>
      <c r="N729" s="12" t="str">
        <f t="shared" si="74"/>
        <v>Sales</v>
      </c>
      <c r="O729" s="2">
        <v>1.10751038E8</v>
      </c>
      <c r="P729" s="15"/>
      <c r="Q729" s="8">
        <v>2025.0</v>
      </c>
      <c r="R729" s="8" t="s">
        <v>1933</v>
      </c>
    </row>
    <row r="730">
      <c r="A730" s="4" t="s">
        <v>18</v>
      </c>
      <c r="B730" s="2" t="s">
        <v>2632</v>
      </c>
      <c r="C730" s="5">
        <v>45918.0</v>
      </c>
      <c r="D730" s="5">
        <v>45918.0</v>
      </c>
      <c r="E730" s="4" t="s">
        <v>2633</v>
      </c>
      <c r="F730" s="9"/>
      <c r="G730" s="6"/>
      <c r="H730" s="7">
        <v>341.0</v>
      </c>
      <c r="I730" s="7" t="s">
        <v>2634</v>
      </c>
      <c r="K730" s="2" t="s">
        <v>539</v>
      </c>
      <c r="M730" s="12" t="str">
        <f t="shared" si="66"/>
        <v>Income</v>
      </c>
      <c r="N730" s="12" t="str">
        <f t="shared" si="74"/>
        <v>Sales</v>
      </c>
      <c r="O730" s="2">
        <v>1.10751038E8</v>
      </c>
      <c r="P730" s="15" t="str">
        <f>IFERROR(__xludf.DUMMYFUNCTION("CONCATENATE(B730,"", "", to_text(D730),"", "", E730,"", "", H730)"),"TSV-09-0189, 18-Sep-2025, UPI/CR/111435289178/SOHUM MU/HDFC/sohum.3/PAY BY, 341")</f>
        <v>TSV-09-0189, 18-Sep-2025, UPI/CR/111435289178/SOHUM MU/HDFC/sohum.3/PAY BY, 341</v>
      </c>
      <c r="Q730" s="8">
        <v>2025.0</v>
      </c>
      <c r="R730" s="8" t="s">
        <v>1933</v>
      </c>
    </row>
    <row r="731">
      <c r="A731" s="4" t="s">
        <v>18</v>
      </c>
      <c r="B731" s="2" t="s">
        <v>2635</v>
      </c>
      <c r="C731" s="5">
        <v>45918.0</v>
      </c>
      <c r="D731" s="5">
        <v>45918.0</v>
      </c>
      <c r="E731" s="4" t="s">
        <v>2636</v>
      </c>
      <c r="F731" s="9"/>
      <c r="G731" s="6"/>
      <c r="H731" s="11">
        <v>1443.0</v>
      </c>
      <c r="I731" s="7" t="s">
        <v>2637</v>
      </c>
      <c r="K731" s="12" t="str">
        <f t="shared" ref="K731:K736" si="75">RIGHT(E731,6)</f>
        <v>UN3668</v>
      </c>
      <c r="L731" s="2" t="s">
        <v>2638</v>
      </c>
      <c r="M731" s="12" t="str">
        <f t="shared" si="66"/>
        <v>Income</v>
      </c>
      <c r="N731" s="12" t="str">
        <f t="shared" si="74"/>
        <v>Sales</v>
      </c>
      <c r="O731" s="2">
        <v>1.10751038E8</v>
      </c>
      <c r="P731" s="15"/>
      <c r="Q731" s="8">
        <v>2025.0</v>
      </c>
      <c r="R731" s="8" t="s">
        <v>1933</v>
      </c>
    </row>
    <row r="732">
      <c r="A732" s="4" t="s">
        <v>18</v>
      </c>
      <c r="B732" s="2" t="s">
        <v>2639</v>
      </c>
      <c r="C732" s="5">
        <v>45919.0</v>
      </c>
      <c r="D732" s="5">
        <v>45919.0</v>
      </c>
      <c r="E732" s="4" t="s">
        <v>2640</v>
      </c>
      <c r="F732" s="9"/>
      <c r="G732" s="6"/>
      <c r="H732" s="7">
        <v>99.0</v>
      </c>
      <c r="I732" s="7" t="s">
        <v>2641</v>
      </c>
      <c r="K732" s="12" t="str">
        <f t="shared" si="75"/>
        <v>SC3567</v>
      </c>
      <c r="L732" s="2" t="s">
        <v>2642</v>
      </c>
      <c r="M732" s="12" t="str">
        <f t="shared" si="66"/>
        <v>Income</v>
      </c>
      <c r="N732" s="12" t="str">
        <f t="shared" si="74"/>
        <v>Sales</v>
      </c>
      <c r="O732" s="2">
        <v>1.10751038E8</v>
      </c>
      <c r="P732" s="15"/>
      <c r="Q732" s="8">
        <v>2025.0</v>
      </c>
      <c r="R732" s="8" t="s">
        <v>1933</v>
      </c>
    </row>
    <row r="733">
      <c r="A733" s="4" t="s">
        <v>18</v>
      </c>
      <c r="B733" s="2" t="s">
        <v>2643</v>
      </c>
      <c r="C733" s="5">
        <v>45919.0</v>
      </c>
      <c r="D733" s="5">
        <v>45919.0</v>
      </c>
      <c r="E733" s="4" t="s">
        <v>2644</v>
      </c>
      <c r="F733" s="9"/>
      <c r="G733" s="6"/>
      <c r="H733" s="7">
        <v>320.0</v>
      </c>
      <c r="I733" s="7" t="s">
        <v>2645</v>
      </c>
      <c r="K733" s="12" t="str">
        <f t="shared" si="75"/>
        <v>KN3817</v>
      </c>
      <c r="L733" s="2" t="s">
        <v>2646</v>
      </c>
      <c r="M733" s="12" t="str">
        <f t="shared" si="66"/>
        <v>Income</v>
      </c>
      <c r="N733" s="12" t="str">
        <f t="shared" si="74"/>
        <v>Sales</v>
      </c>
      <c r="O733" s="2">
        <v>1.10751038E8</v>
      </c>
      <c r="P733" s="15"/>
      <c r="Q733" s="8">
        <v>2025.0</v>
      </c>
      <c r="R733" s="8" t="s">
        <v>1933</v>
      </c>
    </row>
    <row r="734">
      <c r="A734" s="4" t="s">
        <v>18</v>
      </c>
      <c r="B734" s="2" t="s">
        <v>2647</v>
      </c>
      <c r="C734" s="5">
        <v>45919.0</v>
      </c>
      <c r="D734" s="5">
        <v>45919.0</v>
      </c>
      <c r="E734" s="4" t="s">
        <v>2648</v>
      </c>
      <c r="F734" s="9"/>
      <c r="G734" s="6"/>
      <c r="H734" s="7">
        <v>130.0</v>
      </c>
      <c r="I734" s="7" t="s">
        <v>2649</v>
      </c>
      <c r="K734" s="12" t="str">
        <f t="shared" si="75"/>
        <v>UN3668</v>
      </c>
      <c r="L734" s="2" t="s">
        <v>2650</v>
      </c>
      <c r="M734" s="12" t="str">
        <f t="shared" si="66"/>
        <v>Income</v>
      </c>
      <c r="N734" s="12" t="str">
        <f t="shared" si="74"/>
        <v>Sales</v>
      </c>
      <c r="O734" s="2">
        <v>1.10751038E8</v>
      </c>
      <c r="P734" s="15"/>
      <c r="Q734" s="8">
        <v>2025.0</v>
      </c>
      <c r="R734" s="8" t="s">
        <v>1933</v>
      </c>
    </row>
    <row r="735">
      <c r="A735" s="4" t="s">
        <v>18</v>
      </c>
      <c r="B735" s="2" t="s">
        <v>2651</v>
      </c>
      <c r="C735" s="5">
        <v>45919.0</v>
      </c>
      <c r="D735" s="5">
        <v>45919.0</v>
      </c>
      <c r="E735" s="4" t="s">
        <v>2652</v>
      </c>
      <c r="F735" s="9"/>
      <c r="G735" s="6"/>
      <c r="H735" s="7">
        <v>300.0</v>
      </c>
      <c r="I735" s="7" t="s">
        <v>2653</v>
      </c>
      <c r="K735" s="12" t="str">
        <f t="shared" si="75"/>
        <v>KN3817</v>
      </c>
      <c r="L735" s="2" t="s">
        <v>451</v>
      </c>
      <c r="M735" s="12" t="str">
        <f t="shared" si="66"/>
        <v>Income</v>
      </c>
      <c r="N735" s="12" t="str">
        <f t="shared" si="74"/>
        <v>Sales</v>
      </c>
      <c r="O735" s="2">
        <v>1.10751038E8</v>
      </c>
      <c r="P735" s="15"/>
      <c r="Q735" s="8">
        <v>2025.0</v>
      </c>
      <c r="R735" s="8" t="s">
        <v>1933</v>
      </c>
    </row>
    <row r="736">
      <c r="A736" s="4" t="s">
        <v>18</v>
      </c>
      <c r="B736" s="2" t="s">
        <v>2654</v>
      </c>
      <c r="C736" s="5">
        <v>45919.0</v>
      </c>
      <c r="D736" s="5">
        <v>45919.0</v>
      </c>
      <c r="E736" s="4" t="s">
        <v>2655</v>
      </c>
      <c r="F736" s="9"/>
      <c r="G736" s="6"/>
      <c r="H736" s="7">
        <v>600.0</v>
      </c>
      <c r="I736" s="7" t="s">
        <v>2656</v>
      </c>
      <c r="K736" s="12" t="str">
        <f t="shared" si="75"/>
        <v>UN3668</v>
      </c>
      <c r="L736" s="2" t="s">
        <v>2657</v>
      </c>
      <c r="M736" s="12" t="str">
        <f t="shared" si="66"/>
        <v>Income</v>
      </c>
      <c r="N736" s="12" t="str">
        <f t="shared" si="74"/>
        <v>Sales</v>
      </c>
      <c r="O736" s="2">
        <v>1.10751038E8</v>
      </c>
      <c r="P736" s="15"/>
      <c r="Q736" s="8">
        <v>2025.0</v>
      </c>
      <c r="R736" s="8" t="s">
        <v>1933</v>
      </c>
    </row>
    <row r="737">
      <c r="A737" s="4" t="s">
        <v>18</v>
      </c>
      <c r="B737" s="2" t="s">
        <v>2658</v>
      </c>
      <c r="C737" s="5">
        <v>45919.0</v>
      </c>
      <c r="D737" s="5">
        <v>45919.0</v>
      </c>
      <c r="E737" s="4" t="s">
        <v>2659</v>
      </c>
      <c r="F737" s="9"/>
      <c r="G737" s="11">
        <v>7173.41</v>
      </c>
      <c r="H737" s="6"/>
      <c r="I737" s="7" t="s">
        <v>2660</v>
      </c>
      <c r="K737" s="2" t="s">
        <v>119</v>
      </c>
      <c r="M737" s="12" t="str">
        <f t="shared" si="66"/>
        <v>Expense</v>
      </c>
      <c r="N737" s="2" t="s">
        <v>275</v>
      </c>
      <c r="O737" s="2">
        <v>1.10751038E8</v>
      </c>
      <c r="Q737" s="8">
        <v>2025.0</v>
      </c>
      <c r="R737" s="8" t="s">
        <v>1933</v>
      </c>
    </row>
    <row r="738">
      <c r="A738" s="4" t="s">
        <v>18</v>
      </c>
      <c r="B738" s="2" t="s">
        <v>2661</v>
      </c>
      <c r="C738" s="5">
        <v>45919.0</v>
      </c>
      <c r="D738" s="5">
        <v>45919.0</v>
      </c>
      <c r="E738" s="4" t="s">
        <v>2662</v>
      </c>
      <c r="F738" s="9"/>
      <c r="G738" s="6"/>
      <c r="H738" s="7">
        <v>298.0</v>
      </c>
      <c r="I738" s="7" t="s">
        <v>2663</v>
      </c>
      <c r="K738" s="12" t="str">
        <f>RIGHT(E738,6)</f>
        <v>SC3567</v>
      </c>
      <c r="L738" s="2" t="s">
        <v>2664</v>
      </c>
      <c r="M738" s="12" t="str">
        <f t="shared" si="66"/>
        <v>Income</v>
      </c>
      <c r="N738" s="12" t="str">
        <f>if(H738&gt;0,"Sales","")</f>
        <v>Sales</v>
      </c>
      <c r="O738" s="2">
        <v>1.10751038E8</v>
      </c>
      <c r="P738" s="15"/>
      <c r="Q738" s="8">
        <v>2025.0</v>
      </c>
      <c r="R738" s="8" t="s">
        <v>1933</v>
      </c>
    </row>
    <row r="739">
      <c r="A739" s="4" t="s">
        <v>18</v>
      </c>
      <c r="B739" s="2" t="s">
        <v>2665</v>
      </c>
      <c r="C739" s="5">
        <v>45919.0</v>
      </c>
      <c r="D739" s="5">
        <v>45919.0</v>
      </c>
      <c r="E739" s="4" t="s">
        <v>2666</v>
      </c>
      <c r="F739" s="9"/>
      <c r="G739" s="7">
        <v>725.26</v>
      </c>
      <c r="H739" s="6"/>
      <c r="I739" s="7" t="s">
        <v>2667</v>
      </c>
      <c r="K739" s="2" t="s">
        <v>127</v>
      </c>
      <c r="M739" s="12" t="str">
        <f t="shared" si="66"/>
        <v>Expense</v>
      </c>
      <c r="N739" s="2" t="s">
        <v>275</v>
      </c>
      <c r="O739" s="2">
        <v>1.10751038E8</v>
      </c>
      <c r="Q739" s="8">
        <v>2025.0</v>
      </c>
      <c r="R739" s="8" t="s">
        <v>1933</v>
      </c>
    </row>
    <row r="740">
      <c r="A740" s="4" t="s">
        <v>18</v>
      </c>
      <c r="B740" s="2" t="s">
        <v>2668</v>
      </c>
      <c r="C740" s="5">
        <v>45919.0</v>
      </c>
      <c r="D740" s="5">
        <v>45919.0</v>
      </c>
      <c r="E740" s="4" t="s">
        <v>2669</v>
      </c>
      <c r="F740" s="9"/>
      <c r="G740" s="11">
        <v>22500.0</v>
      </c>
      <c r="H740" s="6"/>
      <c r="I740" s="7" t="s">
        <v>2670</v>
      </c>
      <c r="K740" s="1" t="s">
        <v>23</v>
      </c>
      <c r="M740" s="12" t="str">
        <f t="shared" si="66"/>
        <v>Expense</v>
      </c>
      <c r="N740" s="2" t="s">
        <v>2671</v>
      </c>
      <c r="O740" s="2">
        <v>1.10751038E8</v>
      </c>
      <c r="Q740" s="8">
        <v>2025.0</v>
      </c>
      <c r="R740" s="8" t="s">
        <v>1933</v>
      </c>
    </row>
    <row r="741">
      <c r="A741" s="4" t="s">
        <v>18</v>
      </c>
      <c r="B741" s="2" t="s">
        <v>2672</v>
      </c>
      <c r="C741" s="5">
        <v>45920.0</v>
      </c>
      <c r="D741" s="5">
        <v>45920.0</v>
      </c>
      <c r="E741" s="4" t="s">
        <v>2673</v>
      </c>
      <c r="F741" s="9"/>
      <c r="G741" s="6"/>
      <c r="H741" s="7">
        <v>330.0</v>
      </c>
      <c r="I741" s="7" t="s">
        <v>2674</v>
      </c>
      <c r="K741" s="12" t="str">
        <f t="shared" ref="K741:K745" si="76">RIGHT(E741,6)</f>
        <v>KN3817</v>
      </c>
      <c r="L741" s="2" t="s">
        <v>2675</v>
      </c>
      <c r="M741" s="12" t="str">
        <f t="shared" si="66"/>
        <v>Income</v>
      </c>
      <c r="N741" s="12" t="str">
        <f t="shared" ref="N741:N745" si="77">if(H741&gt;0,"Sales","")</f>
        <v>Sales</v>
      </c>
      <c r="O741" s="2">
        <v>1.10751038E8</v>
      </c>
      <c r="P741" s="15"/>
      <c r="Q741" s="8">
        <v>2025.0</v>
      </c>
      <c r="R741" s="8" t="s">
        <v>1933</v>
      </c>
    </row>
    <row r="742">
      <c r="A742" s="4" t="s">
        <v>18</v>
      </c>
      <c r="B742" s="2" t="s">
        <v>2676</v>
      </c>
      <c r="C742" s="5">
        <v>45920.0</v>
      </c>
      <c r="D742" s="5">
        <v>45920.0</v>
      </c>
      <c r="E742" s="4" t="s">
        <v>2677</v>
      </c>
      <c r="F742" s="9"/>
      <c r="G742" s="6"/>
      <c r="H742" s="7">
        <v>500.0</v>
      </c>
      <c r="I742" s="7" t="s">
        <v>2678</v>
      </c>
      <c r="K742" s="12" t="str">
        <f t="shared" si="76"/>
        <v>KN3817</v>
      </c>
      <c r="L742" s="2" t="s">
        <v>2679</v>
      </c>
      <c r="M742" s="12" t="str">
        <f t="shared" si="66"/>
        <v>Income</v>
      </c>
      <c r="N742" s="12" t="str">
        <f t="shared" si="77"/>
        <v>Sales</v>
      </c>
      <c r="O742" s="2">
        <v>1.10751038E8</v>
      </c>
      <c r="P742" s="15"/>
      <c r="Q742" s="8">
        <v>2025.0</v>
      </c>
      <c r="R742" s="8" t="s">
        <v>1933</v>
      </c>
    </row>
    <row r="743">
      <c r="A743" s="4" t="s">
        <v>18</v>
      </c>
      <c r="B743" s="2" t="s">
        <v>2680</v>
      </c>
      <c r="C743" s="5">
        <v>45920.0</v>
      </c>
      <c r="D743" s="5">
        <v>45920.0</v>
      </c>
      <c r="E743" s="4" t="s">
        <v>2681</v>
      </c>
      <c r="F743" s="9"/>
      <c r="G743" s="6"/>
      <c r="H743" s="7">
        <v>538.0</v>
      </c>
      <c r="I743" s="7" t="s">
        <v>2682</v>
      </c>
      <c r="K743" s="12" t="str">
        <f t="shared" si="76"/>
        <v>KN3817</v>
      </c>
      <c r="L743" s="2" t="s">
        <v>2683</v>
      </c>
      <c r="M743" s="12" t="str">
        <f t="shared" si="66"/>
        <v>Income</v>
      </c>
      <c r="N743" s="12" t="str">
        <f t="shared" si="77"/>
        <v>Sales</v>
      </c>
      <c r="O743" s="2">
        <v>1.10751038E8</v>
      </c>
      <c r="P743" s="15"/>
      <c r="Q743" s="8">
        <v>2025.0</v>
      </c>
      <c r="R743" s="8" t="s">
        <v>1933</v>
      </c>
    </row>
    <row r="744">
      <c r="A744" s="4" t="s">
        <v>18</v>
      </c>
      <c r="B744" s="2" t="s">
        <v>2684</v>
      </c>
      <c r="C744" s="5">
        <v>45920.0</v>
      </c>
      <c r="D744" s="5">
        <v>45920.0</v>
      </c>
      <c r="E744" s="4" t="s">
        <v>2685</v>
      </c>
      <c r="F744" s="9"/>
      <c r="G744" s="6"/>
      <c r="H744" s="7">
        <v>425.0</v>
      </c>
      <c r="I744" s="7" t="s">
        <v>2686</v>
      </c>
      <c r="K744" s="12" t="str">
        <f t="shared" si="76"/>
        <v>UN3668</v>
      </c>
      <c r="L744" s="2" t="s">
        <v>2687</v>
      </c>
      <c r="M744" s="12" t="str">
        <f t="shared" si="66"/>
        <v>Income</v>
      </c>
      <c r="N744" s="12" t="str">
        <f t="shared" si="77"/>
        <v>Sales</v>
      </c>
      <c r="O744" s="2">
        <v>1.10751038E8</v>
      </c>
      <c r="P744" s="15"/>
      <c r="Q744" s="8">
        <v>2025.0</v>
      </c>
      <c r="R744" s="8" t="s">
        <v>1933</v>
      </c>
    </row>
    <row r="745">
      <c r="A745" s="4" t="s">
        <v>18</v>
      </c>
      <c r="B745" s="2" t="s">
        <v>2688</v>
      </c>
      <c r="C745" s="5">
        <v>45920.0</v>
      </c>
      <c r="D745" s="5">
        <v>45920.0</v>
      </c>
      <c r="E745" s="4" t="s">
        <v>2689</v>
      </c>
      <c r="F745" s="9"/>
      <c r="G745" s="6"/>
      <c r="H745" s="7">
        <v>280.0</v>
      </c>
      <c r="I745" s="7" t="s">
        <v>2690</v>
      </c>
      <c r="K745" s="12" t="str">
        <f t="shared" si="76"/>
        <v>UN3668</v>
      </c>
      <c r="L745" s="2" t="s">
        <v>2691</v>
      </c>
      <c r="M745" s="12" t="str">
        <f t="shared" si="66"/>
        <v>Income</v>
      </c>
      <c r="N745" s="12" t="str">
        <f t="shared" si="77"/>
        <v>Sales</v>
      </c>
      <c r="O745" s="2">
        <v>1.10751038E8</v>
      </c>
      <c r="P745" s="15"/>
      <c r="Q745" s="8">
        <v>2025.0</v>
      </c>
      <c r="R745" s="8" t="s">
        <v>1933</v>
      </c>
    </row>
    <row r="746">
      <c r="A746" s="4" t="s">
        <v>18</v>
      </c>
      <c r="B746" s="2" t="s">
        <v>2692</v>
      </c>
      <c r="C746" s="5">
        <v>45921.0</v>
      </c>
      <c r="D746" s="5">
        <v>45921.0</v>
      </c>
      <c r="E746" s="4" t="s">
        <v>2693</v>
      </c>
      <c r="F746" s="9"/>
      <c r="G746" s="11">
        <v>5765.0</v>
      </c>
      <c r="H746" s="6"/>
      <c r="I746" s="7" t="s">
        <v>2694</v>
      </c>
      <c r="K746" s="2" t="s">
        <v>123</v>
      </c>
      <c r="M746" s="12" t="str">
        <f t="shared" si="66"/>
        <v>Expense</v>
      </c>
      <c r="N746" s="2" t="s">
        <v>2695</v>
      </c>
      <c r="O746" s="2">
        <v>1.10751038E8</v>
      </c>
      <c r="Q746" s="8">
        <v>2025.0</v>
      </c>
      <c r="R746" s="8" t="s">
        <v>1933</v>
      </c>
    </row>
    <row r="747">
      <c r="A747" s="4" t="s">
        <v>18</v>
      </c>
      <c r="B747" s="2" t="s">
        <v>2696</v>
      </c>
      <c r="C747" s="5">
        <v>45921.0</v>
      </c>
      <c r="D747" s="5">
        <v>45921.0</v>
      </c>
      <c r="E747" s="4" t="s">
        <v>2697</v>
      </c>
      <c r="F747" s="9"/>
      <c r="G747" s="6"/>
      <c r="H747" s="7">
        <v>450.0</v>
      </c>
      <c r="I747" s="7" t="s">
        <v>2698</v>
      </c>
      <c r="K747" s="12" t="str">
        <f t="shared" ref="K747:K749" si="78">RIGHT(E747,6)</f>
        <v>KN3817</v>
      </c>
      <c r="L747" s="2" t="s">
        <v>360</v>
      </c>
      <c r="M747" s="12" t="str">
        <f t="shared" si="66"/>
        <v>Income</v>
      </c>
      <c r="N747" s="12" t="str">
        <f t="shared" ref="N747:N749" si="79">if(H747&gt;0,"Sales","")</f>
        <v>Sales</v>
      </c>
      <c r="O747" s="2">
        <v>1.10751038E8</v>
      </c>
      <c r="P747" s="15"/>
      <c r="Q747" s="8">
        <v>2025.0</v>
      </c>
      <c r="R747" s="8" t="s">
        <v>1933</v>
      </c>
    </row>
    <row r="748">
      <c r="A748" s="4" t="s">
        <v>18</v>
      </c>
      <c r="B748" s="2" t="s">
        <v>2699</v>
      </c>
      <c r="C748" s="5">
        <v>45921.0</v>
      </c>
      <c r="D748" s="5">
        <v>45921.0</v>
      </c>
      <c r="E748" s="4" t="s">
        <v>2700</v>
      </c>
      <c r="F748" s="9"/>
      <c r="G748" s="6"/>
      <c r="H748" s="7">
        <v>275.0</v>
      </c>
      <c r="I748" s="7" t="s">
        <v>2701</v>
      </c>
      <c r="K748" s="12" t="str">
        <f t="shared" si="78"/>
        <v>UN3668</v>
      </c>
      <c r="L748" s="2" t="s">
        <v>2702</v>
      </c>
      <c r="M748" s="12" t="str">
        <f t="shared" si="66"/>
        <v>Income</v>
      </c>
      <c r="N748" s="12" t="str">
        <f t="shared" si="79"/>
        <v>Sales</v>
      </c>
      <c r="O748" s="2">
        <v>1.10751038E8</v>
      </c>
      <c r="P748" s="15"/>
      <c r="Q748" s="8">
        <v>2025.0</v>
      </c>
      <c r="R748" s="8" t="s">
        <v>1933</v>
      </c>
    </row>
    <row r="749">
      <c r="A749" s="4" t="s">
        <v>18</v>
      </c>
      <c r="B749" s="2" t="s">
        <v>2703</v>
      </c>
      <c r="C749" s="5">
        <v>45921.0</v>
      </c>
      <c r="D749" s="5">
        <v>45921.0</v>
      </c>
      <c r="E749" s="4" t="s">
        <v>2704</v>
      </c>
      <c r="F749" s="9"/>
      <c r="G749" s="6"/>
      <c r="H749" s="11">
        <v>1406.0</v>
      </c>
      <c r="I749" s="7" t="s">
        <v>2705</v>
      </c>
      <c r="K749" s="12" t="str">
        <f t="shared" si="78"/>
        <v>UN3668</v>
      </c>
      <c r="L749" s="2" t="s">
        <v>2706</v>
      </c>
      <c r="M749" s="12" t="str">
        <f t="shared" si="66"/>
        <v>Income</v>
      </c>
      <c r="N749" s="12" t="str">
        <f t="shared" si="79"/>
        <v>Sales</v>
      </c>
      <c r="O749" s="2">
        <v>1.10751038E8</v>
      </c>
      <c r="P749" s="15"/>
      <c r="Q749" s="8">
        <v>2025.0</v>
      </c>
      <c r="R749" s="8" t="s">
        <v>1933</v>
      </c>
    </row>
    <row r="750">
      <c r="A750" s="4" t="s">
        <v>18</v>
      </c>
      <c r="B750" s="2" t="s">
        <v>2707</v>
      </c>
      <c r="C750" s="5">
        <v>45921.0</v>
      </c>
      <c r="D750" s="5">
        <v>45921.0</v>
      </c>
      <c r="E750" s="4" t="s">
        <v>2708</v>
      </c>
      <c r="F750" s="9"/>
      <c r="G750" s="7">
        <v>720.0</v>
      </c>
      <c r="H750" s="6"/>
      <c r="I750" s="7" t="s">
        <v>2709</v>
      </c>
      <c r="K750" s="2" t="s">
        <v>123</v>
      </c>
      <c r="M750" s="12" t="str">
        <f t="shared" si="66"/>
        <v>Expense</v>
      </c>
      <c r="N750" s="2" t="s">
        <v>220</v>
      </c>
      <c r="O750" s="2">
        <v>1.10751038E8</v>
      </c>
      <c r="Q750" s="8">
        <v>2025.0</v>
      </c>
      <c r="R750" s="8" t="s">
        <v>1933</v>
      </c>
    </row>
    <row r="751">
      <c r="A751" s="4" t="s">
        <v>18</v>
      </c>
      <c r="B751" s="2" t="s">
        <v>2710</v>
      </c>
      <c r="C751" s="5">
        <v>45921.0</v>
      </c>
      <c r="D751" s="5">
        <v>45921.0</v>
      </c>
      <c r="E751" s="4" t="s">
        <v>2711</v>
      </c>
      <c r="F751" s="9"/>
      <c r="G751" s="11">
        <v>9860.0</v>
      </c>
      <c r="H751" s="6"/>
      <c r="I751" s="7" t="s">
        <v>2712</v>
      </c>
      <c r="K751" s="2" t="s">
        <v>123</v>
      </c>
      <c r="M751" s="12" t="str">
        <f t="shared" si="66"/>
        <v>Expense</v>
      </c>
      <c r="N751" s="2" t="s">
        <v>220</v>
      </c>
      <c r="O751" s="2">
        <v>1.10751038E8</v>
      </c>
      <c r="Q751" s="8">
        <v>2025.0</v>
      </c>
      <c r="R751" s="8" t="s">
        <v>1933</v>
      </c>
    </row>
    <row r="752">
      <c r="A752" s="4" t="s">
        <v>18</v>
      </c>
      <c r="B752" s="2" t="s">
        <v>2713</v>
      </c>
      <c r="C752" s="5">
        <v>45921.0</v>
      </c>
      <c r="D752" s="5">
        <v>45921.0</v>
      </c>
      <c r="E752" s="4" t="s">
        <v>2714</v>
      </c>
      <c r="F752" s="9"/>
      <c r="G752" s="6"/>
      <c r="H752" s="7">
        <v>109.0</v>
      </c>
      <c r="I752" s="7" t="s">
        <v>2715</v>
      </c>
      <c r="K752" s="12" t="str">
        <f>RIGHT(E752,6)</f>
        <v>SL1610</v>
      </c>
      <c r="L752" s="2" t="s">
        <v>2716</v>
      </c>
      <c r="M752" s="12" t="str">
        <f t="shared" si="66"/>
        <v>Income</v>
      </c>
      <c r="N752" s="12" t="str">
        <f>if(H752&gt;0,"Sales","")</f>
        <v>Sales</v>
      </c>
      <c r="O752" s="2">
        <v>1.10751038E8</v>
      </c>
      <c r="P752" s="15"/>
      <c r="Q752" s="8">
        <v>2025.0</v>
      </c>
      <c r="R752" s="8" t="s">
        <v>1933</v>
      </c>
    </row>
    <row r="753">
      <c r="A753" s="4" t="s">
        <v>18</v>
      </c>
      <c r="B753" s="2" t="s">
        <v>2717</v>
      </c>
      <c r="C753" s="5">
        <v>45921.0</v>
      </c>
      <c r="D753" s="5">
        <v>45921.0</v>
      </c>
      <c r="E753" s="4" t="s">
        <v>2718</v>
      </c>
      <c r="F753" s="9"/>
      <c r="G753" s="11">
        <v>2610.0</v>
      </c>
      <c r="H753" s="6"/>
      <c r="I753" s="7" t="s">
        <v>2719</v>
      </c>
      <c r="K753" s="1" t="s">
        <v>23</v>
      </c>
      <c r="M753" s="12" t="str">
        <f t="shared" si="66"/>
        <v>Expense</v>
      </c>
      <c r="N753" s="2" t="s">
        <v>2720</v>
      </c>
      <c r="O753" s="2">
        <v>1.10751038E8</v>
      </c>
      <c r="Q753" s="8">
        <v>2025.0</v>
      </c>
      <c r="R753" s="8" t="s">
        <v>1933</v>
      </c>
    </row>
    <row r="754">
      <c r="A754" s="4" t="s">
        <v>18</v>
      </c>
      <c r="B754" s="2" t="s">
        <v>2721</v>
      </c>
      <c r="C754" s="5">
        <v>45921.0</v>
      </c>
      <c r="D754" s="5">
        <v>45921.0</v>
      </c>
      <c r="E754" s="4" t="s">
        <v>2722</v>
      </c>
      <c r="F754" s="9"/>
      <c r="G754" s="6"/>
      <c r="H754" s="7">
        <v>299.0</v>
      </c>
      <c r="I754" s="7" t="s">
        <v>2723</v>
      </c>
      <c r="K754" s="12" t="str">
        <f>RIGHT(E754,6)</f>
        <v>SL1610</v>
      </c>
      <c r="L754" s="2" t="s">
        <v>2724</v>
      </c>
      <c r="M754" s="12" t="str">
        <f t="shared" si="66"/>
        <v>Income</v>
      </c>
      <c r="N754" s="12" t="str">
        <f>if(H754&gt;0,"Sales","")</f>
        <v>Sales</v>
      </c>
      <c r="O754" s="2">
        <v>1.10751038E8</v>
      </c>
      <c r="P754" s="15"/>
      <c r="Q754" s="8">
        <v>2025.0</v>
      </c>
      <c r="R754" s="8" t="s">
        <v>1933</v>
      </c>
    </row>
    <row r="755">
      <c r="A755" s="4" t="s">
        <v>18</v>
      </c>
      <c r="B755" s="2" t="s">
        <v>2725</v>
      </c>
      <c r="C755" s="5">
        <v>45921.0</v>
      </c>
      <c r="D755" s="5">
        <v>45921.0</v>
      </c>
      <c r="E755" s="4" t="s">
        <v>2726</v>
      </c>
      <c r="F755" s="9"/>
      <c r="G755" s="11">
        <v>1620.0</v>
      </c>
      <c r="H755" s="6"/>
      <c r="I755" s="7" t="s">
        <v>2727</v>
      </c>
      <c r="K755" s="2" t="s">
        <v>113</v>
      </c>
      <c r="M755" s="12" t="str">
        <f t="shared" si="66"/>
        <v>Expense</v>
      </c>
      <c r="N755" s="2" t="s">
        <v>1800</v>
      </c>
      <c r="O755" s="2">
        <v>1.10751038E8</v>
      </c>
      <c r="Q755" s="8">
        <v>2025.0</v>
      </c>
      <c r="R755" s="8" t="s">
        <v>1933</v>
      </c>
    </row>
    <row r="756">
      <c r="A756" s="4" t="s">
        <v>18</v>
      </c>
      <c r="B756" s="2" t="s">
        <v>2728</v>
      </c>
      <c r="C756" s="5">
        <v>45921.0</v>
      </c>
      <c r="D756" s="5">
        <v>45921.0</v>
      </c>
      <c r="E756" s="4" t="s">
        <v>2729</v>
      </c>
      <c r="F756" s="9"/>
      <c r="G756" s="6"/>
      <c r="H756" s="7">
        <v>225.0</v>
      </c>
      <c r="I756" s="7" t="s">
        <v>2730</v>
      </c>
      <c r="K756" s="12" t="str">
        <f t="shared" ref="K756:K757" si="80">RIGHT(E756,6)</f>
        <v>SL1610</v>
      </c>
      <c r="L756" s="2" t="s">
        <v>2731</v>
      </c>
      <c r="M756" s="12" t="str">
        <f t="shared" si="66"/>
        <v>Income</v>
      </c>
      <c r="N756" s="12" t="str">
        <f t="shared" ref="N756:N757" si="81">if(H756&gt;0,"Sales","")</f>
        <v>Sales</v>
      </c>
      <c r="O756" s="2">
        <v>1.10751038E8</v>
      </c>
      <c r="P756" s="15"/>
      <c r="Q756" s="8">
        <v>2025.0</v>
      </c>
      <c r="R756" s="8" t="s">
        <v>1933</v>
      </c>
    </row>
    <row r="757">
      <c r="A757" s="4" t="s">
        <v>18</v>
      </c>
      <c r="B757" s="2" t="s">
        <v>2732</v>
      </c>
      <c r="C757" s="5">
        <v>45922.0</v>
      </c>
      <c r="D757" s="5">
        <v>45922.0</v>
      </c>
      <c r="E757" s="4" t="s">
        <v>2733</v>
      </c>
      <c r="F757" s="9"/>
      <c r="G757" s="6"/>
      <c r="H757" s="11">
        <v>1875.0</v>
      </c>
      <c r="I757" s="7" t="s">
        <v>2734</v>
      </c>
      <c r="K757" s="12" t="str">
        <f t="shared" si="80"/>
        <v>UN3668</v>
      </c>
      <c r="L757" s="2" t="s">
        <v>2735</v>
      </c>
      <c r="M757" s="12" t="str">
        <f t="shared" si="66"/>
        <v>Income</v>
      </c>
      <c r="N757" s="12" t="str">
        <f t="shared" si="81"/>
        <v>Sales</v>
      </c>
      <c r="O757" s="2">
        <v>1.10751038E8</v>
      </c>
      <c r="P757" s="15"/>
      <c r="Q757" s="8">
        <v>2025.0</v>
      </c>
      <c r="R757" s="8" t="s">
        <v>1933</v>
      </c>
    </row>
    <row r="758">
      <c r="A758" s="4" t="s">
        <v>18</v>
      </c>
      <c r="B758" s="2" t="s">
        <v>2736</v>
      </c>
      <c r="C758" s="5">
        <v>45922.0</v>
      </c>
      <c r="D758" s="5">
        <v>45922.0</v>
      </c>
      <c r="E758" s="4" t="s">
        <v>2737</v>
      </c>
      <c r="F758" s="9"/>
      <c r="G758" s="7">
        <v>948.0</v>
      </c>
      <c r="H758" s="6"/>
      <c r="I758" s="7" t="s">
        <v>2738</v>
      </c>
      <c r="K758" s="1" t="s">
        <v>23</v>
      </c>
      <c r="M758" s="12" t="str">
        <f t="shared" si="66"/>
        <v>Expense</v>
      </c>
      <c r="N758" s="2" t="s">
        <v>2739</v>
      </c>
      <c r="O758" s="2">
        <v>1.10751038E8</v>
      </c>
      <c r="Q758" s="8">
        <v>2025.0</v>
      </c>
      <c r="R758" s="8" t="s">
        <v>1933</v>
      </c>
    </row>
    <row r="759">
      <c r="A759" s="4" t="s">
        <v>18</v>
      </c>
      <c r="B759" s="2" t="s">
        <v>2740</v>
      </c>
      <c r="C759" s="5">
        <v>45922.0</v>
      </c>
      <c r="D759" s="5">
        <v>45922.0</v>
      </c>
      <c r="E759" s="4" t="s">
        <v>2741</v>
      </c>
      <c r="F759" s="9"/>
      <c r="G759" s="11">
        <v>22116.0</v>
      </c>
      <c r="H759" s="6"/>
      <c r="I759" s="7" t="s">
        <v>2742</v>
      </c>
      <c r="K759" s="2" t="s">
        <v>123</v>
      </c>
      <c r="M759" s="12" t="str">
        <f t="shared" si="66"/>
        <v>Expense</v>
      </c>
      <c r="N759" s="2" t="s">
        <v>478</v>
      </c>
      <c r="O759" s="2">
        <v>1.10751038E8</v>
      </c>
      <c r="Q759" s="8">
        <v>2025.0</v>
      </c>
      <c r="R759" s="8" t="s">
        <v>1933</v>
      </c>
    </row>
    <row r="760">
      <c r="A760" s="4" t="s">
        <v>18</v>
      </c>
      <c r="B760" s="2" t="s">
        <v>2743</v>
      </c>
      <c r="C760" s="5">
        <v>45922.0</v>
      </c>
      <c r="D760" s="5">
        <v>45922.0</v>
      </c>
      <c r="E760" s="4" t="s">
        <v>2744</v>
      </c>
      <c r="F760" s="9"/>
      <c r="G760" s="11">
        <v>14551.0</v>
      </c>
      <c r="H760" s="6"/>
      <c r="I760" s="7" t="s">
        <v>2745</v>
      </c>
      <c r="K760" s="2" t="s">
        <v>113</v>
      </c>
      <c r="M760" s="12" t="str">
        <f t="shared" si="66"/>
        <v>Expense</v>
      </c>
      <c r="N760" s="2" t="s">
        <v>478</v>
      </c>
      <c r="O760" s="2">
        <v>1.10751038E8</v>
      </c>
      <c r="Q760" s="8">
        <v>2025.0</v>
      </c>
      <c r="R760" s="8" t="s">
        <v>1933</v>
      </c>
    </row>
    <row r="761">
      <c r="A761" s="4" t="s">
        <v>18</v>
      </c>
      <c r="B761" s="2" t="s">
        <v>2746</v>
      </c>
      <c r="C761" s="5">
        <v>45922.0</v>
      </c>
      <c r="D761" s="5">
        <v>45922.0</v>
      </c>
      <c r="E761" s="4" t="s">
        <v>2747</v>
      </c>
      <c r="F761" s="9"/>
      <c r="G761" s="6"/>
      <c r="H761" s="7">
        <v>767.0</v>
      </c>
      <c r="I761" s="7" t="s">
        <v>2748</v>
      </c>
      <c r="K761" s="12" t="str">
        <f t="shared" ref="K761:K765" si="82">RIGHT(E761,6)</f>
        <v>SL1610</v>
      </c>
      <c r="L761" s="2" t="s">
        <v>2749</v>
      </c>
      <c r="M761" s="12" t="str">
        <f t="shared" si="66"/>
        <v>Income</v>
      </c>
      <c r="N761" s="12" t="str">
        <f t="shared" ref="N761:N765" si="83">if(H761&gt;0,"Sales","")</f>
        <v>Sales</v>
      </c>
      <c r="O761" s="2">
        <v>1.10751038E8</v>
      </c>
      <c r="P761" s="15"/>
      <c r="Q761" s="8">
        <v>2025.0</v>
      </c>
      <c r="R761" s="8" t="s">
        <v>1933</v>
      </c>
    </row>
    <row r="762">
      <c r="A762" s="4" t="s">
        <v>18</v>
      </c>
      <c r="B762" s="2" t="s">
        <v>2750</v>
      </c>
      <c r="C762" s="5">
        <v>45922.0</v>
      </c>
      <c r="D762" s="5">
        <v>45922.0</v>
      </c>
      <c r="E762" s="4" t="s">
        <v>2751</v>
      </c>
      <c r="F762" s="9"/>
      <c r="G762" s="6"/>
      <c r="H762" s="7">
        <v>358.0</v>
      </c>
      <c r="I762" s="7" t="s">
        <v>2752</v>
      </c>
      <c r="K762" s="12" t="str">
        <f t="shared" si="82"/>
        <v>KN3817</v>
      </c>
      <c r="L762" s="2" t="s">
        <v>2753</v>
      </c>
      <c r="M762" s="12" t="str">
        <f t="shared" si="66"/>
        <v>Income</v>
      </c>
      <c r="N762" s="12" t="str">
        <f t="shared" si="83"/>
        <v>Sales</v>
      </c>
      <c r="O762" s="2">
        <v>1.10751038E8</v>
      </c>
      <c r="P762" s="15"/>
      <c r="Q762" s="8">
        <v>2025.0</v>
      </c>
      <c r="R762" s="8" t="s">
        <v>1933</v>
      </c>
    </row>
    <row r="763">
      <c r="A763" s="4" t="s">
        <v>18</v>
      </c>
      <c r="B763" s="2" t="s">
        <v>2754</v>
      </c>
      <c r="C763" s="5">
        <v>45922.0</v>
      </c>
      <c r="D763" s="5">
        <v>45922.0</v>
      </c>
      <c r="E763" s="4" t="s">
        <v>2755</v>
      </c>
      <c r="F763" s="9"/>
      <c r="G763" s="6"/>
      <c r="H763" s="7">
        <v>616.0</v>
      </c>
      <c r="I763" s="7" t="s">
        <v>2756</v>
      </c>
      <c r="K763" s="12" t="str">
        <f t="shared" si="82"/>
        <v>SL1610</v>
      </c>
      <c r="L763" s="2" t="s">
        <v>2757</v>
      </c>
      <c r="M763" s="12" t="str">
        <f t="shared" si="66"/>
        <v>Income</v>
      </c>
      <c r="N763" s="12" t="str">
        <f t="shared" si="83"/>
        <v>Sales</v>
      </c>
      <c r="O763" s="2">
        <v>1.10751038E8</v>
      </c>
      <c r="P763" s="15"/>
      <c r="Q763" s="8">
        <v>2025.0</v>
      </c>
      <c r="R763" s="8" t="s">
        <v>1933</v>
      </c>
    </row>
    <row r="764">
      <c r="A764" s="4" t="s">
        <v>18</v>
      </c>
      <c r="B764" s="2" t="s">
        <v>2758</v>
      </c>
      <c r="C764" s="5">
        <v>45922.0</v>
      </c>
      <c r="D764" s="5">
        <v>45922.0</v>
      </c>
      <c r="E764" s="4" t="s">
        <v>2759</v>
      </c>
      <c r="F764" s="9"/>
      <c r="G764" s="6"/>
      <c r="H764" s="7">
        <v>100.0</v>
      </c>
      <c r="I764" s="7" t="s">
        <v>2760</v>
      </c>
      <c r="K764" s="12" t="str">
        <f t="shared" si="82"/>
        <v>SC3567</v>
      </c>
      <c r="M764" s="12" t="str">
        <f t="shared" si="66"/>
        <v>Income</v>
      </c>
      <c r="N764" s="12" t="str">
        <f t="shared" si="83"/>
        <v>Sales</v>
      </c>
      <c r="O764" s="2">
        <v>1.10751038E8</v>
      </c>
      <c r="P764" s="15" t="str">
        <f>IFERROR(__xludf.DUMMYFUNCTION("CONCATENATE(B764,"", "", to_text(D764),"", "", E764,"", "", H764)"),"TSV-09-0223, 22-Sep-2025, UPI/CR/111624006087/BHARAT S/PUNB/bharats/SC3567, 100")</f>
        <v>TSV-09-0223, 22-Sep-2025, UPI/CR/111624006087/BHARAT S/PUNB/bharats/SC3567, 100</v>
      </c>
      <c r="Q764" s="8">
        <v>2025.0</v>
      </c>
      <c r="R764" s="8" t="s">
        <v>1933</v>
      </c>
    </row>
    <row r="765">
      <c r="A765" s="4" t="s">
        <v>18</v>
      </c>
      <c r="B765" s="2" t="s">
        <v>2761</v>
      </c>
      <c r="C765" s="5">
        <v>45922.0</v>
      </c>
      <c r="D765" s="5">
        <v>45922.0</v>
      </c>
      <c r="E765" s="4" t="s">
        <v>2762</v>
      </c>
      <c r="F765" s="9"/>
      <c r="G765" s="6"/>
      <c r="H765" s="7">
        <v>150.0</v>
      </c>
      <c r="I765" s="7" t="s">
        <v>2763</v>
      </c>
      <c r="K765" s="12" t="str">
        <f t="shared" si="82"/>
        <v>UN3668</v>
      </c>
      <c r="L765" s="2" t="s">
        <v>2764</v>
      </c>
      <c r="M765" s="12" t="str">
        <f t="shared" si="66"/>
        <v>Income</v>
      </c>
      <c r="N765" s="12" t="str">
        <f t="shared" si="83"/>
        <v>Sales</v>
      </c>
      <c r="O765" s="2">
        <v>1.10751038E8</v>
      </c>
      <c r="P765" s="15"/>
      <c r="Q765" s="8">
        <v>2025.0</v>
      </c>
      <c r="R765" s="8" t="s">
        <v>1933</v>
      </c>
    </row>
    <row r="766">
      <c r="A766" s="4" t="s">
        <v>18</v>
      </c>
      <c r="B766" s="2" t="s">
        <v>2765</v>
      </c>
      <c r="C766" s="5">
        <v>45923.0</v>
      </c>
      <c r="D766" s="5">
        <v>45923.0</v>
      </c>
      <c r="E766" s="4" t="s">
        <v>2766</v>
      </c>
      <c r="F766" s="9"/>
      <c r="G766" s="11">
        <v>1334.08</v>
      </c>
      <c r="H766" s="6"/>
      <c r="I766" s="7" t="s">
        <v>2767</v>
      </c>
      <c r="K766" s="1" t="s">
        <v>23</v>
      </c>
      <c r="M766" s="12" t="str">
        <f t="shared" si="66"/>
        <v>Expense</v>
      </c>
      <c r="N766" s="2" t="s">
        <v>1351</v>
      </c>
      <c r="O766" s="2">
        <v>1.10751038E8</v>
      </c>
      <c r="Q766" s="8">
        <v>2025.0</v>
      </c>
      <c r="R766" s="8" t="s">
        <v>1933</v>
      </c>
    </row>
    <row r="767">
      <c r="A767" s="4" t="s">
        <v>18</v>
      </c>
      <c r="B767" s="2" t="s">
        <v>2768</v>
      </c>
      <c r="C767" s="5">
        <v>45923.0</v>
      </c>
      <c r="D767" s="5">
        <v>45923.0</v>
      </c>
      <c r="E767" s="4" t="s">
        <v>2769</v>
      </c>
      <c r="F767" s="9"/>
      <c r="G767" s="6"/>
      <c r="H767" s="7">
        <v>640.0</v>
      </c>
      <c r="I767" s="7" t="s">
        <v>2770</v>
      </c>
      <c r="K767" s="12" t="str">
        <f t="shared" ref="K767:K770" si="84">RIGHT(E767,6)</f>
        <v>UN3668</v>
      </c>
      <c r="L767" s="2" t="s">
        <v>2771</v>
      </c>
      <c r="M767" s="12" t="str">
        <f t="shared" si="66"/>
        <v>Income</v>
      </c>
      <c r="N767" s="12" t="str">
        <f t="shared" ref="N767:N770" si="85">if(H767&gt;0,"Sales","")</f>
        <v>Sales</v>
      </c>
      <c r="O767" s="2">
        <v>1.10751038E8</v>
      </c>
      <c r="P767" s="15"/>
      <c r="Q767" s="8">
        <v>2025.0</v>
      </c>
      <c r="R767" s="8" t="s">
        <v>1933</v>
      </c>
    </row>
    <row r="768">
      <c r="A768" s="4" t="s">
        <v>18</v>
      </c>
      <c r="B768" s="2" t="s">
        <v>2772</v>
      </c>
      <c r="C768" s="5">
        <v>45923.0</v>
      </c>
      <c r="D768" s="5">
        <v>45923.0</v>
      </c>
      <c r="E768" s="4" t="s">
        <v>2773</v>
      </c>
      <c r="F768" s="9"/>
      <c r="G768" s="6"/>
      <c r="H768" s="11">
        <v>1504.0</v>
      </c>
      <c r="I768" s="7" t="s">
        <v>2774</v>
      </c>
      <c r="K768" s="12" t="str">
        <f t="shared" si="84"/>
        <v>UN3668</v>
      </c>
      <c r="L768" s="2" t="s">
        <v>2775</v>
      </c>
      <c r="M768" s="12" t="str">
        <f t="shared" si="66"/>
        <v>Income</v>
      </c>
      <c r="N768" s="12" t="str">
        <f t="shared" si="85"/>
        <v>Sales</v>
      </c>
      <c r="O768" s="2">
        <v>1.10751038E8</v>
      </c>
      <c r="P768" s="15"/>
      <c r="Q768" s="8">
        <v>2025.0</v>
      </c>
      <c r="R768" s="8" t="s">
        <v>1933</v>
      </c>
    </row>
    <row r="769">
      <c r="A769" s="4" t="s">
        <v>18</v>
      </c>
      <c r="B769" s="2" t="s">
        <v>2776</v>
      </c>
      <c r="C769" s="5">
        <v>45923.0</v>
      </c>
      <c r="D769" s="5">
        <v>45923.0</v>
      </c>
      <c r="E769" s="4" t="s">
        <v>2777</v>
      </c>
      <c r="F769" s="9"/>
      <c r="G769" s="6"/>
      <c r="H769" s="7">
        <v>132.0</v>
      </c>
      <c r="I769" s="7" t="s">
        <v>2778</v>
      </c>
      <c r="K769" s="12" t="str">
        <f t="shared" si="84"/>
        <v>KN3817</v>
      </c>
      <c r="L769" s="2" t="s">
        <v>357</v>
      </c>
      <c r="M769" s="12" t="str">
        <f t="shared" si="66"/>
        <v>Income</v>
      </c>
      <c r="N769" s="12" t="str">
        <f t="shared" si="85"/>
        <v>Sales</v>
      </c>
      <c r="O769" s="2">
        <v>1.10751038E8</v>
      </c>
      <c r="P769" s="15"/>
      <c r="Q769" s="8">
        <v>2025.0</v>
      </c>
      <c r="R769" s="8" t="s">
        <v>1933</v>
      </c>
    </row>
    <row r="770">
      <c r="A770" s="4" t="s">
        <v>18</v>
      </c>
      <c r="B770" s="2" t="s">
        <v>2779</v>
      </c>
      <c r="C770" s="5">
        <v>45923.0</v>
      </c>
      <c r="D770" s="5">
        <v>45923.0</v>
      </c>
      <c r="E770" s="4" t="s">
        <v>2780</v>
      </c>
      <c r="F770" s="9"/>
      <c r="G770" s="6"/>
      <c r="H770" s="11">
        <v>1598.0</v>
      </c>
      <c r="I770" s="7" t="s">
        <v>2781</v>
      </c>
      <c r="K770" s="12" t="str">
        <f t="shared" si="84"/>
        <v>SC3567</v>
      </c>
      <c r="L770" s="2" t="s">
        <v>2782</v>
      </c>
      <c r="M770" s="12" t="str">
        <f t="shared" si="66"/>
        <v>Income</v>
      </c>
      <c r="N770" s="12" t="str">
        <f t="shared" si="85"/>
        <v>Sales</v>
      </c>
      <c r="O770" s="2">
        <v>1.10751038E8</v>
      </c>
      <c r="P770" s="15"/>
      <c r="Q770" s="8">
        <v>2025.0</v>
      </c>
      <c r="R770" s="8" t="s">
        <v>1933</v>
      </c>
    </row>
    <row r="771">
      <c r="A771" s="4" t="s">
        <v>18</v>
      </c>
      <c r="B771" s="2" t="s">
        <v>2783</v>
      </c>
      <c r="C771" s="5">
        <v>45924.0</v>
      </c>
      <c r="D771" s="5">
        <v>45924.0</v>
      </c>
      <c r="E771" s="4" t="s">
        <v>2784</v>
      </c>
      <c r="F771" s="9"/>
      <c r="G771" s="11">
        <v>1370.0</v>
      </c>
      <c r="H771" s="6"/>
      <c r="I771" s="7" t="s">
        <v>2785</v>
      </c>
      <c r="K771" s="2" t="s">
        <v>113</v>
      </c>
      <c r="M771" s="12" t="str">
        <f t="shared" si="66"/>
        <v>Expense</v>
      </c>
      <c r="N771" s="2" t="s">
        <v>2739</v>
      </c>
      <c r="O771" s="2">
        <v>1.10751038E8</v>
      </c>
      <c r="Q771" s="8">
        <v>2025.0</v>
      </c>
      <c r="R771" s="8" t="s">
        <v>1933</v>
      </c>
    </row>
    <row r="772">
      <c r="A772" s="4" t="s">
        <v>18</v>
      </c>
      <c r="B772" s="2" t="s">
        <v>2786</v>
      </c>
      <c r="C772" s="5">
        <v>45924.0</v>
      </c>
      <c r="D772" s="5">
        <v>45924.0</v>
      </c>
      <c r="E772" s="4" t="s">
        <v>2787</v>
      </c>
      <c r="F772" s="9"/>
      <c r="G772" s="6"/>
      <c r="H772" s="11">
        <v>1500.0</v>
      </c>
      <c r="I772" s="7" t="s">
        <v>2788</v>
      </c>
      <c r="K772" s="12" t="str">
        <f>RIGHT(E772,6)</f>
        <v>SC3567</v>
      </c>
      <c r="L772" s="2" t="s">
        <v>2789</v>
      </c>
      <c r="M772" s="12" t="str">
        <f t="shared" si="66"/>
        <v>Income</v>
      </c>
      <c r="N772" s="12" t="str">
        <f>if(H772&gt;0,"Sales","")</f>
        <v>Sales</v>
      </c>
      <c r="O772" s="2">
        <v>1.10751038E8</v>
      </c>
      <c r="P772" s="15"/>
      <c r="Q772" s="8">
        <v>2025.0</v>
      </c>
      <c r="R772" s="8" t="s">
        <v>1933</v>
      </c>
    </row>
    <row r="773">
      <c r="A773" s="4" t="s">
        <v>18</v>
      </c>
      <c r="B773" s="2" t="s">
        <v>2790</v>
      </c>
      <c r="C773" s="5">
        <v>45924.0</v>
      </c>
      <c r="D773" s="5">
        <v>45924.0</v>
      </c>
      <c r="E773" s="4" t="s">
        <v>2791</v>
      </c>
      <c r="F773" s="9"/>
      <c r="G773" s="11">
        <v>1620.0</v>
      </c>
      <c r="H773" s="6"/>
      <c r="I773" s="7" t="s">
        <v>2792</v>
      </c>
      <c r="K773" s="2" t="s">
        <v>123</v>
      </c>
      <c r="M773" s="12" t="str">
        <f t="shared" si="66"/>
        <v>Expense</v>
      </c>
      <c r="N773" s="2" t="s">
        <v>1800</v>
      </c>
      <c r="O773" s="2">
        <v>1.10751038E8</v>
      </c>
      <c r="Q773" s="8">
        <v>2025.0</v>
      </c>
      <c r="R773" s="8" t="s">
        <v>1933</v>
      </c>
    </row>
    <row r="774">
      <c r="A774" s="4" t="s">
        <v>18</v>
      </c>
      <c r="B774" s="2" t="s">
        <v>2793</v>
      </c>
      <c r="C774" s="5">
        <v>45924.0</v>
      </c>
      <c r="D774" s="5">
        <v>45924.0</v>
      </c>
      <c r="E774" s="4" t="s">
        <v>2794</v>
      </c>
      <c r="F774" s="9"/>
      <c r="G774" s="11">
        <v>4000.0</v>
      </c>
      <c r="H774" s="6"/>
      <c r="I774" s="7" t="s">
        <v>2795</v>
      </c>
      <c r="K774" s="1" t="s">
        <v>23</v>
      </c>
      <c r="M774" s="12" t="str">
        <f t="shared" si="66"/>
        <v>Expense</v>
      </c>
      <c r="N774" s="2" t="s">
        <v>1835</v>
      </c>
      <c r="O774" s="2">
        <v>1.10751038E8</v>
      </c>
      <c r="Q774" s="8">
        <v>2025.0</v>
      </c>
      <c r="R774" s="8" t="s">
        <v>1933</v>
      </c>
    </row>
    <row r="775">
      <c r="A775" s="4" t="s">
        <v>18</v>
      </c>
      <c r="B775" s="2" t="s">
        <v>2796</v>
      </c>
      <c r="C775" s="5">
        <v>45924.0</v>
      </c>
      <c r="D775" s="5">
        <v>45924.0</v>
      </c>
      <c r="E775" s="4" t="s">
        <v>2797</v>
      </c>
      <c r="F775" s="9"/>
      <c r="G775" s="6"/>
      <c r="H775" s="7">
        <v>375.0</v>
      </c>
      <c r="I775" s="7" t="s">
        <v>2798</v>
      </c>
      <c r="K775" s="12" t="str">
        <f t="shared" ref="K775:K777" si="86">RIGHT(E775,6)</f>
        <v>UN3668</v>
      </c>
      <c r="L775" s="2" t="s">
        <v>2799</v>
      </c>
      <c r="M775" s="12" t="str">
        <f t="shared" si="66"/>
        <v>Income</v>
      </c>
      <c r="N775" s="12" t="str">
        <f t="shared" ref="N775:N778" si="87">if(H775&gt;0,"Sales","")</f>
        <v>Sales</v>
      </c>
      <c r="O775" s="2">
        <v>1.10751038E8</v>
      </c>
      <c r="P775" s="15"/>
      <c r="Q775" s="8">
        <v>2025.0</v>
      </c>
      <c r="R775" s="8" t="s">
        <v>1933</v>
      </c>
    </row>
    <row r="776">
      <c r="A776" s="4" t="s">
        <v>18</v>
      </c>
      <c r="B776" s="2" t="s">
        <v>2800</v>
      </c>
      <c r="C776" s="5">
        <v>45924.0</v>
      </c>
      <c r="D776" s="5">
        <v>45924.0</v>
      </c>
      <c r="E776" s="4" t="s">
        <v>2801</v>
      </c>
      <c r="F776" s="9"/>
      <c r="G776" s="6"/>
      <c r="H776" s="7">
        <v>330.0</v>
      </c>
      <c r="I776" s="7" t="s">
        <v>2802</v>
      </c>
      <c r="K776" s="12" t="str">
        <f t="shared" si="86"/>
        <v>UN3668</v>
      </c>
      <c r="L776" s="2" t="s">
        <v>2803</v>
      </c>
      <c r="M776" s="12" t="str">
        <f t="shared" si="66"/>
        <v>Income</v>
      </c>
      <c r="N776" s="12" t="str">
        <f t="shared" si="87"/>
        <v>Sales</v>
      </c>
      <c r="O776" s="2">
        <v>1.10751038E8</v>
      </c>
      <c r="P776" s="15"/>
      <c r="Q776" s="8">
        <v>2025.0</v>
      </c>
      <c r="R776" s="8" t="s">
        <v>1933</v>
      </c>
    </row>
    <row r="777">
      <c r="A777" s="4" t="s">
        <v>18</v>
      </c>
      <c r="B777" s="2" t="s">
        <v>2804</v>
      </c>
      <c r="C777" s="5">
        <v>45924.0</v>
      </c>
      <c r="D777" s="5">
        <v>45924.0</v>
      </c>
      <c r="E777" s="4" t="s">
        <v>2805</v>
      </c>
      <c r="F777" s="9"/>
      <c r="G777" s="6"/>
      <c r="H777" s="11">
        <v>5000.0</v>
      </c>
      <c r="I777" s="7" t="s">
        <v>2806</v>
      </c>
      <c r="K777" s="12" t="str">
        <f t="shared" si="86"/>
        <v>SC3567</v>
      </c>
      <c r="L777" s="2" t="s">
        <v>2807</v>
      </c>
      <c r="M777" s="12" t="str">
        <f t="shared" si="66"/>
        <v>Income</v>
      </c>
      <c r="N777" s="12" t="str">
        <f t="shared" si="87"/>
        <v>Sales</v>
      </c>
      <c r="O777" s="2">
        <v>1.10751038E8</v>
      </c>
      <c r="P777" s="15"/>
      <c r="Q777" s="8">
        <v>2025.0</v>
      </c>
      <c r="R777" s="8" t="s">
        <v>1933</v>
      </c>
    </row>
    <row r="778">
      <c r="A778" s="4" t="s">
        <v>18</v>
      </c>
      <c r="B778" s="2" t="s">
        <v>2808</v>
      </c>
      <c r="C778" s="5">
        <v>45924.0</v>
      </c>
      <c r="D778" s="5">
        <v>45924.0</v>
      </c>
      <c r="E778" s="4" t="s">
        <v>2809</v>
      </c>
      <c r="F778" s="9"/>
      <c r="G778" s="6"/>
      <c r="H778" s="11">
        <v>7000.0</v>
      </c>
      <c r="I778" s="7" t="s">
        <v>2810</v>
      </c>
      <c r="K778" s="2" t="s">
        <v>123</v>
      </c>
      <c r="L778" s="2" t="s">
        <v>2811</v>
      </c>
      <c r="M778" s="12" t="str">
        <f t="shared" si="66"/>
        <v>Income</v>
      </c>
      <c r="N778" s="12" t="str">
        <f t="shared" si="87"/>
        <v>Sales</v>
      </c>
      <c r="O778" s="2">
        <v>1.10751038E8</v>
      </c>
      <c r="P778" s="15"/>
      <c r="Q778" s="8">
        <v>2025.0</v>
      </c>
      <c r="R778" s="8" t="s">
        <v>1933</v>
      </c>
    </row>
    <row r="779">
      <c r="A779" s="4" t="s">
        <v>18</v>
      </c>
      <c r="B779" s="2" t="s">
        <v>2812</v>
      </c>
      <c r="C779" s="5">
        <v>45924.0</v>
      </c>
      <c r="D779" s="5">
        <v>45924.0</v>
      </c>
      <c r="E779" s="4" t="s">
        <v>2813</v>
      </c>
      <c r="F779" s="9"/>
      <c r="G779" s="11">
        <v>10000.0</v>
      </c>
      <c r="H779" s="6"/>
      <c r="I779" s="7" t="s">
        <v>2814</v>
      </c>
      <c r="J779" s="2" t="s">
        <v>2815</v>
      </c>
      <c r="K779" s="1" t="s">
        <v>23</v>
      </c>
      <c r="M779" s="2" t="s">
        <v>114</v>
      </c>
      <c r="N779" s="2" t="s">
        <v>169</v>
      </c>
      <c r="O779" s="2">
        <v>1.10751038E8</v>
      </c>
      <c r="Q779" s="8">
        <v>2025.0</v>
      </c>
      <c r="R779" s="8" t="s">
        <v>1933</v>
      </c>
    </row>
    <row r="780">
      <c r="A780" s="4" t="s">
        <v>18</v>
      </c>
      <c r="B780" s="2" t="s">
        <v>2816</v>
      </c>
      <c r="C780" s="5">
        <v>45924.0</v>
      </c>
      <c r="D780" s="5">
        <v>45924.0</v>
      </c>
      <c r="E780" s="4" t="s">
        <v>2817</v>
      </c>
      <c r="F780" s="9"/>
      <c r="G780" s="11">
        <v>33754.0</v>
      </c>
      <c r="H780" s="6"/>
      <c r="I780" s="7" t="s">
        <v>2818</v>
      </c>
      <c r="J780" s="2" t="s">
        <v>2819</v>
      </c>
      <c r="K780" s="2" t="s">
        <v>123</v>
      </c>
      <c r="M780" s="2" t="s">
        <v>114</v>
      </c>
      <c r="N780" s="2" t="s">
        <v>2819</v>
      </c>
      <c r="O780" s="2">
        <v>1.10751038E8</v>
      </c>
      <c r="Q780" s="8">
        <v>2025.0</v>
      </c>
      <c r="R780" s="8" t="s">
        <v>1933</v>
      </c>
    </row>
    <row r="781">
      <c r="A781" s="4" t="s">
        <v>18</v>
      </c>
      <c r="B781" s="2" t="s">
        <v>2820</v>
      </c>
      <c r="C781" s="5">
        <v>45924.0</v>
      </c>
      <c r="D781" s="5">
        <v>45924.0</v>
      </c>
      <c r="E781" s="4" t="s">
        <v>2821</v>
      </c>
      <c r="F781" s="9"/>
      <c r="G781" s="6"/>
      <c r="H781" s="7">
        <v>218.0</v>
      </c>
      <c r="I781" s="7" t="s">
        <v>2822</v>
      </c>
      <c r="K781" s="12" t="str">
        <f>RIGHT(E781,6)</f>
        <v>SL1610</v>
      </c>
      <c r="L781" s="2" t="s">
        <v>2823</v>
      </c>
      <c r="M781" s="12" t="str">
        <f>if(H781&gt;0,"Income","Expense")</f>
        <v>Income</v>
      </c>
      <c r="N781" s="12" t="str">
        <f>if(H781&gt;0,"Sales","")</f>
        <v>Sales</v>
      </c>
      <c r="O781" s="2">
        <v>1.10751038E8</v>
      </c>
      <c r="P781" s="15"/>
      <c r="Q781" s="8">
        <v>2025.0</v>
      </c>
      <c r="R781" s="8" t="s">
        <v>1933</v>
      </c>
    </row>
    <row r="782">
      <c r="A782" s="4" t="s">
        <v>18</v>
      </c>
      <c r="B782" s="2" t="s">
        <v>2824</v>
      </c>
      <c r="C782" s="5">
        <v>45924.0</v>
      </c>
      <c r="D782" s="5">
        <v>45924.0</v>
      </c>
      <c r="E782" s="4" t="s">
        <v>2825</v>
      </c>
      <c r="F782" s="9"/>
      <c r="G782" s="11">
        <v>4000.0</v>
      </c>
      <c r="H782" s="6"/>
      <c r="I782" s="7" t="s">
        <v>2826</v>
      </c>
      <c r="K782" s="1" t="s">
        <v>23</v>
      </c>
      <c r="M782" s="2" t="s">
        <v>114</v>
      </c>
      <c r="N782" s="2" t="s">
        <v>2827</v>
      </c>
      <c r="O782" s="2">
        <v>1.10751038E8</v>
      </c>
      <c r="Q782" s="8">
        <v>2025.0</v>
      </c>
      <c r="R782" s="8" t="s">
        <v>1933</v>
      </c>
    </row>
    <row r="783">
      <c r="A783" s="4" t="s">
        <v>18</v>
      </c>
      <c r="B783" s="2" t="s">
        <v>2828</v>
      </c>
      <c r="C783" s="5">
        <v>45924.0</v>
      </c>
      <c r="D783" s="5">
        <v>45924.0</v>
      </c>
      <c r="E783" s="4" t="s">
        <v>2829</v>
      </c>
      <c r="F783" s="9"/>
      <c r="G783" s="6"/>
      <c r="H783" s="7">
        <v>763.0</v>
      </c>
      <c r="I783" s="7" t="s">
        <v>2830</v>
      </c>
      <c r="K783" s="2" t="s">
        <v>539</v>
      </c>
      <c r="M783" s="12" t="str">
        <f t="shared" ref="M783:M790" si="88">if(H783&gt;0,"Income","Expense")</f>
        <v>Income</v>
      </c>
      <c r="N783" s="12" t="str">
        <f t="shared" ref="N783:N790" si="89">if(H783&gt;0,"Sales","")</f>
        <v>Sales</v>
      </c>
      <c r="O783" s="2">
        <v>1.10751038E8</v>
      </c>
      <c r="P783" s="15" t="str">
        <f>IFERROR(__xludf.DUMMYFUNCTION("CONCATENATE(B783,"", "", to_text(D783),"", "", E783,"", "", H783)"),"TSV-09-0242, 24-Sep-2025, UPI/CR/526763078447/RAHUL MA/UTIB/rahul.3/na, 763")</f>
        <v>TSV-09-0242, 24-Sep-2025, UPI/CR/526763078447/RAHUL MA/UTIB/rahul.3/na, 763</v>
      </c>
      <c r="Q783" s="8">
        <v>2025.0</v>
      </c>
      <c r="R783" s="8" t="s">
        <v>1933</v>
      </c>
    </row>
    <row r="784">
      <c r="A784" s="4" t="s">
        <v>18</v>
      </c>
      <c r="B784" s="2" t="s">
        <v>2831</v>
      </c>
      <c r="C784" s="5">
        <v>45924.0</v>
      </c>
      <c r="D784" s="5">
        <v>45924.0</v>
      </c>
      <c r="E784" s="4" t="s">
        <v>2832</v>
      </c>
      <c r="F784" s="9"/>
      <c r="G784" s="6"/>
      <c r="H784" s="11">
        <v>1383.0</v>
      </c>
      <c r="I784" s="7" t="s">
        <v>2833</v>
      </c>
      <c r="K784" s="12" t="str">
        <f t="shared" ref="K784:K790" si="90">RIGHT(E784,6)</f>
        <v>SL1610</v>
      </c>
      <c r="L784" s="2" t="s">
        <v>2834</v>
      </c>
      <c r="M784" s="12" t="str">
        <f t="shared" si="88"/>
        <v>Income</v>
      </c>
      <c r="N784" s="12" t="str">
        <f t="shared" si="89"/>
        <v>Sales</v>
      </c>
      <c r="O784" s="2">
        <v>1.10751038E8</v>
      </c>
      <c r="P784" s="15"/>
      <c r="Q784" s="8">
        <v>2025.0</v>
      </c>
      <c r="R784" s="8" t="s">
        <v>1933</v>
      </c>
    </row>
    <row r="785">
      <c r="A785" s="4" t="s">
        <v>18</v>
      </c>
      <c r="B785" s="2" t="s">
        <v>2835</v>
      </c>
      <c r="C785" s="5">
        <v>45924.0</v>
      </c>
      <c r="D785" s="5">
        <v>45924.0</v>
      </c>
      <c r="E785" s="4" t="s">
        <v>2836</v>
      </c>
      <c r="F785" s="9"/>
      <c r="G785" s="6"/>
      <c r="H785" s="7">
        <v>150.0</v>
      </c>
      <c r="I785" s="7" t="s">
        <v>2837</v>
      </c>
      <c r="K785" s="12" t="str">
        <f t="shared" si="90"/>
        <v>UN3668</v>
      </c>
      <c r="L785" s="2" t="s">
        <v>2838</v>
      </c>
      <c r="M785" s="12" t="str">
        <f t="shared" si="88"/>
        <v>Income</v>
      </c>
      <c r="N785" s="12" t="str">
        <f t="shared" si="89"/>
        <v>Sales</v>
      </c>
      <c r="O785" s="2">
        <v>1.10751038E8</v>
      </c>
      <c r="P785" s="15"/>
      <c r="Q785" s="8">
        <v>2025.0</v>
      </c>
      <c r="R785" s="8" t="s">
        <v>1933</v>
      </c>
    </row>
    <row r="786">
      <c r="A786" s="4" t="s">
        <v>18</v>
      </c>
      <c r="B786" s="2" t="s">
        <v>2839</v>
      </c>
      <c r="C786" s="5">
        <v>45925.0</v>
      </c>
      <c r="D786" s="5">
        <v>45925.0</v>
      </c>
      <c r="E786" s="4" t="s">
        <v>2840</v>
      </c>
      <c r="F786" s="9"/>
      <c r="G786" s="6"/>
      <c r="H786" s="7">
        <v>350.0</v>
      </c>
      <c r="I786" s="7" t="s">
        <v>2841</v>
      </c>
      <c r="K786" s="12" t="str">
        <f t="shared" si="90"/>
        <v>UN3668</v>
      </c>
      <c r="L786" s="2" t="s">
        <v>2842</v>
      </c>
      <c r="M786" s="12" t="str">
        <f t="shared" si="88"/>
        <v>Income</v>
      </c>
      <c r="N786" s="12" t="str">
        <f t="shared" si="89"/>
        <v>Sales</v>
      </c>
      <c r="O786" s="2">
        <v>1.10751038E8</v>
      </c>
      <c r="P786" s="15"/>
      <c r="Q786" s="8">
        <v>2025.0</v>
      </c>
      <c r="R786" s="8" t="s">
        <v>1933</v>
      </c>
    </row>
    <row r="787">
      <c r="A787" s="4" t="s">
        <v>18</v>
      </c>
      <c r="B787" s="2" t="s">
        <v>2843</v>
      </c>
      <c r="C787" s="5">
        <v>45925.0</v>
      </c>
      <c r="D787" s="5">
        <v>45925.0</v>
      </c>
      <c r="E787" s="4" t="s">
        <v>2844</v>
      </c>
      <c r="F787" s="9"/>
      <c r="G787" s="6"/>
      <c r="H787" s="11">
        <v>1342.0</v>
      </c>
      <c r="I787" s="7" t="s">
        <v>2845</v>
      </c>
      <c r="K787" s="12" t="str">
        <f t="shared" si="90"/>
        <v>SC3567</v>
      </c>
      <c r="L787" s="2" t="s">
        <v>2846</v>
      </c>
      <c r="M787" s="12" t="str">
        <f t="shared" si="88"/>
        <v>Income</v>
      </c>
      <c r="N787" s="12" t="str">
        <f t="shared" si="89"/>
        <v>Sales</v>
      </c>
      <c r="O787" s="2">
        <v>1.10751038E8</v>
      </c>
      <c r="P787" s="15"/>
      <c r="Q787" s="8">
        <v>2025.0</v>
      </c>
      <c r="R787" s="8" t="s">
        <v>1933</v>
      </c>
    </row>
    <row r="788">
      <c r="A788" s="4" t="s">
        <v>18</v>
      </c>
      <c r="B788" s="2" t="s">
        <v>2847</v>
      </c>
      <c r="C788" s="5">
        <v>45925.0</v>
      </c>
      <c r="D788" s="5">
        <v>45925.0</v>
      </c>
      <c r="E788" s="4" t="s">
        <v>2848</v>
      </c>
      <c r="F788" s="9"/>
      <c r="G788" s="6"/>
      <c r="H788" s="7">
        <v>343.0</v>
      </c>
      <c r="I788" s="7" t="s">
        <v>2849</v>
      </c>
      <c r="K788" s="12" t="str">
        <f t="shared" si="90"/>
        <v>UN3668</v>
      </c>
      <c r="L788" s="2" t="s">
        <v>2842</v>
      </c>
      <c r="M788" s="12" t="str">
        <f t="shared" si="88"/>
        <v>Income</v>
      </c>
      <c r="N788" s="12" t="str">
        <f t="shared" si="89"/>
        <v>Sales</v>
      </c>
      <c r="O788" s="2">
        <v>1.10751038E8</v>
      </c>
      <c r="P788" s="15"/>
      <c r="Q788" s="8">
        <v>2025.0</v>
      </c>
      <c r="R788" s="8" t="s">
        <v>1933</v>
      </c>
    </row>
    <row r="789">
      <c r="A789" s="4" t="s">
        <v>18</v>
      </c>
      <c r="B789" s="2" t="s">
        <v>2850</v>
      </c>
      <c r="C789" s="5">
        <v>45925.0</v>
      </c>
      <c r="D789" s="5">
        <v>45925.0</v>
      </c>
      <c r="E789" s="4" t="s">
        <v>2851</v>
      </c>
      <c r="F789" s="9"/>
      <c r="G789" s="6"/>
      <c r="H789" s="7">
        <v>613.0</v>
      </c>
      <c r="I789" s="7" t="s">
        <v>2852</v>
      </c>
      <c r="K789" s="12" t="str">
        <f t="shared" si="90"/>
        <v>SC3567</v>
      </c>
      <c r="L789" s="2" t="s">
        <v>2853</v>
      </c>
      <c r="M789" s="12" t="str">
        <f t="shared" si="88"/>
        <v>Income</v>
      </c>
      <c r="N789" s="12" t="str">
        <f t="shared" si="89"/>
        <v>Sales</v>
      </c>
      <c r="O789" s="2">
        <v>1.10751038E8</v>
      </c>
      <c r="P789" s="15"/>
      <c r="Q789" s="8">
        <v>2025.0</v>
      </c>
      <c r="R789" s="8" t="s">
        <v>1933</v>
      </c>
    </row>
    <row r="790">
      <c r="A790" s="4" t="s">
        <v>18</v>
      </c>
      <c r="B790" s="2" t="s">
        <v>2854</v>
      </c>
      <c r="C790" s="5">
        <v>45925.0</v>
      </c>
      <c r="D790" s="5">
        <v>45925.0</v>
      </c>
      <c r="E790" s="4" t="s">
        <v>2855</v>
      </c>
      <c r="F790" s="9"/>
      <c r="G790" s="6"/>
      <c r="H790" s="7">
        <v>234.0</v>
      </c>
      <c r="I790" s="7" t="s">
        <v>2856</v>
      </c>
      <c r="K790" s="12" t="str">
        <f t="shared" si="90"/>
        <v>UN3668</v>
      </c>
      <c r="L790" s="2" t="s">
        <v>2857</v>
      </c>
      <c r="M790" s="12" t="str">
        <f t="shared" si="88"/>
        <v>Income</v>
      </c>
      <c r="N790" s="12" t="str">
        <f t="shared" si="89"/>
        <v>Sales</v>
      </c>
      <c r="O790" s="2">
        <v>1.10751038E8</v>
      </c>
      <c r="P790" s="15"/>
      <c r="Q790" s="8">
        <v>2025.0</v>
      </c>
      <c r="R790" s="8" t="s">
        <v>1933</v>
      </c>
    </row>
    <row r="791">
      <c r="A791" s="4" t="s">
        <v>18</v>
      </c>
      <c r="B791" s="2" t="s">
        <v>2858</v>
      </c>
      <c r="C791" s="5">
        <v>45925.0</v>
      </c>
      <c r="D791" s="5">
        <v>45925.0</v>
      </c>
      <c r="E791" s="4" t="s">
        <v>2859</v>
      </c>
      <c r="F791" s="9"/>
      <c r="G791" s="7">
        <v>450.73</v>
      </c>
      <c r="H791" s="6"/>
      <c r="I791" s="7" t="s">
        <v>2860</v>
      </c>
      <c r="K791" s="2" t="s">
        <v>119</v>
      </c>
      <c r="M791" s="2" t="s">
        <v>114</v>
      </c>
      <c r="N791" s="2" t="s">
        <v>275</v>
      </c>
      <c r="O791" s="2">
        <v>1.10751038E8</v>
      </c>
      <c r="Q791" s="8">
        <v>2025.0</v>
      </c>
      <c r="R791" s="8" t="s">
        <v>1933</v>
      </c>
    </row>
    <row r="792">
      <c r="A792" s="4" t="s">
        <v>18</v>
      </c>
      <c r="B792" s="2" t="s">
        <v>2861</v>
      </c>
      <c r="C792" s="5">
        <v>45925.0</v>
      </c>
      <c r="D792" s="5">
        <v>45925.0</v>
      </c>
      <c r="E792" s="4" t="s">
        <v>2862</v>
      </c>
      <c r="F792" s="9"/>
      <c r="G792" s="7">
        <v>305.22</v>
      </c>
      <c r="H792" s="6"/>
      <c r="I792" s="7" t="s">
        <v>2863</v>
      </c>
      <c r="K792" s="2" t="s">
        <v>127</v>
      </c>
      <c r="M792" s="2" t="s">
        <v>114</v>
      </c>
      <c r="N792" s="2" t="s">
        <v>275</v>
      </c>
      <c r="O792" s="2">
        <v>1.10751038E8</v>
      </c>
      <c r="Q792" s="8">
        <v>2025.0</v>
      </c>
      <c r="R792" s="8" t="s">
        <v>1933</v>
      </c>
    </row>
    <row r="793">
      <c r="A793" s="4" t="s">
        <v>18</v>
      </c>
      <c r="B793" s="2" t="s">
        <v>2864</v>
      </c>
      <c r="C793" s="5">
        <v>45925.0</v>
      </c>
      <c r="D793" s="5">
        <v>45925.0</v>
      </c>
      <c r="E793" s="4" t="s">
        <v>2865</v>
      </c>
      <c r="F793" s="9"/>
      <c r="G793" s="6"/>
      <c r="H793" s="7">
        <v>245.0</v>
      </c>
      <c r="I793" s="7" t="s">
        <v>2866</v>
      </c>
      <c r="K793" s="12" t="str">
        <f t="shared" ref="K793:K796" si="91">RIGHT(E793,6)</f>
        <v>SL1610</v>
      </c>
      <c r="L793" s="2" t="s">
        <v>2867</v>
      </c>
      <c r="M793" s="12" t="str">
        <f t="shared" ref="M793:M796" si="92">if(H793&gt;0,"Income","Expense")</f>
        <v>Income</v>
      </c>
      <c r="N793" s="12" t="str">
        <f t="shared" ref="N793:N796" si="93">if(H793&gt;0,"Sales","")</f>
        <v>Sales</v>
      </c>
      <c r="O793" s="2">
        <v>1.10751038E8</v>
      </c>
      <c r="P793" s="15"/>
      <c r="Q793" s="8">
        <v>2025.0</v>
      </c>
      <c r="R793" s="8" t="s">
        <v>1933</v>
      </c>
    </row>
    <row r="794">
      <c r="A794" s="4" t="s">
        <v>18</v>
      </c>
      <c r="B794" s="2" t="s">
        <v>2868</v>
      </c>
      <c r="C794" s="5">
        <v>45925.0</v>
      </c>
      <c r="D794" s="5">
        <v>45925.0</v>
      </c>
      <c r="E794" s="4" t="s">
        <v>2869</v>
      </c>
      <c r="F794" s="9"/>
      <c r="G794" s="6"/>
      <c r="H794" s="7">
        <v>240.0</v>
      </c>
      <c r="I794" s="7" t="s">
        <v>2870</v>
      </c>
      <c r="K794" s="12" t="str">
        <f t="shared" si="91"/>
        <v>UN3668</v>
      </c>
      <c r="L794" s="2" t="s">
        <v>2871</v>
      </c>
      <c r="M794" s="12" t="str">
        <f t="shared" si="92"/>
        <v>Income</v>
      </c>
      <c r="N794" s="12" t="str">
        <f t="shared" si="93"/>
        <v>Sales</v>
      </c>
      <c r="O794" s="2">
        <v>1.10751038E8</v>
      </c>
      <c r="P794" s="15"/>
      <c r="Q794" s="8">
        <v>2025.0</v>
      </c>
      <c r="R794" s="8" t="s">
        <v>1933</v>
      </c>
    </row>
    <row r="795">
      <c r="A795" s="4" t="s">
        <v>18</v>
      </c>
      <c r="B795" s="2" t="s">
        <v>2872</v>
      </c>
      <c r="C795" s="5">
        <v>45925.0</v>
      </c>
      <c r="D795" s="5">
        <v>45925.0</v>
      </c>
      <c r="E795" s="4" t="s">
        <v>2873</v>
      </c>
      <c r="F795" s="9"/>
      <c r="G795" s="6"/>
      <c r="H795" s="7">
        <v>240.0</v>
      </c>
      <c r="I795" s="7" t="s">
        <v>2874</v>
      </c>
      <c r="K795" s="12" t="str">
        <f t="shared" si="91"/>
        <v>UN3668</v>
      </c>
      <c r="L795" s="2" t="s">
        <v>2871</v>
      </c>
      <c r="M795" s="12" t="str">
        <f t="shared" si="92"/>
        <v>Income</v>
      </c>
      <c r="N795" s="12" t="str">
        <f t="shared" si="93"/>
        <v>Sales</v>
      </c>
      <c r="O795" s="2">
        <v>1.10751038E8</v>
      </c>
      <c r="P795" s="15"/>
      <c r="Q795" s="8">
        <v>2025.0</v>
      </c>
      <c r="R795" s="8" t="s">
        <v>1933</v>
      </c>
    </row>
    <row r="796">
      <c r="A796" s="4" t="s">
        <v>18</v>
      </c>
      <c r="B796" s="2" t="s">
        <v>2875</v>
      </c>
      <c r="C796" s="5">
        <v>45925.0</v>
      </c>
      <c r="D796" s="5">
        <v>45925.0</v>
      </c>
      <c r="E796" s="4" t="s">
        <v>2876</v>
      </c>
      <c r="F796" s="9"/>
      <c r="G796" s="6"/>
      <c r="H796" s="7">
        <v>383.0</v>
      </c>
      <c r="I796" s="7" t="s">
        <v>2877</v>
      </c>
      <c r="K796" s="12" t="str">
        <f t="shared" si="91"/>
        <v>UN3668</v>
      </c>
      <c r="L796" s="2" t="s">
        <v>2878</v>
      </c>
      <c r="M796" s="12" t="str">
        <f t="shared" si="92"/>
        <v>Income</v>
      </c>
      <c r="N796" s="12" t="str">
        <f t="shared" si="93"/>
        <v>Sales</v>
      </c>
      <c r="O796" s="2">
        <v>1.10751038E8</v>
      </c>
      <c r="P796" s="15"/>
      <c r="Q796" s="8">
        <v>2025.0</v>
      </c>
      <c r="R796" s="8" t="s">
        <v>1933</v>
      </c>
    </row>
    <row r="797">
      <c r="A797" s="4" t="s">
        <v>18</v>
      </c>
      <c r="B797" s="2" t="s">
        <v>2879</v>
      </c>
      <c r="C797" s="5">
        <v>45926.0</v>
      </c>
      <c r="D797" s="5">
        <v>45926.0</v>
      </c>
      <c r="E797" s="4" t="s">
        <v>2880</v>
      </c>
      <c r="F797" s="9"/>
      <c r="G797" s="11">
        <v>3135.0</v>
      </c>
      <c r="H797" s="6"/>
      <c r="I797" s="7" t="s">
        <v>2881</v>
      </c>
      <c r="J797" s="2" t="s">
        <v>2882</v>
      </c>
      <c r="K797" s="2" t="s">
        <v>123</v>
      </c>
      <c r="M797" s="2" t="s">
        <v>114</v>
      </c>
      <c r="N797" s="2" t="s">
        <v>2883</v>
      </c>
      <c r="O797" s="2">
        <v>1.10751038E8</v>
      </c>
      <c r="Q797" s="8">
        <v>2025.0</v>
      </c>
      <c r="R797" s="8" t="s">
        <v>1933</v>
      </c>
    </row>
    <row r="798">
      <c r="A798" s="4" t="s">
        <v>18</v>
      </c>
      <c r="B798" s="2" t="s">
        <v>2884</v>
      </c>
      <c r="C798" s="5">
        <v>45926.0</v>
      </c>
      <c r="D798" s="5">
        <v>45926.0</v>
      </c>
      <c r="E798" s="4" t="s">
        <v>2885</v>
      </c>
      <c r="F798" s="9"/>
      <c r="G798" s="6"/>
      <c r="H798" s="7">
        <v>383.0</v>
      </c>
      <c r="I798" s="7" t="s">
        <v>2886</v>
      </c>
      <c r="K798" s="12" t="str">
        <f t="shared" ref="K798:K809" si="94">RIGHT(E798,6)</f>
        <v>UN3668</v>
      </c>
      <c r="L798" s="2" t="s">
        <v>2887</v>
      </c>
      <c r="M798" s="12" t="str">
        <f t="shared" ref="M798:M828" si="95">if(H798&gt;0,"Income","Expense")</f>
        <v>Income</v>
      </c>
      <c r="N798" s="12" t="str">
        <f t="shared" ref="N798:N828" si="96">if(H798&gt;0,"Sales","")</f>
        <v>Sales</v>
      </c>
      <c r="O798" s="2">
        <v>1.10751038E8</v>
      </c>
      <c r="P798" s="15"/>
      <c r="Q798" s="8">
        <v>2025.0</v>
      </c>
      <c r="R798" s="8" t="s">
        <v>1933</v>
      </c>
    </row>
    <row r="799">
      <c r="A799" s="4" t="s">
        <v>18</v>
      </c>
      <c r="B799" s="2" t="s">
        <v>2888</v>
      </c>
      <c r="C799" s="5">
        <v>45926.0</v>
      </c>
      <c r="D799" s="5">
        <v>45926.0</v>
      </c>
      <c r="E799" s="4" t="s">
        <v>2889</v>
      </c>
      <c r="F799" s="9"/>
      <c r="G799" s="6"/>
      <c r="H799" s="7">
        <v>375.0</v>
      </c>
      <c r="I799" s="7" t="s">
        <v>2890</v>
      </c>
      <c r="K799" s="12" t="str">
        <f t="shared" si="94"/>
        <v>UN3668</v>
      </c>
      <c r="L799" s="2" t="s">
        <v>2891</v>
      </c>
      <c r="M799" s="12" t="str">
        <f t="shared" si="95"/>
        <v>Income</v>
      </c>
      <c r="N799" s="12" t="str">
        <f t="shared" si="96"/>
        <v>Sales</v>
      </c>
      <c r="O799" s="2">
        <v>1.10751038E8</v>
      </c>
      <c r="P799" s="15"/>
      <c r="Q799" s="8">
        <v>2025.0</v>
      </c>
      <c r="R799" s="8" t="s">
        <v>1933</v>
      </c>
    </row>
    <row r="800">
      <c r="A800" s="4" t="s">
        <v>18</v>
      </c>
      <c r="B800" s="2" t="s">
        <v>2892</v>
      </c>
      <c r="C800" s="5">
        <v>45926.0</v>
      </c>
      <c r="D800" s="5">
        <v>45926.0</v>
      </c>
      <c r="E800" s="4" t="s">
        <v>2893</v>
      </c>
      <c r="F800" s="9"/>
      <c r="G800" s="6"/>
      <c r="H800" s="7">
        <v>425.0</v>
      </c>
      <c r="I800" s="7" t="s">
        <v>2894</v>
      </c>
      <c r="K800" s="12" t="str">
        <f t="shared" si="94"/>
        <v>UN3668</v>
      </c>
      <c r="L800" s="2" t="s">
        <v>2895</v>
      </c>
      <c r="M800" s="12" t="str">
        <f t="shared" si="95"/>
        <v>Income</v>
      </c>
      <c r="N800" s="12" t="str">
        <f t="shared" si="96"/>
        <v>Sales</v>
      </c>
      <c r="O800" s="2">
        <v>1.10751038E8</v>
      </c>
      <c r="P800" s="15"/>
      <c r="Q800" s="8">
        <v>2025.0</v>
      </c>
      <c r="R800" s="8" t="s">
        <v>1933</v>
      </c>
    </row>
    <row r="801">
      <c r="A801" s="4" t="s">
        <v>18</v>
      </c>
      <c r="B801" s="2" t="s">
        <v>2896</v>
      </c>
      <c r="C801" s="5">
        <v>45926.0</v>
      </c>
      <c r="D801" s="5">
        <v>45926.0</v>
      </c>
      <c r="E801" s="4" t="s">
        <v>2897</v>
      </c>
      <c r="F801" s="9"/>
      <c r="G801" s="6"/>
      <c r="H801" s="7">
        <v>465.0</v>
      </c>
      <c r="I801" s="7" t="s">
        <v>2898</v>
      </c>
      <c r="K801" s="12" t="str">
        <f t="shared" si="94"/>
        <v>SC3567</v>
      </c>
      <c r="L801" s="2" t="s">
        <v>2899</v>
      </c>
      <c r="M801" s="12" t="str">
        <f t="shared" si="95"/>
        <v>Income</v>
      </c>
      <c r="N801" s="12" t="str">
        <f t="shared" si="96"/>
        <v>Sales</v>
      </c>
      <c r="O801" s="2">
        <v>1.10751038E8</v>
      </c>
      <c r="P801" s="15"/>
      <c r="Q801" s="8">
        <v>2025.0</v>
      </c>
      <c r="R801" s="8" t="s">
        <v>1933</v>
      </c>
    </row>
    <row r="802">
      <c r="A802" s="4" t="s">
        <v>18</v>
      </c>
      <c r="B802" s="2" t="s">
        <v>2900</v>
      </c>
      <c r="C802" s="5">
        <v>45926.0</v>
      </c>
      <c r="D802" s="5">
        <v>45926.0</v>
      </c>
      <c r="E802" s="4" t="s">
        <v>2901</v>
      </c>
      <c r="F802" s="9"/>
      <c r="G802" s="6"/>
      <c r="H802" s="7">
        <v>320.0</v>
      </c>
      <c r="I802" s="7" t="s">
        <v>2902</v>
      </c>
      <c r="K802" s="12" t="str">
        <f t="shared" si="94"/>
        <v>UN3668</v>
      </c>
      <c r="L802" s="2" t="s">
        <v>2903</v>
      </c>
      <c r="M802" s="12" t="str">
        <f t="shared" si="95"/>
        <v>Income</v>
      </c>
      <c r="N802" s="12" t="str">
        <f t="shared" si="96"/>
        <v>Sales</v>
      </c>
      <c r="O802" s="2">
        <v>1.10751038E8</v>
      </c>
      <c r="P802" s="15"/>
      <c r="Q802" s="8">
        <v>2025.0</v>
      </c>
      <c r="R802" s="8" t="s">
        <v>1933</v>
      </c>
    </row>
    <row r="803">
      <c r="A803" s="4" t="s">
        <v>18</v>
      </c>
      <c r="B803" s="2" t="s">
        <v>2904</v>
      </c>
      <c r="C803" s="5">
        <v>45926.0</v>
      </c>
      <c r="D803" s="5">
        <v>45926.0</v>
      </c>
      <c r="E803" s="4" t="s">
        <v>2905</v>
      </c>
      <c r="F803" s="9"/>
      <c r="G803" s="6"/>
      <c r="H803" s="7">
        <v>676.0</v>
      </c>
      <c r="I803" s="7" t="s">
        <v>2906</v>
      </c>
      <c r="K803" s="12" t="str">
        <f t="shared" si="94"/>
        <v>UN3668</v>
      </c>
      <c r="L803" s="2" t="s">
        <v>2907</v>
      </c>
      <c r="M803" s="12" t="str">
        <f t="shared" si="95"/>
        <v>Income</v>
      </c>
      <c r="N803" s="12" t="str">
        <f t="shared" si="96"/>
        <v>Sales</v>
      </c>
      <c r="O803" s="2">
        <v>1.10751038E8</v>
      </c>
      <c r="P803" s="15"/>
      <c r="Q803" s="8">
        <v>2025.0</v>
      </c>
      <c r="R803" s="8" t="s">
        <v>1933</v>
      </c>
    </row>
    <row r="804">
      <c r="A804" s="4" t="s">
        <v>18</v>
      </c>
      <c r="B804" s="2" t="s">
        <v>2908</v>
      </c>
      <c r="C804" s="5">
        <v>45926.0</v>
      </c>
      <c r="D804" s="5">
        <v>45926.0</v>
      </c>
      <c r="E804" s="4" t="s">
        <v>2909</v>
      </c>
      <c r="F804" s="9"/>
      <c r="G804" s="6"/>
      <c r="H804" s="7">
        <v>300.0</v>
      </c>
      <c r="I804" s="7" t="s">
        <v>2910</v>
      </c>
      <c r="K804" s="12" t="str">
        <f t="shared" si="94"/>
        <v>KN3817</v>
      </c>
      <c r="L804" s="2" t="s">
        <v>304</v>
      </c>
      <c r="M804" s="12" t="str">
        <f t="shared" si="95"/>
        <v>Income</v>
      </c>
      <c r="N804" s="12" t="str">
        <f t="shared" si="96"/>
        <v>Sales</v>
      </c>
      <c r="O804" s="2">
        <v>1.10751038E8</v>
      </c>
      <c r="P804" s="15"/>
      <c r="Q804" s="8">
        <v>2025.0</v>
      </c>
      <c r="R804" s="8" t="s">
        <v>1933</v>
      </c>
    </row>
    <row r="805">
      <c r="A805" s="4" t="s">
        <v>18</v>
      </c>
      <c r="B805" s="2" t="s">
        <v>2911</v>
      </c>
      <c r="C805" s="5">
        <v>45926.0</v>
      </c>
      <c r="D805" s="5">
        <v>45926.0</v>
      </c>
      <c r="E805" s="4" t="s">
        <v>2912</v>
      </c>
      <c r="F805" s="9"/>
      <c r="G805" s="6"/>
      <c r="H805" s="7">
        <v>383.0</v>
      </c>
      <c r="I805" s="7" t="s">
        <v>2913</v>
      </c>
      <c r="K805" s="12" t="str">
        <f t="shared" si="94"/>
        <v>UN3668</v>
      </c>
      <c r="L805" s="2" t="s">
        <v>2914</v>
      </c>
      <c r="M805" s="12" t="str">
        <f t="shared" si="95"/>
        <v>Income</v>
      </c>
      <c r="N805" s="12" t="str">
        <f t="shared" si="96"/>
        <v>Sales</v>
      </c>
      <c r="O805" s="2">
        <v>1.10751038E8</v>
      </c>
      <c r="P805" s="15"/>
      <c r="Q805" s="8">
        <v>2025.0</v>
      </c>
      <c r="R805" s="8" t="s">
        <v>1933</v>
      </c>
    </row>
    <row r="806">
      <c r="A806" s="4" t="s">
        <v>18</v>
      </c>
      <c r="B806" s="2" t="s">
        <v>2915</v>
      </c>
      <c r="C806" s="5">
        <v>45926.0</v>
      </c>
      <c r="D806" s="5">
        <v>45926.0</v>
      </c>
      <c r="E806" s="4" t="s">
        <v>2916</v>
      </c>
      <c r="F806" s="9"/>
      <c r="G806" s="6"/>
      <c r="H806" s="7">
        <v>785.0</v>
      </c>
      <c r="I806" s="7" t="s">
        <v>2917</v>
      </c>
      <c r="K806" s="12" t="str">
        <f t="shared" si="94"/>
        <v>SC3567</v>
      </c>
      <c r="L806" s="2" t="s">
        <v>2918</v>
      </c>
      <c r="M806" s="12" t="str">
        <f t="shared" si="95"/>
        <v>Income</v>
      </c>
      <c r="N806" s="12" t="str">
        <f t="shared" si="96"/>
        <v>Sales</v>
      </c>
      <c r="O806" s="2">
        <v>1.10751038E8</v>
      </c>
      <c r="P806" s="15"/>
      <c r="Q806" s="8">
        <v>2025.0</v>
      </c>
      <c r="R806" s="8" t="s">
        <v>1933</v>
      </c>
    </row>
    <row r="807">
      <c r="A807" s="4" t="s">
        <v>18</v>
      </c>
      <c r="B807" s="2" t="s">
        <v>2919</v>
      </c>
      <c r="C807" s="5">
        <v>45927.0</v>
      </c>
      <c r="D807" s="5">
        <v>45927.0</v>
      </c>
      <c r="E807" s="4" t="s">
        <v>2920</v>
      </c>
      <c r="F807" s="9"/>
      <c r="G807" s="6"/>
      <c r="H807" s="11">
        <v>7850.0</v>
      </c>
      <c r="I807" s="7" t="s">
        <v>2921</v>
      </c>
      <c r="K807" s="12" t="str">
        <f t="shared" si="94"/>
        <v>SL1610</v>
      </c>
      <c r="L807" s="2" t="s">
        <v>2922</v>
      </c>
      <c r="M807" s="12" t="str">
        <f t="shared" si="95"/>
        <v>Income</v>
      </c>
      <c r="N807" s="12" t="str">
        <f t="shared" si="96"/>
        <v>Sales</v>
      </c>
      <c r="O807" s="2">
        <v>1.10751038E8</v>
      </c>
      <c r="P807" s="15"/>
      <c r="Q807" s="8">
        <v>2025.0</v>
      </c>
      <c r="R807" s="8" t="s">
        <v>1933</v>
      </c>
    </row>
    <row r="808">
      <c r="A808" s="4" t="s">
        <v>18</v>
      </c>
      <c r="B808" s="2" t="s">
        <v>2923</v>
      </c>
      <c r="C808" s="5">
        <v>45927.0</v>
      </c>
      <c r="D808" s="5">
        <v>45927.0</v>
      </c>
      <c r="E808" s="4" t="s">
        <v>2924</v>
      </c>
      <c r="F808" s="9"/>
      <c r="G808" s="6"/>
      <c r="H808" s="11">
        <v>1262.0</v>
      </c>
      <c r="I808" s="7" t="s">
        <v>2925</v>
      </c>
      <c r="K808" s="12" t="str">
        <f t="shared" si="94"/>
        <v>SC3567</v>
      </c>
      <c r="L808" s="2" t="s">
        <v>2926</v>
      </c>
      <c r="M808" s="12" t="str">
        <f t="shared" si="95"/>
        <v>Income</v>
      </c>
      <c r="N808" s="12" t="str">
        <f t="shared" si="96"/>
        <v>Sales</v>
      </c>
      <c r="O808" s="2">
        <v>1.10751038E8</v>
      </c>
      <c r="P808" s="15"/>
      <c r="Q808" s="8">
        <v>2025.0</v>
      </c>
      <c r="R808" s="8" t="s">
        <v>1933</v>
      </c>
    </row>
    <row r="809">
      <c r="A809" s="4" t="s">
        <v>18</v>
      </c>
      <c r="B809" s="2" t="s">
        <v>2927</v>
      </c>
      <c r="C809" s="5">
        <v>45927.0</v>
      </c>
      <c r="D809" s="5">
        <v>45927.0</v>
      </c>
      <c r="E809" s="4" t="s">
        <v>2928</v>
      </c>
      <c r="F809" s="9"/>
      <c r="G809" s="6"/>
      <c r="H809" s="7">
        <v>480.0</v>
      </c>
      <c r="I809" s="7" t="s">
        <v>2929</v>
      </c>
      <c r="K809" s="12" t="str">
        <f t="shared" si="94"/>
        <v>UN3668</v>
      </c>
      <c r="L809" s="2" t="s">
        <v>2930</v>
      </c>
      <c r="M809" s="12" t="str">
        <f t="shared" si="95"/>
        <v>Income</v>
      </c>
      <c r="N809" s="12" t="str">
        <f t="shared" si="96"/>
        <v>Sales</v>
      </c>
      <c r="O809" s="2">
        <v>1.10751038E8</v>
      </c>
      <c r="P809" s="15"/>
      <c r="Q809" s="8">
        <v>2025.0</v>
      </c>
      <c r="R809" s="8" t="s">
        <v>1933</v>
      </c>
    </row>
    <row r="810">
      <c r="A810" s="4" t="s">
        <v>18</v>
      </c>
      <c r="B810" s="2" t="s">
        <v>2931</v>
      </c>
      <c r="C810" s="5">
        <v>45927.0</v>
      </c>
      <c r="D810" s="5">
        <v>45927.0</v>
      </c>
      <c r="E810" s="4" t="s">
        <v>2932</v>
      </c>
      <c r="F810" s="9"/>
      <c r="G810" s="6"/>
      <c r="H810" s="7">
        <v>359.0</v>
      </c>
      <c r="I810" s="7" t="s">
        <v>2933</v>
      </c>
      <c r="K810" s="2" t="s">
        <v>539</v>
      </c>
      <c r="M810" s="12" t="str">
        <f t="shared" si="95"/>
        <v>Income</v>
      </c>
      <c r="N810" s="12" t="str">
        <f t="shared" si="96"/>
        <v>Sales</v>
      </c>
      <c r="O810" s="2">
        <v>1.10751038E8</v>
      </c>
      <c r="P810" s="15" t="str">
        <f>IFERROR(__xludf.DUMMYFUNCTION("CONCATENATE(B810,"", "", to_text(D810),"", "", E810,"", "", H810)"),"TSV-09-0269, 27-Sep-2025, UPI/CR/527081798799/SHREYA S/HDFC/shreya./na, 359")</f>
        <v>TSV-09-0269, 27-Sep-2025, UPI/CR/527081798799/SHREYA S/HDFC/shreya./na, 359</v>
      </c>
      <c r="Q810" s="8">
        <v>2025.0</v>
      </c>
      <c r="R810" s="8" t="s">
        <v>1933</v>
      </c>
    </row>
    <row r="811">
      <c r="A811" s="4" t="s">
        <v>18</v>
      </c>
      <c r="B811" s="2" t="s">
        <v>2934</v>
      </c>
      <c r="C811" s="5">
        <v>45927.0</v>
      </c>
      <c r="D811" s="5">
        <v>45927.0</v>
      </c>
      <c r="E811" s="4" t="s">
        <v>2935</v>
      </c>
      <c r="F811" s="9"/>
      <c r="G811" s="6"/>
      <c r="H811" s="7">
        <v>442.0</v>
      </c>
      <c r="I811" s="7" t="s">
        <v>2936</v>
      </c>
      <c r="K811" s="12" t="str">
        <f t="shared" ref="K811:K812" si="97">RIGHT(E811,6)</f>
        <v>UN3668</v>
      </c>
      <c r="M811" s="12" t="str">
        <f t="shared" si="95"/>
        <v>Income</v>
      </c>
      <c r="N811" s="12" t="str">
        <f t="shared" si="96"/>
        <v>Sales</v>
      </c>
      <c r="O811" s="2">
        <v>1.10751038E8</v>
      </c>
      <c r="P811" s="15" t="str">
        <f>IFERROR(__xludf.DUMMYFUNCTION("CONCATENATE(B811,"", "", to_text(D811),"", "", E811,"", "", H811)"),"TSV-09-0270, 27-Sep-2025, UPI/CR/691337326941/MALVIKA /ICIC/8130574/UN3668, 442")</f>
        <v>TSV-09-0270, 27-Sep-2025, UPI/CR/691337326941/MALVIKA /ICIC/8130574/UN3668, 442</v>
      </c>
      <c r="Q811" s="8">
        <v>2025.0</v>
      </c>
      <c r="R811" s="8" t="s">
        <v>1933</v>
      </c>
    </row>
    <row r="812">
      <c r="A812" s="4" t="s">
        <v>18</v>
      </c>
      <c r="B812" s="2" t="s">
        <v>2937</v>
      </c>
      <c r="C812" s="5">
        <v>45927.0</v>
      </c>
      <c r="D812" s="5">
        <v>45927.0</v>
      </c>
      <c r="E812" s="4" t="s">
        <v>2938</v>
      </c>
      <c r="F812" s="9"/>
      <c r="G812" s="6"/>
      <c r="H812" s="7">
        <v>468.0</v>
      </c>
      <c r="I812" s="7" t="s">
        <v>2939</v>
      </c>
      <c r="K812" s="12" t="str">
        <f t="shared" si="97"/>
        <v>UN3668</v>
      </c>
      <c r="L812" s="2" t="s">
        <v>2940</v>
      </c>
      <c r="M812" s="12" t="str">
        <f t="shared" si="95"/>
        <v>Income</v>
      </c>
      <c r="N812" s="12" t="str">
        <f t="shared" si="96"/>
        <v>Sales</v>
      </c>
      <c r="O812" s="2">
        <v>1.10751038E8</v>
      </c>
      <c r="P812" s="15"/>
      <c r="Q812" s="8">
        <v>2025.0</v>
      </c>
      <c r="R812" s="8" t="s">
        <v>1933</v>
      </c>
    </row>
    <row r="813">
      <c r="A813" s="4" t="s">
        <v>18</v>
      </c>
      <c r="B813" s="2" t="s">
        <v>2941</v>
      </c>
      <c r="C813" s="5">
        <v>45927.0</v>
      </c>
      <c r="D813" s="5">
        <v>45927.0</v>
      </c>
      <c r="E813" s="4" t="s">
        <v>2942</v>
      </c>
      <c r="F813" s="9"/>
      <c r="G813" s="6"/>
      <c r="H813" s="7">
        <v>390.0</v>
      </c>
      <c r="I813" s="7" t="s">
        <v>2943</v>
      </c>
      <c r="K813" s="2" t="s">
        <v>539</v>
      </c>
      <c r="M813" s="12" t="str">
        <f t="shared" si="95"/>
        <v>Income</v>
      </c>
      <c r="N813" s="12" t="str">
        <f t="shared" si="96"/>
        <v>Sales</v>
      </c>
      <c r="O813" s="2">
        <v>1.10751038E8</v>
      </c>
      <c r="P813" s="15" t="str">
        <f>IFERROR(__xludf.DUMMYFUNCTION("CONCATENATE(B813,"", "", to_text(D813),"", "", E813,"", "", H813)"),"TSV-09-0272, 27-Sep-2025, UPI/CR/111849419350/SATYAVIR/HDFC/satyavi/PAY BY, 390")</f>
        <v>TSV-09-0272, 27-Sep-2025, UPI/CR/111849419350/SATYAVIR/HDFC/satyavi/PAY BY, 390</v>
      </c>
      <c r="Q813" s="8">
        <v>2025.0</v>
      </c>
      <c r="R813" s="8" t="s">
        <v>1933</v>
      </c>
    </row>
    <row r="814">
      <c r="A814" s="4" t="s">
        <v>18</v>
      </c>
      <c r="B814" s="2" t="s">
        <v>2944</v>
      </c>
      <c r="C814" s="5">
        <v>45927.0</v>
      </c>
      <c r="D814" s="5">
        <v>45927.0</v>
      </c>
      <c r="E814" s="4" t="s">
        <v>2945</v>
      </c>
      <c r="F814" s="9"/>
      <c r="G814" s="6"/>
      <c r="H814" s="7">
        <v>900.0</v>
      </c>
      <c r="I814" s="7" t="s">
        <v>2946</v>
      </c>
      <c r="K814" s="2" t="s">
        <v>539</v>
      </c>
      <c r="M814" s="12" t="str">
        <f t="shared" si="95"/>
        <v>Income</v>
      </c>
      <c r="N814" s="12" t="str">
        <f t="shared" si="96"/>
        <v>Sales</v>
      </c>
      <c r="O814" s="2">
        <v>1.10751038E8</v>
      </c>
      <c r="P814" s="15" t="str">
        <f>IFERROR(__xludf.DUMMYFUNCTION("CONCATENATE(B814,"", "", to_text(D814),"", "", E814,"", "", H814)"),"TSV-09-0273, 27-Sep-2025, UPI/CR/111849533446/SATYAVIR/HDFC/satyavi/PAY BY, 900")</f>
        <v>TSV-09-0273, 27-Sep-2025, UPI/CR/111849533446/SATYAVIR/HDFC/satyavi/PAY BY, 900</v>
      </c>
      <c r="Q814" s="8">
        <v>2025.0</v>
      </c>
      <c r="R814" s="8" t="s">
        <v>1933</v>
      </c>
    </row>
    <row r="815">
      <c r="A815" s="4" t="s">
        <v>18</v>
      </c>
      <c r="B815" s="2" t="s">
        <v>2947</v>
      </c>
      <c r="C815" s="5">
        <v>45927.0</v>
      </c>
      <c r="D815" s="5">
        <v>45927.0</v>
      </c>
      <c r="E815" s="4" t="s">
        <v>2948</v>
      </c>
      <c r="F815" s="9"/>
      <c r="G815" s="6"/>
      <c r="H815" s="11">
        <v>2000.0</v>
      </c>
      <c r="I815" s="7" t="s">
        <v>2949</v>
      </c>
      <c r="K815" s="2" t="s">
        <v>539</v>
      </c>
      <c r="M815" s="12" t="str">
        <f t="shared" si="95"/>
        <v>Income</v>
      </c>
      <c r="N815" s="12" t="str">
        <f t="shared" si="96"/>
        <v>Sales</v>
      </c>
      <c r="O815" s="2">
        <v>1.10751038E8</v>
      </c>
      <c r="P815" s="15" t="str">
        <f>IFERROR(__xludf.DUMMYFUNCTION("CONCATENATE(B815,"", "", to_text(D815),"", "", E815,"", "", H815)"),"TSV-09-0274, 27-Sep-2025, UPI/CR/111851568435/SATYAVIR/HDFC/satyavi/PAY BY, 2000")</f>
        <v>TSV-09-0274, 27-Sep-2025, UPI/CR/111851568435/SATYAVIR/HDFC/satyavi/PAY BY, 2000</v>
      </c>
      <c r="Q815" s="8">
        <v>2025.0</v>
      </c>
      <c r="R815" s="8" t="s">
        <v>1933</v>
      </c>
    </row>
    <row r="816">
      <c r="A816" s="4" t="s">
        <v>18</v>
      </c>
      <c r="B816" s="2" t="s">
        <v>2950</v>
      </c>
      <c r="C816" s="5">
        <v>45927.0</v>
      </c>
      <c r="D816" s="5">
        <v>45927.0</v>
      </c>
      <c r="E816" s="4" t="s">
        <v>2951</v>
      </c>
      <c r="F816" s="9"/>
      <c r="G816" s="6"/>
      <c r="H816" s="11">
        <v>2000.0</v>
      </c>
      <c r="I816" s="7" t="s">
        <v>2952</v>
      </c>
      <c r="K816" s="2" t="s">
        <v>539</v>
      </c>
      <c r="M816" s="12" t="str">
        <f t="shared" si="95"/>
        <v>Income</v>
      </c>
      <c r="N816" s="12" t="str">
        <f t="shared" si="96"/>
        <v>Sales</v>
      </c>
      <c r="O816" s="2">
        <v>1.10751038E8</v>
      </c>
      <c r="P816" s="15" t="str">
        <f>IFERROR(__xludf.DUMMYFUNCTION("CONCATENATE(B816,"", "", to_text(D816),"", "", E816,"", "", H816)"),"TSV-09-0275, 27-Sep-2025, UPI/CR/111851635039/SATYAVIR/HDFC/satyavi/PAY BY, 2000")</f>
        <v>TSV-09-0275, 27-Sep-2025, UPI/CR/111851635039/SATYAVIR/HDFC/satyavi/PAY BY, 2000</v>
      </c>
      <c r="Q816" s="8">
        <v>2025.0</v>
      </c>
      <c r="R816" s="8" t="s">
        <v>1933</v>
      </c>
    </row>
    <row r="817">
      <c r="A817" s="4" t="s">
        <v>18</v>
      </c>
      <c r="B817" s="2" t="s">
        <v>2953</v>
      </c>
      <c r="C817" s="5">
        <v>45928.0</v>
      </c>
      <c r="D817" s="5">
        <v>45928.0</v>
      </c>
      <c r="E817" s="4" t="s">
        <v>2954</v>
      </c>
      <c r="F817" s="9"/>
      <c r="G817" s="6"/>
      <c r="H817" s="7">
        <v>750.0</v>
      </c>
      <c r="I817" s="7" t="s">
        <v>2955</v>
      </c>
      <c r="K817" s="12" t="str">
        <f t="shared" ref="K817:K824" si="98">RIGHT(E817,6)</f>
        <v>KN3817</v>
      </c>
      <c r="L817" s="21" t="s">
        <v>2956</v>
      </c>
      <c r="M817" s="12" t="str">
        <f t="shared" si="95"/>
        <v>Income</v>
      </c>
      <c r="N817" s="12" t="str">
        <f t="shared" si="96"/>
        <v>Sales</v>
      </c>
      <c r="O817" s="2">
        <v>1.10751038E8</v>
      </c>
      <c r="P817" s="15"/>
      <c r="Q817" s="8">
        <v>2025.0</v>
      </c>
      <c r="R817" s="8" t="s">
        <v>1933</v>
      </c>
    </row>
    <row r="818">
      <c r="A818" s="4" t="s">
        <v>18</v>
      </c>
      <c r="B818" s="2" t="s">
        <v>2957</v>
      </c>
      <c r="C818" s="5">
        <v>45928.0</v>
      </c>
      <c r="D818" s="5">
        <v>45928.0</v>
      </c>
      <c r="E818" s="4" t="s">
        <v>2958</v>
      </c>
      <c r="F818" s="9"/>
      <c r="G818" s="6"/>
      <c r="H818" s="11">
        <v>1832.0</v>
      </c>
      <c r="I818" s="7" t="s">
        <v>2959</v>
      </c>
      <c r="K818" s="12" t="str">
        <f t="shared" si="98"/>
        <v>UN3668</v>
      </c>
      <c r="L818" s="2" t="s">
        <v>2960</v>
      </c>
      <c r="M818" s="12" t="str">
        <f t="shared" si="95"/>
        <v>Income</v>
      </c>
      <c r="N818" s="12" t="str">
        <f t="shared" si="96"/>
        <v>Sales</v>
      </c>
      <c r="O818" s="2">
        <v>1.10751038E8</v>
      </c>
      <c r="P818" s="15"/>
      <c r="Q818" s="8">
        <v>2025.0</v>
      </c>
      <c r="R818" s="8" t="s">
        <v>1933</v>
      </c>
    </row>
    <row r="819">
      <c r="A819" s="4" t="s">
        <v>18</v>
      </c>
      <c r="B819" s="2" t="s">
        <v>2961</v>
      </c>
      <c r="C819" s="5">
        <v>45928.0</v>
      </c>
      <c r="D819" s="5">
        <v>45928.0</v>
      </c>
      <c r="E819" s="4" t="s">
        <v>2962</v>
      </c>
      <c r="F819" s="9"/>
      <c r="G819" s="6"/>
      <c r="H819" s="11">
        <v>5000.0</v>
      </c>
      <c r="I819" s="7" t="s">
        <v>2963</v>
      </c>
      <c r="K819" s="12" t="str">
        <f t="shared" si="98"/>
        <v>SC3567</v>
      </c>
      <c r="L819" s="2" t="s">
        <v>2964</v>
      </c>
      <c r="M819" s="12" t="str">
        <f t="shared" si="95"/>
        <v>Income</v>
      </c>
      <c r="N819" s="12" t="str">
        <f t="shared" si="96"/>
        <v>Sales</v>
      </c>
      <c r="O819" s="2">
        <v>1.10751038E8</v>
      </c>
      <c r="P819" s="15"/>
      <c r="Q819" s="8">
        <v>2025.0</v>
      </c>
      <c r="R819" s="8" t="s">
        <v>1933</v>
      </c>
    </row>
    <row r="820">
      <c r="A820" s="4" t="s">
        <v>18</v>
      </c>
      <c r="B820" s="2" t="s">
        <v>2965</v>
      </c>
      <c r="C820" s="5">
        <v>45928.0</v>
      </c>
      <c r="D820" s="5">
        <v>45928.0</v>
      </c>
      <c r="E820" s="4" t="s">
        <v>2966</v>
      </c>
      <c r="F820" s="9"/>
      <c r="G820" s="6"/>
      <c r="H820" s="7">
        <v>620.0</v>
      </c>
      <c r="I820" s="7" t="s">
        <v>2967</v>
      </c>
      <c r="K820" s="12" t="str">
        <f t="shared" si="98"/>
        <v>UN3668</v>
      </c>
      <c r="L820" s="2" t="s">
        <v>2968</v>
      </c>
      <c r="M820" s="12" t="str">
        <f t="shared" si="95"/>
        <v>Income</v>
      </c>
      <c r="N820" s="12" t="str">
        <f t="shared" si="96"/>
        <v>Sales</v>
      </c>
      <c r="O820" s="2">
        <v>1.10751038E8</v>
      </c>
      <c r="P820" s="15"/>
      <c r="Q820" s="8">
        <v>2025.0</v>
      </c>
      <c r="R820" s="8" t="s">
        <v>1933</v>
      </c>
    </row>
    <row r="821">
      <c r="A821" s="4" t="s">
        <v>18</v>
      </c>
      <c r="B821" s="2" t="s">
        <v>2969</v>
      </c>
      <c r="C821" s="5">
        <v>45928.0</v>
      </c>
      <c r="D821" s="5">
        <v>45928.0</v>
      </c>
      <c r="E821" s="4" t="s">
        <v>2970</v>
      </c>
      <c r="F821" s="9"/>
      <c r="G821" s="6"/>
      <c r="H821" s="7">
        <v>308.0</v>
      </c>
      <c r="I821" s="7" t="s">
        <v>2971</v>
      </c>
      <c r="K821" s="12" t="str">
        <f t="shared" si="98"/>
        <v>UN3668</v>
      </c>
      <c r="L821" s="2" t="s">
        <v>2972</v>
      </c>
      <c r="M821" s="12" t="str">
        <f t="shared" si="95"/>
        <v>Income</v>
      </c>
      <c r="N821" s="12" t="str">
        <f t="shared" si="96"/>
        <v>Sales</v>
      </c>
      <c r="O821" s="2">
        <v>1.10751038E8</v>
      </c>
      <c r="P821" s="15"/>
      <c r="Q821" s="8">
        <v>2025.0</v>
      </c>
      <c r="R821" s="8" t="s">
        <v>1933</v>
      </c>
    </row>
    <row r="822">
      <c r="A822" s="4" t="s">
        <v>18</v>
      </c>
      <c r="B822" s="2" t="s">
        <v>2973</v>
      </c>
      <c r="C822" s="5">
        <v>45928.0</v>
      </c>
      <c r="D822" s="5">
        <v>45928.0</v>
      </c>
      <c r="E822" s="4" t="s">
        <v>2974</v>
      </c>
      <c r="F822" s="9"/>
      <c r="G822" s="6"/>
      <c r="H822" s="7">
        <v>886.0</v>
      </c>
      <c r="I822" s="7" t="s">
        <v>2975</v>
      </c>
      <c r="K822" s="12" t="str">
        <f t="shared" si="98"/>
        <v>SL1610</v>
      </c>
      <c r="L822" s="2" t="s">
        <v>2976</v>
      </c>
      <c r="M822" s="12" t="str">
        <f t="shared" si="95"/>
        <v>Income</v>
      </c>
      <c r="N822" s="12" t="str">
        <f t="shared" si="96"/>
        <v>Sales</v>
      </c>
      <c r="O822" s="2">
        <v>1.10751038E8</v>
      </c>
      <c r="P822" s="15"/>
      <c r="Q822" s="8">
        <v>2025.0</v>
      </c>
      <c r="R822" s="8" t="s">
        <v>1933</v>
      </c>
    </row>
    <row r="823">
      <c r="A823" s="4" t="s">
        <v>18</v>
      </c>
      <c r="B823" s="2" t="s">
        <v>2977</v>
      </c>
      <c r="C823" s="5">
        <v>45928.0</v>
      </c>
      <c r="D823" s="5">
        <v>45928.0</v>
      </c>
      <c r="E823" s="4" t="s">
        <v>2978</v>
      </c>
      <c r="F823" s="9"/>
      <c r="G823" s="6"/>
      <c r="H823" s="11">
        <v>1600.0</v>
      </c>
      <c r="I823" s="7" t="s">
        <v>2979</v>
      </c>
      <c r="K823" s="12" t="str">
        <f t="shared" si="98"/>
        <v>UN3668</v>
      </c>
      <c r="L823" s="2" t="s">
        <v>2980</v>
      </c>
      <c r="M823" s="12" t="str">
        <f t="shared" si="95"/>
        <v>Income</v>
      </c>
      <c r="N823" s="12" t="str">
        <f t="shared" si="96"/>
        <v>Sales</v>
      </c>
      <c r="O823" s="2">
        <v>1.10751038E8</v>
      </c>
      <c r="P823" s="15"/>
      <c r="Q823" s="8">
        <v>2025.0</v>
      </c>
      <c r="R823" s="8" t="s">
        <v>1933</v>
      </c>
    </row>
    <row r="824">
      <c r="A824" s="4" t="s">
        <v>18</v>
      </c>
      <c r="B824" s="2" t="s">
        <v>2981</v>
      </c>
      <c r="C824" s="5">
        <v>45928.0</v>
      </c>
      <c r="D824" s="5">
        <v>45928.0</v>
      </c>
      <c r="E824" s="4" t="s">
        <v>2982</v>
      </c>
      <c r="F824" s="9"/>
      <c r="G824" s="6"/>
      <c r="H824" s="7">
        <v>280.0</v>
      </c>
      <c r="I824" s="7" t="s">
        <v>2983</v>
      </c>
      <c r="K824" s="12" t="str">
        <f t="shared" si="98"/>
        <v>UN3668</v>
      </c>
      <c r="L824" s="2" t="s">
        <v>2984</v>
      </c>
      <c r="M824" s="12" t="str">
        <f t="shared" si="95"/>
        <v>Income</v>
      </c>
      <c r="N824" s="12" t="str">
        <f t="shared" si="96"/>
        <v>Sales</v>
      </c>
      <c r="O824" s="2">
        <v>1.10751038E8</v>
      </c>
      <c r="P824" s="15"/>
      <c r="Q824" s="8">
        <v>2025.0</v>
      </c>
      <c r="R824" s="8" t="s">
        <v>1933</v>
      </c>
    </row>
    <row r="825">
      <c r="A825" s="4" t="s">
        <v>18</v>
      </c>
      <c r="B825" s="2" t="s">
        <v>2985</v>
      </c>
      <c r="C825" s="5">
        <v>45929.0</v>
      </c>
      <c r="D825" s="5">
        <v>45929.0</v>
      </c>
      <c r="E825" s="4" t="s">
        <v>2986</v>
      </c>
      <c r="F825" s="9"/>
      <c r="G825" s="6"/>
      <c r="H825" s="7">
        <v>858.0</v>
      </c>
      <c r="I825" s="7" t="s">
        <v>2987</v>
      </c>
      <c r="K825" s="2" t="s">
        <v>113</v>
      </c>
      <c r="L825" s="2" t="s">
        <v>2988</v>
      </c>
      <c r="M825" s="12" t="str">
        <f t="shared" si="95"/>
        <v>Income</v>
      </c>
      <c r="N825" s="12" t="str">
        <f t="shared" si="96"/>
        <v>Sales</v>
      </c>
      <c r="O825" s="2">
        <v>1.10751038E8</v>
      </c>
      <c r="P825" s="15" t="str">
        <f>IFERROR(__xludf.DUMMYFUNCTION("CONCATENATE(B825,"", "", to_text(D825),"", "", E825,"", "", H825)"),"TSV-09-0284, 29-Sep-2025, UPI/CR/694100512725/MR LAKSH/HDFC/8920052/UPI, 858")</f>
        <v>TSV-09-0284, 29-Sep-2025, UPI/CR/694100512725/MR LAKSH/HDFC/8920052/UPI, 858</v>
      </c>
      <c r="Q825" s="8">
        <v>2025.0</v>
      </c>
      <c r="R825" s="8" t="s">
        <v>1933</v>
      </c>
    </row>
    <row r="826">
      <c r="A826" s="4" t="s">
        <v>18</v>
      </c>
      <c r="B826" s="2" t="s">
        <v>2989</v>
      </c>
      <c r="C826" s="5">
        <v>45929.0</v>
      </c>
      <c r="D826" s="5">
        <v>45929.0</v>
      </c>
      <c r="E826" s="4" t="s">
        <v>2990</v>
      </c>
      <c r="F826" s="9"/>
      <c r="G826" s="6"/>
      <c r="H826" s="7">
        <v>240.0</v>
      </c>
      <c r="I826" s="7" t="s">
        <v>2991</v>
      </c>
      <c r="K826" s="12" t="str">
        <f t="shared" ref="K826:K828" si="99">RIGHT(E826,6)</f>
        <v>UN3668</v>
      </c>
      <c r="L826" s="2" t="s">
        <v>2992</v>
      </c>
      <c r="M826" s="12" t="str">
        <f t="shared" si="95"/>
        <v>Income</v>
      </c>
      <c r="N826" s="12" t="str">
        <f t="shared" si="96"/>
        <v>Sales</v>
      </c>
      <c r="O826" s="2">
        <v>1.10751038E8</v>
      </c>
      <c r="P826" s="15"/>
      <c r="Q826" s="8">
        <v>2025.0</v>
      </c>
      <c r="R826" s="8" t="s">
        <v>1933</v>
      </c>
    </row>
    <row r="827">
      <c r="A827" s="4" t="s">
        <v>18</v>
      </c>
      <c r="B827" s="2" t="s">
        <v>2993</v>
      </c>
      <c r="C827" s="5">
        <v>45929.0</v>
      </c>
      <c r="D827" s="5">
        <v>45929.0</v>
      </c>
      <c r="E827" s="4" t="s">
        <v>2994</v>
      </c>
      <c r="F827" s="9"/>
      <c r="G827" s="6"/>
      <c r="H827" s="7">
        <v>405.0</v>
      </c>
      <c r="I827" s="7" t="s">
        <v>2995</v>
      </c>
      <c r="K827" s="12" t="str">
        <f t="shared" si="99"/>
        <v>UN3668</v>
      </c>
      <c r="L827" s="2" t="s">
        <v>2996</v>
      </c>
      <c r="M827" s="12" t="str">
        <f t="shared" si="95"/>
        <v>Income</v>
      </c>
      <c r="N827" s="12" t="str">
        <f t="shared" si="96"/>
        <v>Sales</v>
      </c>
      <c r="O827" s="2">
        <v>1.10751038E8</v>
      </c>
      <c r="P827" s="15"/>
      <c r="Q827" s="8">
        <v>2025.0</v>
      </c>
      <c r="R827" s="8" t="s">
        <v>1933</v>
      </c>
    </row>
    <row r="828">
      <c r="A828" s="4" t="s">
        <v>18</v>
      </c>
      <c r="B828" s="2" t="s">
        <v>2997</v>
      </c>
      <c r="C828" s="5">
        <v>45929.0</v>
      </c>
      <c r="D828" s="5">
        <v>45929.0</v>
      </c>
      <c r="E828" s="4" t="s">
        <v>2998</v>
      </c>
      <c r="F828" s="9"/>
      <c r="G828" s="6"/>
      <c r="H828" s="11">
        <v>2529.0</v>
      </c>
      <c r="I828" s="7" t="s">
        <v>2999</v>
      </c>
      <c r="K828" s="12" t="str">
        <f t="shared" si="99"/>
        <v>UN3668</v>
      </c>
      <c r="L828" s="2" t="s">
        <v>3000</v>
      </c>
      <c r="M828" s="12" t="str">
        <f t="shared" si="95"/>
        <v>Income</v>
      </c>
      <c r="N828" s="12" t="str">
        <f t="shared" si="96"/>
        <v>Sales</v>
      </c>
      <c r="O828" s="2">
        <v>1.10751038E8</v>
      </c>
      <c r="P828" s="15"/>
      <c r="Q828" s="8">
        <v>2025.0</v>
      </c>
      <c r="R828" s="8" t="s">
        <v>1933</v>
      </c>
    </row>
    <row r="829">
      <c r="A829" s="4" t="s">
        <v>18</v>
      </c>
      <c r="B829" s="2" t="s">
        <v>3001</v>
      </c>
      <c r="C829" s="5">
        <v>45929.0</v>
      </c>
      <c r="D829" s="5">
        <v>45929.0</v>
      </c>
      <c r="E829" s="4" t="s">
        <v>3002</v>
      </c>
      <c r="F829" s="9"/>
      <c r="G829" s="11">
        <v>3000.0</v>
      </c>
      <c r="H829" s="6"/>
      <c r="I829" s="7" t="s">
        <v>3003</v>
      </c>
      <c r="J829" s="2" t="s">
        <v>3004</v>
      </c>
      <c r="K829" s="2" t="s">
        <v>123</v>
      </c>
      <c r="M829" s="2" t="s">
        <v>114</v>
      </c>
      <c r="N829" s="2" t="s">
        <v>169</v>
      </c>
      <c r="O829" s="2">
        <v>1.10751038E8</v>
      </c>
      <c r="Q829" s="8">
        <v>2025.0</v>
      </c>
      <c r="R829" s="8" t="s">
        <v>1933</v>
      </c>
    </row>
    <row r="830">
      <c r="A830" s="4" t="s">
        <v>18</v>
      </c>
      <c r="B830" s="2" t="s">
        <v>3005</v>
      </c>
      <c r="C830" s="5">
        <v>45929.0</v>
      </c>
      <c r="D830" s="5">
        <v>45929.0</v>
      </c>
      <c r="E830" s="4" t="s">
        <v>3006</v>
      </c>
      <c r="F830" s="9"/>
      <c r="G830" s="11">
        <v>4000.0</v>
      </c>
      <c r="H830" s="6"/>
      <c r="I830" s="7" t="s">
        <v>3007</v>
      </c>
      <c r="K830" s="1" t="s">
        <v>23</v>
      </c>
      <c r="M830" s="2" t="s">
        <v>114</v>
      </c>
      <c r="N830" s="2" t="s">
        <v>1835</v>
      </c>
      <c r="O830" s="2">
        <v>1.10751038E8</v>
      </c>
      <c r="Q830" s="8">
        <v>2025.0</v>
      </c>
      <c r="R830" s="8" t="s">
        <v>1933</v>
      </c>
    </row>
    <row r="831">
      <c r="A831" s="4" t="s">
        <v>18</v>
      </c>
      <c r="B831" s="2" t="s">
        <v>3008</v>
      </c>
      <c r="C831" s="5">
        <v>45929.0</v>
      </c>
      <c r="D831" s="5">
        <v>45929.0</v>
      </c>
      <c r="E831" s="4" t="s">
        <v>3009</v>
      </c>
      <c r="F831" s="9"/>
      <c r="G831" s="11">
        <v>2050.0</v>
      </c>
      <c r="H831" s="6"/>
      <c r="I831" s="7" t="s">
        <v>3010</v>
      </c>
      <c r="K831" s="2" t="s">
        <v>127</v>
      </c>
      <c r="M831" s="2" t="s">
        <v>114</v>
      </c>
      <c r="N831" s="2" t="s">
        <v>478</v>
      </c>
      <c r="O831" s="2">
        <v>1.10751038E8</v>
      </c>
      <c r="Q831" s="8">
        <v>2025.0</v>
      </c>
      <c r="R831" s="8" t="s">
        <v>1933</v>
      </c>
    </row>
    <row r="832">
      <c r="A832" s="4" t="s">
        <v>18</v>
      </c>
      <c r="B832" s="2" t="s">
        <v>3011</v>
      </c>
      <c r="C832" s="5">
        <v>45929.0</v>
      </c>
      <c r="D832" s="5">
        <v>45929.0</v>
      </c>
      <c r="E832" s="4" t="s">
        <v>3012</v>
      </c>
      <c r="F832" s="9"/>
      <c r="G832" s="6"/>
      <c r="H832" s="11">
        <v>6500.0</v>
      </c>
      <c r="I832" s="7" t="s">
        <v>3013</v>
      </c>
      <c r="K832" s="12" t="str">
        <f>RIGHT(E832,6)</f>
        <v>UN3668</v>
      </c>
      <c r="L832" s="2" t="s">
        <v>3014</v>
      </c>
      <c r="M832" s="12" t="str">
        <f>if(H832&gt;0,"Income","Expense")</f>
        <v>Income</v>
      </c>
      <c r="N832" s="12" t="str">
        <f>if(H832&gt;0,"Sales","")</f>
        <v>Sales</v>
      </c>
      <c r="O832" s="2">
        <v>1.10751038E8</v>
      </c>
      <c r="P832" s="15"/>
      <c r="Q832" s="8">
        <v>2025.0</v>
      </c>
      <c r="R832" s="8" t="s">
        <v>1933</v>
      </c>
    </row>
    <row r="833">
      <c r="A833" s="4" t="s">
        <v>18</v>
      </c>
      <c r="B833" s="2" t="s">
        <v>3015</v>
      </c>
      <c r="C833" s="5">
        <v>45929.0</v>
      </c>
      <c r="D833" s="5">
        <v>45929.0</v>
      </c>
      <c r="E833" s="4" t="s">
        <v>3016</v>
      </c>
      <c r="F833" s="9"/>
      <c r="G833" s="11">
        <v>14806.0</v>
      </c>
      <c r="H833" s="6"/>
      <c r="I833" s="7" t="s">
        <v>3017</v>
      </c>
      <c r="J833" s="2" t="s">
        <v>2406</v>
      </c>
      <c r="K833" s="2" t="s">
        <v>113</v>
      </c>
      <c r="M833" s="2" t="s">
        <v>114</v>
      </c>
      <c r="N833" s="2" t="s">
        <v>169</v>
      </c>
      <c r="O833" s="2">
        <v>1.10751038E8</v>
      </c>
      <c r="Q833" s="8">
        <v>2025.0</v>
      </c>
      <c r="R833" s="8" t="s">
        <v>1933</v>
      </c>
    </row>
    <row r="834">
      <c r="A834" s="4" t="s">
        <v>18</v>
      </c>
      <c r="B834" s="2" t="s">
        <v>3018</v>
      </c>
      <c r="C834" s="5">
        <v>45930.0</v>
      </c>
      <c r="D834" s="5">
        <v>45930.0</v>
      </c>
      <c r="E834" s="4" t="s">
        <v>3019</v>
      </c>
      <c r="F834" s="9"/>
      <c r="G834" s="6"/>
      <c r="H834" s="11">
        <v>2000.0</v>
      </c>
      <c r="I834" s="7" t="s">
        <v>3020</v>
      </c>
      <c r="K834" s="12" t="str">
        <f t="shared" ref="K834:K836" si="100">RIGHT(E834,6)</f>
        <v>UN3668</v>
      </c>
      <c r="L834" s="2" t="s">
        <v>619</v>
      </c>
      <c r="M834" s="12" t="str">
        <f t="shared" ref="M834:M836" si="101">if(H834&gt;0,"Income","Expense")</f>
        <v>Income</v>
      </c>
      <c r="N834" s="12" t="str">
        <f t="shared" ref="N834:N836" si="102">if(H834&gt;0,"Sales","")</f>
        <v>Sales</v>
      </c>
      <c r="O834" s="2">
        <v>1.10751038E8</v>
      </c>
      <c r="P834" s="15"/>
      <c r="Q834" s="8">
        <v>2025.0</v>
      </c>
      <c r="R834" s="8" t="s">
        <v>1933</v>
      </c>
    </row>
    <row r="835">
      <c r="A835" s="4" t="s">
        <v>18</v>
      </c>
      <c r="B835" s="2" t="s">
        <v>3021</v>
      </c>
      <c r="C835" s="5">
        <v>45930.0</v>
      </c>
      <c r="D835" s="5">
        <v>45930.0</v>
      </c>
      <c r="E835" s="4" t="s">
        <v>3022</v>
      </c>
      <c r="F835" s="9"/>
      <c r="G835" s="6"/>
      <c r="H835" s="7">
        <v>686.0</v>
      </c>
      <c r="I835" s="7" t="s">
        <v>3023</v>
      </c>
      <c r="K835" s="12" t="str">
        <f t="shared" si="100"/>
        <v>SL1610</v>
      </c>
      <c r="L835" s="2" t="s">
        <v>3024</v>
      </c>
      <c r="M835" s="12" t="str">
        <f t="shared" si="101"/>
        <v>Income</v>
      </c>
      <c r="N835" s="12" t="str">
        <f t="shared" si="102"/>
        <v>Sales</v>
      </c>
      <c r="O835" s="2">
        <v>1.10751038E8</v>
      </c>
      <c r="P835" s="15"/>
      <c r="Q835" s="8">
        <v>2025.0</v>
      </c>
      <c r="R835" s="8" t="s">
        <v>1933</v>
      </c>
    </row>
    <row r="836">
      <c r="A836" s="4" t="s">
        <v>18</v>
      </c>
      <c r="B836" s="2" t="s">
        <v>3025</v>
      </c>
      <c r="C836" s="5">
        <v>45930.0</v>
      </c>
      <c r="D836" s="5">
        <v>45930.0</v>
      </c>
      <c r="E836" s="4" t="s">
        <v>3026</v>
      </c>
      <c r="F836" s="9"/>
      <c r="G836" s="6"/>
      <c r="H836" s="7">
        <v>449.0</v>
      </c>
      <c r="I836" s="7" t="s">
        <v>3027</v>
      </c>
      <c r="K836" s="12" t="str">
        <f t="shared" si="100"/>
        <v>SC3567</v>
      </c>
      <c r="L836" s="2" t="s">
        <v>3028</v>
      </c>
      <c r="M836" s="12" t="str">
        <f t="shared" si="101"/>
        <v>Income</v>
      </c>
      <c r="N836" s="12" t="str">
        <f t="shared" si="102"/>
        <v>Sales</v>
      </c>
      <c r="O836" s="2">
        <v>1.10751038E8</v>
      </c>
      <c r="P836" s="15"/>
      <c r="Q836" s="8">
        <v>2025.0</v>
      </c>
      <c r="R836" s="8" t="s">
        <v>1933</v>
      </c>
    </row>
    <row r="837">
      <c r="A837" s="4" t="s">
        <v>18</v>
      </c>
      <c r="B837" s="2" t="s">
        <v>3029</v>
      </c>
      <c r="C837" s="5">
        <v>45930.0</v>
      </c>
      <c r="D837" s="5">
        <v>45930.0</v>
      </c>
      <c r="E837" s="4" t="s">
        <v>3030</v>
      </c>
      <c r="F837" s="9"/>
      <c r="G837" s="11">
        <v>10650.0</v>
      </c>
      <c r="H837" s="6"/>
      <c r="I837" s="7" t="s">
        <v>3031</v>
      </c>
      <c r="K837" s="2" t="s">
        <v>127</v>
      </c>
      <c r="M837" s="2" t="s">
        <v>114</v>
      </c>
      <c r="N837" s="2" t="s">
        <v>220</v>
      </c>
      <c r="O837" s="2">
        <v>1.10751038E8</v>
      </c>
      <c r="Q837" s="8">
        <v>2025.0</v>
      </c>
      <c r="R837" s="8" t="s">
        <v>1933</v>
      </c>
    </row>
    <row r="838">
      <c r="A838" s="4" t="s">
        <v>18</v>
      </c>
      <c r="B838" s="2" t="s">
        <v>3032</v>
      </c>
      <c r="C838" s="5">
        <v>45930.0</v>
      </c>
      <c r="D838" s="5">
        <v>45930.0</v>
      </c>
      <c r="E838" s="4" t="s">
        <v>3033</v>
      </c>
      <c r="F838" s="9"/>
      <c r="G838" s="6"/>
      <c r="H838" s="7">
        <v>535.0</v>
      </c>
      <c r="I838" s="7" t="s">
        <v>3034</v>
      </c>
      <c r="K838" s="12" t="str">
        <f t="shared" ref="K838:K844" si="103">RIGHT(E838,6)</f>
        <v>KN3817</v>
      </c>
      <c r="L838" s="2" t="s">
        <v>2683</v>
      </c>
      <c r="M838" s="12" t="str">
        <f t="shared" ref="M838:M844" si="104">if(H838&gt;0,"Income","Expense")</f>
        <v>Income</v>
      </c>
      <c r="N838" s="12" t="str">
        <f t="shared" ref="N838:N844" si="105">if(H838&gt;0,"Sales","")</f>
        <v>Sales</v>
      </c>
      <c r="O838" s="2">
        <v>1.10751038E8</v>
      </c>
      <c r="P838" s="15"/>
      <c r="Q838" s="8">
        <v>2025.0</v>
      </c>
      <c r="R838" s="8" t="s">
        <v>1933</v>
      </c>
    </row>
    <row r="839">
      <c r="A839" s="4" t="s">
        <v>18</v>
      </c>
      <c r="B839" s="2" t="s">
        <v>3035</v>
      </c>
      <c r="C839" s="10">
        <v>45931.0</v>
      </c>
      <c r="D839" s="10">
        <v>45931.0</v>
      </c>
      <c r="E839" s="4" t="s">
        <v>3036</v>
      </c>
      <c r="F839" s="9"/>
      <c r="G839" s="6"/>
      <c r="H839" s="7">
        <v>170.0</v>
      </c>
      <c r="I839" s="7" t="s">
        <v>3037</v>
      </c>
      <c r="K839" s="12" t="str">
        <f t="shared" si="103"/>
        <v>SC3567</v>
      </c>
      <c r="M839" s="12" t="str">
        <f t="shared" si="104"/>
        <v>Income</v>
      </c>
      <c r="N839" s="12" t="str">
        <f t="shared" si="105"/>
        <v>Sales</v>
      </c>
      <c r="O839" s="2">
        <v>1.10751038E8</v>
      </c>
      <c r="P839" s="15" t="str">
        <f>IFERROR(__xludf.DUMMYFUNCTION("CONCATENATE(B839,"", "", to_text(D839),"", "", E839,"", "", H839)"),"TSV-10-0001, 01-Oct-2025, UPI/CR/564059441338/INDER JE/CNRB/inderje/SC3567, 170")</f>
        <v>TSV-10-0001, 01-Oct-2025, UPI/CR/564059441338/INDER JE/CNRB/inderje/SC3567, 170</v>
      </c>
      <c r="Q839" s="8">
        <v>2025.0</v>
      </c>
      <c r="R839" s="8" t="s">
        <v>3038</v>
      </c>
    </row>
    <row r="840">
      <c r="A840" s="4" t="s">
        <v>18</v>
      </c>
      <c r="B840" s="2" t="s">
        <v>3039</v>
      </c>
      <c r="C840" s="10">
        <v>45931.0</v>
      </c>
      <c r="D840" s="10">
        <v>45931.0</v>
      </c>
      <c r="E840" s="4" t="s">
        <v>3040</v>
      </c>
      <c r="F840" s="9"/>
      <c r="G840" s="6"/>
      <c r="H840" s="7">
        <v>150.0</v>
      </c>
      <c r="I840" s="7" t="s">
        <v>3041</v>
      </c>
      <c r="K840" s="12" t="str">
        <f t="shared" si="103"/>
        <v>KN3817</v>
      </c>
      <c r="L840" s="2" t="s">
        <v>772</v>
      </c>
      <c r="M840" s="12" t="str">
        <f t="shared" si="104"/>
        <v>Income</v>
      </c>
      <c r="N840" s="12" t="str">
        <f t="shared" si="105"/>
        <v>Sales</v>
      </c>
      <c r="O840" s="2">
        <v>1.10751038E8</v>
      </c>
      <c r="P840" s="15"/>
      <c r="Q840" s="8">
        <v>2025.0</v>
      </c>
      <c r="R840" s="8" t="s">
        <v>3038</v>
      </c>
    </row>
    <row r="841">
      <c r="A841" s="4" t="s">
        <v>18</v>
      </c>
      <c r="B841" s="2" t="s">
        <v>3042</v>
      </c>
      <c r="C841" s="10">
        <v>45931.0</v>
      </c>
      <c r="D841" s="10">
        <v>45931.0</v>
      </c>
      <c r="E841" s="4" t="s">
        <v>3043</v>
      </c>
      <c r="F841" s="9"/>
      <c r="G841" s="6"/>
      <c r="H841" s="7">
        <v>300.0</v>
      </c>
      <c r="I841" s="7" t="s">
        <v>3044</v>
      </c>
      <c r="K841" s="12" t="str">
        <f t="shared" si="103"/>
        <v>KN3817</v>
      </c>
      <c r="L841" s="2" t="s">
        <v>451</v>
      </c>
      <c r="M841" s="12" t="str">
        <f t="shared" si="104"/>
        <v>Income</v>
      </c>
      <c r="N841" s="12" t="str">
        <f t="shared" si="105"/>
        <v>Sales</v>
      </c>
      <c r="O841" s="2">
        <v>1.10751038E8</v>
      </c>
      <c r="P841" s="15"/>
      <c r="Q841" s="8">
        <v>2025.0</v>
      </c>
      <c r="R841" s="8" t="s">
        <v>3038</v>
      </c>
    </row>
    <row r="842">
      <c r="A842" s="4" t="s">
        <v>18</v>
      </c>
      <c r="B842" s="2" t="s">
        <v>3045</v>
      </c>
      <c r="C842" s="10">
        <v>45931.0</v>
      </c>
      <c r="D842" s="10">
        <v>45931.0</v>
      </c>
      <c r="E842" s="4" t="s">
        <v>3046</v>
      </c>
      <c r="F842" s="9"/>
      <c r="G842" s="6"/>
      <c r="H842" s="7">
        <v>270.0</v>
      </c>
      <c r="I842" s="7" t="s">
        <v>3047</v>
      </c>
      <c r="K842" s="12" t="str">
        <f t="shared" si="103"/>
        <v>UN3668</v>
      </c>
      <c r="L842" s="2" t="s">
        <v>3048</v>
      </c>
      <c r="M842" s="12" t="str">
        <f t="shared" si="104"/>
        <v>Income</v>
      </c>
      <c r="N842" s="12" t="str">
        <f t="shared" si="105"/>
        <v>Sales</v>
      </c>
      <c r="O842" s="2">
        <v>1.10751038E8</v>
      </c>
      <c r="P842" s="15"/>
      <c r="Q842" s="8">
        <v>2025.0</v>
      </c>
      <c r="R842" s="8" t="s">
        <v>3038</v>
      </c>
    </row>
    <row r="843">
      <c r="A843" s="4" t="s">
        <v>18</v>
      </c>
      <c r="B843" s="2" t="s">
        <v>3049</v>
      </c>
      <c r="C843" s="10">
        <v>45931.0</v>
      </c>
      <c r="D843" s="10">
        <v>45931.0</v>
      </c>
      <c r="E843" s="4" t="s">
        <v>3050</v>
      </c>
      <c r="F843" s="9"/>
      <c r="G843" s="6"/>
      <c r="H843" s="7">
        <v>140.0</v>
      </c>
      <c r="I843" s="7" t="s">
        <v>3051</v>
      </c>
      <c r="K843" s="12" t="str">
        <f t="shared" si="103"/>
        <v>KN3817</v>
      </c>
      <c r="L843" s="2" t="s">
        <v>3052</v>
      </c>
      <c r="M843" s="12" t="str">
        <f t="shared" si="104"/>
        <v>Income</v>
      </c>
      <c r="N843" s="12" t="str">
        <f t="shared" si="105"/>
        <v>Sales</v>
      </c>
      <c r="O843" s="2">
        <v>1.10751038E8</v>
      </c>
      <c r="P843" s="15"/>
      <c r="Q843" s="8">
        <v>2025.0</v>
      </c>
      <c r="R843" s="8" t="s">
        <v>3038</v>
      </c>
    </row>
    <row r="844">
      <c r="A844" s="4" t="s">
        <v>18</v>
      </c>
      <c r="B844" s="2" t="s">
        <v>3053</v>
      </c>
      <c r="C844" s="10">
        <v>45931.0</v>
      </c>
      <c r="D844" s="10">
        <v>45931.0</v>
      </c>
      <c r="E844" s="4" t="s">
        <v>3054</v>
      </c>
      <c r="F844" s="9"/>
      <c r="G844" s="6"/>
      <c r="H844" s="7">
        <v>720.0</v>
      </c>
      <c r="I844" s="7" t="s">
        <v>3055</v>
      </c>
      <c r="K844" s="12" t="str">
        <f t="shared" si="103"/>
        <v>KN3817</v>
      </c>
      <c r="L844" s="2" t="s">
        <v>3056</v>
      </c>
      <c r="M844" s="12" t="str">
        <f t="shared" si="104"/>
        <v>Income</v>
      </c>
      <c r="N844" s="12" t="str">
        <f t="shared" si="105"/>
        <v>Sales</v>
      </c>
      <c r="O844" s="2">
        <v>1.10751038E8</v>
      </c>
      <c r="P844" s="15"/>
      <c r="Q844" s="8">
        <v>2025.0</v>
      </c>
      <c r="R844" s="8" t="s">
        <v>3038</v>
      </c>
    </row>
    <row r="845">
      <c r="A845" s="4" t="s">
        <v>18</v>
      </c>
      <c r="B845" s="2" t="s">
        <v>3057</v>
      </c>
      <c r="C845" s="10">
        <v>45931.0</v>
      </c>
      <c r="D845" s="10">
        <v>45931.0</v>
      </c>
      <c r="E845" s="4" t="s">
        <v>3058</v>
      </c>
      <c r="F845" s="9"/>
      <c r="G845" s="11">
        <v>1000.0</v>
      </c>
      <c r="H845" s="6"/>
      <c r="I845" s="7" t="s">
        <v>3059</v>
      </c>
      <c r="J845" s="2" t="s">
        <v>3060</v>
      </c>
      <c r="K845" s="1" t="s">
        <v>23</v>
      </c>
      <c r="M845" s="2" t="s">
        <v>114</v>
      </c>
      <c r="N845" s="2" t="s">
        <v>1835</v>
      </c>
      <c r="O845" s="2">
        <v>1.10751038E8</v>
      </c>
      <c r="Q845" s="8">
        <v>2025.0</v>
      </c>
      <c r="R845" s="8" t="s">
        <v>3038</v>
      </c>
    </row>
    <row r="846">
      <c r="A846" s="4" t="s">
        <v>18</v>
      </c>
      <c r="B846" s="2" t="s">
        <v>3061</v>
      </c>
      <c r="C846" s="10">
        <v>45931.0</v>
      </c>
      <c r="D846" s="10">
        <v>45931.0</v>
      </c>
      <c r="E846" s="4" t="s">
        <v>3062</v>
      </c>
      <c r="F846" s="9"/>
      <c r="G846" s="6"/>
      <c r="H846" s="7">
        <v>248.0</v>
      </c>
      <c r="I846" s="7" t="s">
        <v>3063</v>
      </c>
      <c r="K846" s="12" t="str">
        <f t="shared" ref="K846:K848" si="106">RIGHT(E846,6)</f>
        <v>SL1610</v>
      </c>
      <c r="L846" s="2" t="s">
        <v>3064</v>
      </c>
      <c r="M846" s="12" t="str">
        <f t="shared" ref="M846:M856" si="107">if(H846&gt;0,"Income","Expense")</f>
        <v>Income</v>
      </c>
      <c r="N846" s="12" t="str">
        <f t="shared" ref="N846:N856" si="108">if(H846&gt;0,"Sales","")</f>
        <v>Sales</v>
      </c>
      <c r="O846" s="2">
        <v>1.10751038E8</v>
      </c>
      <c r="P846" s="15"/>
      <c r="Q846" s="8">
        <v>2025.0</v>
      </c>
      <c r="R846" s="8" t="s">
        <v>3038</v>
      </c>
    </row>
    <row r="847">
      <c r="A847" s="4" t="s">
        <v>18</v>
      </c>
      <c r="B847" s="2" t="s">
        <v>3065</v>
      </c>
      <c r="C847" s="10">
        <v>45932.0</v>
      </c>
      <c r="D847" s="10">
        <v>45932.0</v>
      </c>
      <c r="E847" s="4" t="s">
        <v>3066</v>
      </c>
      <c r="F847" s="9"/>
      <c r="G847" s="6"/>
      <c r="H847" s="7">
        <v>782.0</v>
      </c>
      <c r="I847" s="7" t="s">
        <v>3067</v>
      </c>
      <c r="K847" s="12" t="str">
        <f t="shared" si="106"/>
        <v>SC3567</v>
      </c>
      <c r="L847" s="2" t="s">
        <v>3068</v>
      </c>
      <c r="M847" s="12" t="str">
        <f t="shared" si="107"/>
        <v>Income</v>
      </c>
      <c r="N847" s="12" t="str">
        <f t="shared" si="108"/>
        <v>Sales</v>
      </c>
      <c r="O847" s="2">
        <v>1.10751038E8</v>
      </c>
      <c r="P847" s="15"/>
      <c r="Q847" s="8">
        <v>2025.0</v>
      </c>
      <c r="R847" s="8" t="s">
        <v>3038</v>
      </c>
    </row>
    <row r="848">
      <c r="A848" s="4" t="s">
        <v>18</v>
      </c>
      <c r="B848" s="2" t="s">
        <v>3069</v>
      </c>
      <c r="C848" s="10">
        <v>45932.0</v>
      </c>
      <c r="D848" s="10">
        <v>45932.0</v>
      </c>
      <c r="E848" s="4" t="s">
        <v>3070</v>
      </c>
      <c r="F848" s="9"/>
      <c r="G848" s="6"/>
      <c r="H848" s="7">
        <v>1.0</v>
      </c>
      <c r="I848" s="7" t="s">
        <v>3071</v>
      </c>
      <c r="K848" s="12" t="str">
        <f t="shared" si="106"/>
        <v>SL1610</v>
      </c>
      <c r="L848" s="2" t="s">
        <v>1497</v>
      </c>
      <c r="M848" s="12" t="str">
        <f t="shared" si="107"/>
        <v>Income</v>
      </c>
      <c r="N848" s="12" t="str">
        <f t="shared" si="108"/>
        <v>Sales</v>
      </c>
      <c r="O848" s="2">
        <v>1.10751038E8</v>
      </c>
      <c r="P848" s="15"/>
      <c r="Q848" s="8">
        <v>2025.0</v>
      </c>
      <c r="R848" s="8" t="s">
        <v>3038</v>
      </c>
    </row>
    <row r="849">
      <c r="A849" s="4" t="s">
        <v>18</v>
      </c>
      <c r="B849" s="2" t="s">
        <v>3072</v>
      </c>
      <c r="C849" s="10">
        <v>45932.0</v>
      </c>
      <c r="D849" s="10">
        <v>45932.0</v>
      </c>
      <c r="E849" s="4" t="s">
        <v>3073</v>
      </c>
      <c r="F849" s="9"/>
      <c r="G849" s="6"/>
      <c r="H849" s="11">
        <v>3000.0</v>
      </c>
      <c r="I849" s="7" t="s">
        <v>3074</v>
      </c>
      <c r="K849" s="2" t="s">
        <v>113</v>
      </c>
      <c r="L849" s="2" t="s">
        <v>3075</v>
      </c>
      <c r="M849" s="12" t="str">
        <f t="shared" si="107"/>
        <v>Income</v>
      </c>
      <c r="N849" s="12" t="str">
        <f t="shared" si="108"/>
        <v>Sales</v>
      </c>
      <c r="O849" s="2">
        <v>1.10751038E8</v>
      </c>
      <c r="P849" s="15" t="str">
        <f>IFERROR(__xludf.DUMMYFUNCTION("CONCATENATE(B849,"", "", to_text(D849),"", "", E849,"", "", H849)"),"TSV-10-0011, 02-Oct-2025, UPI/CR/102829290182/UTKARSH /SBIN/utkarsh/Payment, 3000")</f>
        <v>TSV-10-0011, 02-Oct-2025, UPI/CR/102829290182/UTKARSH /SBIN/utkarsh/Payment, 3000</v>
      </c>
      <c r="Q849" s="8">
        <v>2025.0</v>
      </c>
      <c r="R849" s="8" t="s">
        <v>3038</v>
      </c>
    </row>
    <row r="850">
      <c r="A850" s="4" t="s">
        <v>18</v>
      </c>
      <c r="B850" s="2" t="s">
        <v>3076</v>
      </c>
      <c r="C850" s="10">
        <v>45932.0</v>
      </c>
      <c r="D850" s="10">
        <v>45932.0</v>
      </c>
      <c r="E850" s="4" t="s">
        <v>3077</v>
      </c>
      <c r="F850" s="9"/>
      <c r="G850" s="6"/>
      <c r="H850" s="11">
        <v>2420.0</v>
      </c>
      <c r="I850" s="7" t="s">
        <v>3078</v>
      </c>
      <c r="K850" s="12" t="str">
        <f t="shared" ref="K850:K857" si="109">RIGHT(E850,6)</f>
        <v>UN3668</v>
      </c>
      <c r="L850" s="2" t="s">
        <v>3079</v>
      </c>
      <c r="M850" s="12" t="str">
        <f t="shared" si="107"/>
        <v>Income</v>
      </c>
      <c r="N850" s="12" t="str">
        <f t="shared" si="108"/>
        <v>Sales</v>
      </c>
      <c r="O850" s="2">
        <v>1.10751038E8</v>
      </c>
      <c r="P850" s="15"/>
      <c r="Q850" s="8">
        <v>2025.0</v>
      </c>
      <c r="R850" s="8" t="s">
        <v>3038</v>
      </c>
    </row>
    <row r="851">
      <c r="A851" s="4" t="s">
        <v>18</v>
      </c>
      <c r="B851" s="2" t="s">
        <v>3080</v>
      </c>
      <c r="C851" s="10">
        <v>45932.0</v>
      </c>
      <c r="D851" s="10">
        <v>45932.0</v>
      </c>
      <c r="E851" s="4" t="s">
        <v>3081</v>
      </c>
      <c r="F851" s="9"/>
      <c r="G851" s="6"/>
      <c r="H851" s="7">
        <v>413.0</v>
      </c>
      <c r="I851" s="7" t="s">
        <v>3082</v>
      </c>
      <c r="K851" s="12" t="str">
        <f t="shared" si="109"/>
        <v>UN3668</v>
      </c>
      <c r="L851" s="2" t="s">
        <v>3083</v>
      </c>
      <c r="M851" s="12" t="str">
        <f t="shared" si="107"/>
        <v>Income</v>
      </c>
      <c r="N851" s="12" t="str">
        <f t="shared" si="108"/>
        <v>Sales</v>
      </c>
      <c r="O851" s="2">
        <v>1.10751038E8</v>
      </c>
      <c r="P851" s="15"/>
      <c r="Q851" s="8">
        <v>2025.0</v>
      </c>
      <c r="R851" s="8" t="s">
        <v>3038</v>
      </c>
    </row>
    <row r="852">
      <c r="A852" s="4" t="s">
        <v>18</v>
      </c>
      <c r="B852" s="2" t="s">
        <v>3084</v>
      </c>
      <c r="C852" s="10">
        <v>45932.0</v>
      </c>
      <c r="D852" s="10">
        <v>45932.0</v>
      </c>
      <c r="E852" s="4" t="s">
        <v>3085</v>
      </c>
      <c r="F852" s="9"/>
      <c r="G852" s="6"/>
      <c r="H852" s="7">
        <v>455.0</v>
      </c>
      <c r="I852" s="7" t="s">
        <v>3086</v>
      </c>
      <c r="K852" s="12" t="str">
        <f t="shared" si="109"/>
        <v>UN3668</v>
      </c>
      <c r="L852" s="2" t="s">
        <v>3087</v>
      </c>
      <c r="M852" s="12" t="str">
        <f t="shared" si="107"/>
        <v>Income</v>
      </c>
      <c r="N852" s="12" t="str">
        <f t="shared" si="108"/>
        <v>Sales</v>
      </c>
      <c r="O852" s="2">
        <v>1.10751038E8</v>
      </c>
      <c r="P852" s="15"/>
      <c r="Q852" s="8">
        <v>2025.0</v>
      </c>
      <c r="R852" s="8" t="s">
        <v>3038</v>
      </c>
    </row>
    <row r="853">
      <c r="A853" s="4" t="s">
        <v>18</v>
      </c>
      <c r="B853" s="2" t="s">
        <v>3088</v>
      </c>
      <c r="C853" s="10">
        <v>45932.0</v>
      </c>
      <c r="D853" s="10">
        <v>45932.0</v>
      </c>
      <c r="E853" s="4" t="s">
        <v>3089</v>
      </c>
      <c r="F853" s="9"/>
      <c r="G853" s="6"/>
      <c r="H853" s="7">
        <v>543.0</v>
      </c>
      <c r="I853" s="7" t="s">
        <v>3090</v>
      </c>
      <c r="K853" s="12" t="str">
        <f t="shared" si="109"/>
        <v>SL1610</v>
      </c>
      <c r="L853" s="2" t="s">
        <v>3091</v>
      </c>
      <c r="M853" s="12" t="str">
        <f t="shared" si="107"/>
        <v>Income</v>
      </c>
      <c r="N853" s="12" t="str">
        <f t="shared" si="108"/>
        <v>Sales</v>
      </c>
      <c r="O853" s="2">
        <v>1.10751038E8</v>
      </c>
      <c r="P853" s="15"/>
      <c r="Q853" s="8">
        <v>2025.0</v>
      </c>
      <c r="R853" s="8" t="s">
        <v>3038</v>
      </c>
    </row>
    <row r="854">
      <c r="A854" s="4" t="s">
        <v>18</v>
      </c>
      <c r="B854" s="2" t="s">
        <v>3092</v>
      </c>
      <c r="C854" s="10">
        <v>45932.0</v>
      </c>
      <c r="D854" s="10">
        <v>45932.0</v>
      </c>
      <c r="E854" s="4" t="s">
        <v>3093</v>
      </c>
      <c r="F854" s="9"/>
      <c r="G854" s="6"/>
      <c r="H854" s="7">
        <v>547.0</v>
      </c>
      <c r="I854" s="7" t="s">
        <v>3094</v>
      </c>
      <c r="K854" s="12" t="str">
        <f t="shared" si="109"/>
        <v>SL1610</v>
      </c>
      <c r="L854" s="2" t="s">
        <v>3095</v>
      </c>
      <c r="M854" s="12" t="str">
        <f t="shared" si="107"/>
        <v>Income</v>
      </c>
      <c r="N854" s="12" t="str">
        <f t="shared" si="108"/>
        <v>Sales</v>
      </c>
      <c r="O854" s="2">
        <v>1.10751038E8</v>
      </c>
      <c r="P854" s="15"/>
      <c r="Q854" s="8">
        <v>2025.0</v>
      </c>
      <c r="R854" s="8" t="s">
        <v>3038</v>
      </c>
    </row>
    <row r="855">
      <c r="A855" s="4" t="s">
        <v>18</v>
      </c>
      <c r="B855" s="2" t="s">
        <v>3096</v>
      </c>
      <c r="C855" s="10">
        <v>45933.0</v>
      </c>
      <c r="D855" s="10">
        <v>45933.0</v>
      </c>
      <c r="E855" s="4" t="s">
        <v>3097</v>
      </c>
      <c r="F855" s="9"/>
      <c r="G855" s="6"/>
      <c r="H855" s="7">
        <v>920.0</v>
      </c>
      <c r="I855" s="7" t="s">
        <v>3098</v>
      </c>
      <c r="K855" s="12" t="str">
        <f t="shared" si="109"/>
        <v>SL1610</v>
      </c>
      <c r="L855" s="2" t="s">
        <v>3099</v>
      </c>
      <c r="M855" s="12" t="str">
        <f t="shared" si="107"/>
        <v>Income</v>
      </c>
      <c r="N855" s="12" t="str">
        <f t="shared" si="108"/>
        <v>Sales</v>
      </c>
      <c r="O855" s="2">
        <v>1.10751038E8</v>
      </c>
      <c r="P855" s="15"/>
      <c r="Q855" s="8">
        <v>2025.0</v>
      </c>
      <c r="R855" s="8" t="s">
        <v>3038</v>
      </c>
    </row>
    <row r="856">
      <c r="A856" s="4" t="s">
        <v>18</v>
      </c>
      <c r="B856" s="2" t="s">
        <v>3100</v>
      </c>
      <c r="C856" s="10">
        <v>45933.0</v>
      </c>
      <c r="D856" s="10">
        <v>45933.0</v>
      </c>
      <c r="E856" s="4" t="s">
        <v>3101</v>
      </c>
      <c r="F856" s="9"/>
      <c r="G856" s="6"/>
      <c r="H856" s="7">
        <v>420.0</v>
      </c>
      <c r="I856" s="7" t="s">
        <v>3102</v>
      </c>
      <c r="K856" s="12" t="str">
        <f t="shared" si="109"/>
        <v>UN3668</v>
      </c>
      <c r="L856" s="2" t="s">
        <v>3103</v>
      </c>
      <c r="M856" s="12" t="str">
        <f t="shared" si="107"/>
        <v>Income</v>
      </c>
      <c r="N856" s="12" t="str">
        <f t="shared" si="108"/>
        <v>Sales</v>
      </c>
      <c r="O856" s="2">
        <v>1.10751038E8</v>
      </c>
      <c r="P856" s="15"/>
      <c r="Q856" s="8">
        <v>2025.0</v>
      </c>
      <c r="R856" s="8" t="s">
        <v>3038</v>
      </c>
    </row>
    <row r="857">
      <c r="A857" s="4" t="s">
        <v>18</v>
      </c>
      <c r="B857" s="2" t="s">
        <v>3104</v>
      </c>
      <c r="C857" s="10">
        <v>45933.0</v>
      </c>
      <c r="D857" s="10">
        <v>45933.0</v>
      </c>
      <c r="E857" s="4" t="s">
        <v>3105</v>
      </c>
      <c r="F857" s="9"/>
      <c r="G857" s="11">
        <v>8260.0</v>
      </c>
      <c r="H857" s="6"/>
      <c r="I857" s="7" t="s">
        <v>3106</v>
      </c>
      <c r="J857" s="2" t="s">
        <v>3107</v>
      </c>
      <c r="K857" s="12" t="str">
        <f t="shared" si="109"/>
        <v>SL1610</v>
      </c>
      <c r="M857" s="2" t="s">
        <v>114</v>
      </c>
      <c r="N857" s="2" t="s">
        <v>3108</v>
      </c>
      <c r="O857" s="2">
        <v>1.10751038E8</v>
      </c>
      <c r="Q857" s="8">
        <v>2025.0</v>
      </c>
      <c r="R857" s="8" t="s">
        <v>3038</v>
      </c>
    </row>
    <row r="858">
      <c r="A858" s="4" t="s">
        <v>18</v>
      </c>
      <c r="B858" s="2" t="s">
        <v>3109</v>
      </c>
      <c r="C858" s="10">
        <v>45933.0</v>
      </c>
      <c r="D858" s="10">
        <v>45933.0</v>
      </c>
      <c r="E858" s="4" t="s">
        <v>3110</v>
      </c>
      <c r="F858" s="9"/>
      <c r="G858" s="11">
        <v>1647.28</v>
      </c>
      <c r="H858" s="6"/>
      <c r="I858" s="7" t="s">
        <v>3111</v>
      </c>
      <c r="J858" s="2" t="s">
        <v>3112</v>
      </c>
      <c r="K858" s="1" t="s">
        <v>23</v>
      </c>
      <c r="M858" s="2" t="s">
        <v>114</v>
      </c>
      <c r="N858" s="2" t="s">
        <v>3113</v>
      </c>
      <c r="O858" s="2">
        <v>1.10751038E8</v>
      </c>
      <c r="Q858" s="8">
        <v>2025.0</v>
      </c>
      <c r="R858" s="8" t="s">
        <v>3038</v>
      </c>
    </row>
    <row r="859">
      <c r="A859" s="4" t="s">
        <v>18</v>
      </c>
      <c r="B859" s="2" t="s">
        <v>3114</v>
      </c>
      <c r="C859" s="10">
        <v>45934.0</v>
      </c>
      <c r="D859" s="10">
        <v>45934.0</v>
      </c>
      <c r="E859" s="4" t="s">
        <v>3115</v>
      </c>
      <c r="F859" s="9"/>
      <c r="G859" s="6"/>
      <c r="H859" s="7">
        <v>857.0</v>
      </c>
      <c r="I859" s="7" t="s">
        <v>3116</v>
      </c>
      <c r="K859" s="12" t="str">
        <f t="shared" ref="K859:K861" si="110">RIGHT(E859,6)</f>
        <v>SC3567</v>
      </c>
      <c r="L859" s="2" t="s">
        <v>3117</v>
      </c>
      <c r="M859" s="12" t="str">
        <f t="shared" ref="M859:M861" si="111">if(H859&gt;0,"Income","Expense")</f>
        <v>Income</v>
      </c>
      <c r="N859" s="12" t="str">
        <f t="shared" ref="N859:N861" si="112">if(H859&gt;0,"Sales","")</f>
        <v>Sales</v>
      </c>
      <c r="O859" s="2">
        <v>1.10751038E8</v>
      </c>
      <c r="P859" s="15"/>
      <c r="Q859" s="8">
        <v>2025.0</v>
      </c>
      <c r="R859" s="8" t="s">
        <v>3038</v>
      </c>
    </row>
    <row r="860">
      <c r="A860" s="4" t="s">
        <v>18</v>
      </c>
      <c r="B860" s="2" t="s">
        <v>3118</v>
      </c>
      <c r="C860" s="10">
        <v>45934.0</v>
      </c>
      <c r="D860" s="10">
        <v>45934.0</v>
      </c>
      <c r="E860" s="4" t="s">
        <v>3119</v>
      </c>
      <c r="F860" s="9"/>
      <c r="G860" s="6"/>
      <c r="H860" s="7">
        <v>500.0</v>
      </c>
      <c r="I860" s="7" t="s">
        <v>3120</v>
      </c>
      <c r="K860" s="12" t="str">
        <f t="shared" si="110"/>
        <v>UN3668</v>
      </c>
      <c r="L860" s="2" t="s">
        <v>3121</v>
      </c>
      <c r="M860" s="12" t="str">
        <f t="shared" si="111"/>
        <v>Income</v>
      </c>
      <c r="N860" s="12" t="str">
        <f t="shared" si="112"/>
        <v>Sales</v>
      </c>
      <c r="O860" s="2">
        <v>1.10751038E8</v>
      </c>
      <c r="P860" s="15" t="str">
        <f>IFERROR(__xludf.DUMMYFUNCTION("CONCATENATE(B860,"", "", to_text(D860),"", "", E860,"", "", H860)"),"TSV-10-0022, 04-Oct-2025, UPI/CR/618885810390/BHASKAR /HDFC/9911751/UN3668, 500")</f>
        <v>TSV-10-0022, 04-Oct-2025, UPI/CR/618885810390/BHASKAR /HDFC/9911751/UN3668, 500</v>
      </c>
      <c r="Q860" s="8">
        <v>2025.0</v>
      </c>
      <c r="R860" s="8" t="s">
        <v>3038</v>
      </c>
    </row>
    <row r="861">
      <c r="A861" s="4" t="s">
        <v>18</v>
      </c>
      <c r="B861" s="2" t="s">
        <v>3122</v>
      </c>
      <c r="C861" s="10">
        <v>45934.0</v>
      </c>
      <c r="D861" s="10">
        <v>45934.0</v>
      </c>
      <c r="E861" s="4" t="s">
        <v>3123</v>
      </c>
      <c r="F861" s="9"/>
      <c r="G861" s="6"/>
      <c r="H861" s="7">
        <v>225.0</v>
      </c>
      <c r="I861" s="7" t="s">
        <v>3124</v>
      </c>
      <c r="K861" s="12" t="str">
        <f t="shared" si="110"/>
        <v>UN3668</v>
      </c>
      <c r="L861" s="2" t="s">
        <v>3125</v>
      </c>
      <c r="M861" s="12" t="str">
        <f t="shared" si="111"/>
        <v>Income</v>
      </c>
      <c r="N861" s="12" t="str">
        <f t="shared" si="112"/>
        <v>Sales</v>
      </c>
      <c r="O861" s="2">
        <v>1.10751038E8</v>
      </c>
      <c r="P861" s="15" t="str">
        <f>IFERROR(__xludf.DUMMYFUNCTION("CONCATENATE(B861,"", "", to_text(D861),"", "", E861,"", "", H861)"),"TSV-10-0023, 04-Oct-2025, UPI/CR/390239239750/AMIT KUM/PUNB/7004316/UN3668, 225")</f>
        <v>TSV-10-0023, 04-Oct-2025, UPI/CR/390239239750/AMIT KUM/PUNB/7004316/UN3668, 225</v>
      </c>
      <c r="Q861" s="8">
        <v>2025.0</v>
      </c>
      <c r="R861" s="8" t="s">
        <v>3038</v>
      </c>
    </row>
    <row r="862">
      <c r="A862" s="4" t="s">
        <v>18</v>
      </c>
      <c r="B862" s="2" t="s">
        <v>3126</v>
      </c>
      <c r="C862" s="10">
        <v>45934.0</v>
      </c>
      <c r="D862" s="10">
        <v>45934.0</v>
      </c>
      <c r="E862" s="4" t="s">
        <v>3127</v>
      </c>
      <c r="F862" s="9"/>
      <c r="G862" s="7">
        <v>329.0</v>
      </c>
      <c r="H862" s="6"/>
      <c r="I862" s="7" t="s">
        <v>3128</v>
      </c>
      <c r="J862" s="2" t="s">
        <v>3129</v>
      </c>
      <c r="K862" s="2" t="s">
        <v>113</v>
      </c>
      <c r="M862" s="2" t="s">
        <v>114</v>
      </c>
      <c r="N862" s="2" t="s">
        <v>3130</v>
      </c>
      <c r="O862" s="2">
        <v>1.10751038E8</v>
      </c>
      <c r="Q862" s="8">
        <v>2025.0</v>
      </c>
      <c r="R862" s="8" t="s">
        <v>3038</v>
      </c>
    </row>
    <row r="863">
      <c r="A863" s="4" t="s">
        <v>18</v>
      </c>
      <c r="B863" s="2" t="s">
        <v>3131</v>
      </c>
      <c r="C863" s="10">
        <v>45934.0</v>
      </c>
      <c r="D863" s="10">
        <v>45934.0</v>
      </c>
      <c r="E863" s="4" t="s">
        <v>3132</v>
      </c>
      <c r="F863" s="9"/>
      <c r="G863" s="6"/>
      <c r="H863" s="7">
        <v>180.0</v>
      </c>
      <c r="I863" s="7" t="s">
        <v>3133</v>
      </c>
      <c r="K863" s="12" t="str">
        <f t="shared" ref="K863:K864" si="113">RIGHT(E863,6)</f>
        <v>UN3668</v>
      </c>
      <c r="L863" s="2" t="s">
        <v>3134</v>
      </c>
      <c r="M863" s="12" t="str">
        <f t="shared" ref="M863:M864" si="114">if(H863&gt;0,"Income","Expense")</f>
        <v>Income</v>
      </c>
      <c r="N863" s="12" t="str">
        <f t="shared" ref="N863:N864" si="115">if(H863&gt;0,"Sales","")</f>
        <v>Sales</v>
      </c>
      <c r="O863" s="2">
        <v>1.10751038E8</v>
      </c>
      <c r="P863" s="15" t="str">
        <f>IFERROR(__xludf.DUMMYFUNCTION("CONCATENATE(B863,"", "", to_text(D863),"", "", E863,"", "", H863)"),"TSV-10-0025, 04-Oct-2025, UPI/CR/527719503353/Yash Kum/PPIW/6266508/UN3668, 180")</f>
        <v>TSV-10-0025, 04-Oct-2025, UPI/CR/527719503353/Yash Kum/PPIW/6266508/UN3668, 180</v>
      </c>
      <c r="Q863" s="8">
        <v>2025.0</v>
      </c>
      <c r="R863" s="8" t="s">
        <v>3038</v>
      </c>
    </row>
    <row r="864">
      <c r="A864" s="4" t="s">
        <v>18</v>
      </c>
      <c r="B864" s="2" t="s">
        <v>3135</v>
      </c>
      <c r="C864" s="10">
        <v>45934.0</v>
      </c>
      <c r="D864" s="10">
        <v>45934.0</v>
      </c>
      <c r="E864" s="4" t="s">
        <v>3136</v>
      </c>
      <c r="F864" s="9"/>
      <c r="G864" s="6"/>
      <c r="H864" s="7">
        <v>196.0</v>
      </c>
      <c r="I864" s="7" t="s">
        <v>3137</v>
      </c>
      <c r="K864" s="12" t="str">
        <f t="shared" si="113"/>
        <v>UN3668</v>
      </c>
      <c r="L864" s="2" t="s">
        <v>3138</v>
      </c>
      <c r="M864" s="12" t="str">
        <f t="shared" si="114"/>
        <v>Income</v>
      </c>
      <c r="N864" s="12" t="str">
        <f t="shared" si="115"/>
        <v>Sales</v>
      </c>
      <c r="O864" s="2">
        <v>1.10751038E8</v>
      </c>
      <c r="P864" s="15" t="str">
        <f>IFERROR(__xludf.DUMMYFUNCTION("CONCATENATE(B864,"", "", to_text(D864),"", "", E864,"", "", H864)"),"TSV-10-0026, 04-Oct-2025, UPI/CR/905769752494/HITESH /JAKA/9911936/UN3668, 196")</f>
        <v>TSV-10-0026, 04-Oct-2025, UPI/CR/905769752494/HITESH /JAKA/9911936/UN3668, 196</v>
      </c>
      <c r="Q864" s="8">
        <v>2025.0</v>
      </c>
      <c r="R864" s="8" t="s">
        <v>3038</v>
      </c>
    </row>
    <row r="865">
      <c r="A865" s="4" t="s">
        <v>18</v>
      </c>
      <c r="B865" s="2" t="s">
        <v>3139</v>
      </c>
      <c r="C865" s="10">
        <v>45935.0</v>
      </c>
      <c r="D865" s="10">
        <v>45935.0</v>
      </c>
      <c r="E865" s="4" t="s">
        <v>3140</v>
      </c>
      <c r="F865" s="9"/>
      <c r="G865" s="11">
        <v>3270.0</v>
      </c>
      <c r="H865" s="6"/>
      <c r="I865" s="7" t="s">
        <v>3141</v>
      </c>
      <c r="K865" s="2" t="s">
        <v>123</v>
      </c>
      <c r="M865" s="2" t="s">
        <v>114</v>
      </c>
      <c r="N865" s="2" t="s">
        <v>1800</v>
      </c>
      <c r="O865" s="2">
        <v>1.10751038E8</v>
      </c>
      <c r="Q865" s="8">
        <v>2025.0</v>
      </c>
      <c r="R865" s="8" t="s">
        <v>3038</v>
      </c>
    </row>
    <row r="866">
      <c r="A866" s="4" t="s">
        <v>18</v>
      </c>
      <c r="B866" s="2" t="s">
        <v>3142</v>
      </c>
      <c r="C866" s="10">
        <v>45935.0</v>
      </c>
      <c r="D866" s="10">
        <v>45935.0</v>
      </c>
      <c r="E866" s="4" t="s">
        <v>3143</v>
      </c>
      <c r="F866" s="9"/>
      <c r="G866" s="11">
        <v>5000.0</v>
      </c>
      <c r="H866" s="6"/>
      <c r="I866" s="7" t="s">
        <v>3144</v>
      </c>
      <c r="J866" s="2" t="s">
        <v>3145</v>
      </c>
      <c r="K866" s="1" t="s">
        <v>23</v>
      </c>
      <c r="M866" s="2" t="s">
        <v>114</v>
      </c>
      <c r="N866" s="2" t="s">
        <v>169</v>
      </c>
      <c r="O866" s="2">
        <v>1.10751038E8</v>
      </c>
      <c r="Q866" s="8">
        <v>2025.0</v>
      </c>
      <c r="R866" s="8" t="s">
        <v>3038</v>
      </c>
    </row>
    <row r="867">
      <c r="A867" s="4" t="s">
        <v>18</v>
      </c>
      <c r="B867" s="2" t="s">
        <v>3146</v>
      </c>
      <c r="C867" s="10">
        <v>45935.0</v>
      </c>
      <c r="D867" s="10">
        <v>45935.0</v>
      </c>
      <c r="E867" s="4" t="s">
        <v>3147</v>
      </c>
      <c r="F867" s="9"/>
      <c r="G867" s="11">
        <v>3000.0</v>
      </c>
      <c r="H867" s="6"/>
      <c r="I867" s="7" t="s">
        <v>3148</v>
      </c>
      <c r="J867" s="2" t="s">
        <v>3149</v>
      </c>
      <c r="K867" s="2" t="s">
        <v>113</v>
      </c>
      <c r="M867" s="2" t="s">
        <v>114</v>
      </c>
      <c r="N867" s="2" t="s">
        <v>169</v>
      </c>
      <c r="O867" s="2">
        <v>1.10751038E8</v>
      </c>
      <c r="Q867" s="8">
        <v>2025.0</v>
      </c>
      <c r="R867" s="8" t="s">
        <v>3038</v>
      </c>
    </row>
    <row r="868">
      <c r="A868" s="4" t="s">
        <v>18</v>
      </c>
      <c r="B868" s="2" t="s">
        <v>3150</v>
      </c>
      <c r="C868" s="10">
        <v>45935.0</v>
      </c>
      <c r="D868" s="10">
        <v>45935.0</v>
      </c>
      <c r="E868" s="4" t="s">
        <v>3151</v>
      </c>
      <c r="F868" s="9"/>
      <c r="G868" s="11">
        <v>3735.1</v>
      </c>
      <c r="H868" s="6"/>
      <c r="I868" s="7" t="s">
        <v>3152</v>
      </c>
      <c r="K868" s="2" t="s">
        <v>119</v>
      </c>
      <c r="M868" s="2" t="s">
        <v>114</v>
      </c>
      <c r="N868" s="2" t="s">
        <v>275</v>
      </c>
      <c r="O868" s="2">
        <v>1.10751038E8</v>
      </c>
      <c r="Q868" s="8">
        <v>2025.0</v>
      </c>
      <c r="R868" s="8" t="s">
        <v>3038</v>
      </c>
    </row>
    <row r="869">
      <c r="A869" s="4" t="s">
        <v>18</v>
      </c>
      <c r="B869" s="2" t="s">
        <v>3153</v>
      </c>
      <c r="C869" s="10">
        <v>45935.0</v>
      </c>
      <c r="D869" s="10">
        <v>45935.0</v>
      </c>
      <c r="E869" s="4" t="s">
        <v>3154</v>
      </c>
      <c r="F869" s="9"/>
      <c r="G869" s="11">
        <v>3055.64</v>
      </c>
      <c r="H869" s="6"/>
      <c r="I869" s="7" t="s">
        <v>3155</v>
      </c>
      <c r="K869" s="2" t="s">
        <v>127</v>
      </c>
      <c r="M869" s="2" t="s">
        <v>114</v>
      </c>
      <c r="N869" s="2" t="s">
        <v>275</v>
      </c>
      <c r="O869" s="2">
        <v>1.10751038E8</v>
      </c>
      <c r="Q869" s="8">
        <v>2025.0</v>
      </c>
      <c r="R869" s="8" t="s">
        <v>3038</v>
      </c>
    </row>
    <row r="870">
      <c r="A870" s="4" t="s">
        <v>18</v>
      </c>
      <c r="B870" s="2" t="s">
        <v>3156</v>
      </c>
      <c r="C870" s="10">
        <v>45935.0</v>
      </c>
      <c r="D870" s="10">
        <v>45935.0</v>
      </c>
      <c r="E870" s="4" t="s">
        <v>3157</v>
      </c>
      <c r="F870" s="9"/>
      <c r="G870" s="6"/>
      <c r="H870" s="7">
        <v>308.0</v>
      </c>
      <c r="I870" s="7" t="s">
        <v>3158</v>
      </c>
      <c r="K870" s="12" t="str">
        <f t="shared" ref="K870:K873" si="116">RIGHT(E870,6)</f>
        <v>KN3817</v>
      </c>
      <c r="L870" s="2" t="s">
        <v>551</v>
      </c>
      <c r="M870" s="12" t="str">
        <f t="shared" ref="M870:M873" si="117">if(H870&gt;0,"Income","Expense")</f>
        <v>Income</v>
      </c>
      <c r="N870" s="12" t="str">
        <f t="shared" ref="N870:N873" si="118">if(H870&gt;0,"Sales","")</f>
        <v>Sales</v>
      </c>
      <c r="O870" s="2">
        <v>1.10751038E8</v>
      </c>
      <c r="P870" s="15"/>
      <c r="Q870" s="8">
        <v>2025.0</v>
      </c>
      <c r="R870" s="8" t="s">
        <v>3038</v>
      </c>
    </row>
    <row r="871">
      <c r="A871" s="4" t="s">
        <v>18</v>
      </c>
      <c r="B871" s="2" t="s">
        <v>3159</v>
      </c>
      <c r="C871" s="10">
        <v>45935.0</v>
      </c>
      <c r="D871" s="10">
        <v>45935.0</v>
      </c>
      <c r="E871" s="4" t="s">
        <v>3160</v>
      </c>
      <c r="F871" s="9"/>
      <c r="G871" s="6"/>
      <c r="H871" s="11">
        <v>3000.0</v>
      </c>
      <c r="I871" s="7" t="s">
        <v>3161</v>
      </c>
      <c r="K871" s="12" t="str">
        <f t="shared" si="116"/>
        <v>SC3567</v>
      </c>
      <c r="L871" s="2" t="s">
        <v>619</v>
      </c>
      <c r="M871" s="12" t="str">
        <f t="shared" si="117"/>
        <v>Income</v>
      </c>
      <c r="N871" s="12" t="str">
        <f t="shared" si="118"/>
        <v>Sales</v>
      </c>
      <c r="O871" s="2">
        <v>1.10751038E8</v>
      </c>
      <c r="P871" s="15"/>
      <c r="Q871" s="8">
        <v>2025.0</v>
      </c>
      <c r="R871" s="8" t="s">
        <v>3038</v>
      </c>
    </row>
    <row r="872">
      <c r="A872" s="4" t="s">
        <v>18</v>
      </c>
      <c r="B872" s="2" t="s">
        <v>3162</v>
      </c>
      <c r="C872" s="10">
        <v>45935.0</v>
      </c>
      <c r="D872" s="10">
        <v>45935.0</v>
      </c>
      <c r="E872" s="4" t="s">
        <v>3163</v>
      </c>
      <c r="F872" s="9"/>
      <c r="G872" s="6"/>
      <c r="H872" s="7">
        <v>768.0</v>
      </c>
      <c r="I872" s="7" t="s">
        <v>3164</v>
      </c>
      <c r="K872" s="12" t="str">
        <f t="shared" si="116"/>
        <v>KN3817</v>
      </c>
      <c r="L872" s="2" t="s">
        <v>3165</v>
      </c>
      <c r="M872" s="12" t="str">
        <f t="shared" si="117"/>
        <v>Income</v>
      </c>
      <c r="N872" s="12" t="str">
        <f t="shared" si="118"/>
        <v>Sales</v>
      </c>
      <c r="O872" s="2">
        <v>1.10751038E8</v>
      </c>
      <c r="P872" s="15"/>
      <c r="Q872" s="8">
        <v>2025.0</v>
      </c>
      <c r="R872" s="8" t="s">
        <v>3038</v>
      </c>
    </row>
    <row r="873">
      <c r="A873" s="4" t="s">
        <v>18</v>
      </c>
      <c r="B873" s="2" t="s">
        <v>3166</v>
      </c>
      <c r="C873" s="10">
        <v>45935.0</v>
      </c>
      <c r="D873" s="10">
        <v>45935.0</v>
      </c>
      <c r="E873" s="4" t="s">
        <v>3167</v>
      </c>
      <c r="F873" s="9"/>
      <c r="G873" s="6"/>
      <c r="H873" s="7">
        <v>504.0</v>
      </c>
      <c r="I873" s="7" t="s">
        <v>3168</v>
      </c>
      <c r="K873" s="12" t="str">
        <f t="shared" si="116"/>
        <v>SC3567</v>
      </c>
      <c r="L873" s="2" t="s">
        <v>3169</v>
      </c>
      <c r="M873" s="12" t="str">
        <f t="shared" si="117"/>
        <v>Income</v>
      </c>
      <c r="N873" s="12" t="str">
        <f t="shared" si="118"/>
        <v>Sales</v>
      </c>
      <c r="O873" s="2">
        <v>1.10751038E8</v>
      </c>
      <c r="P873" s="15"/>
      <c r="Q873" s="8">
        <v>2025.0</v>
      </c>
      <c r="R873" s="8" t="s">
        <v>3038</v>
      </c>
    </row>
    <row r="874">
      <c r="A874" s="4" t="s">
        <v>18</v>
      </c>
      <c r="B874" s="2" t="s">
        <v>3170</v>
      </c>
      <c r="C874" s="10">
        <v>45936.0</v>
      </c>
      <c r="D874" s="10">
        <v>45936.0</v>
      </c>
      <c r="E874" s="4" t="s">
        <v>3171</v>
      </c>
      <c r="F874" s="9"/>
      <c r="G874" s="11">
        <v>4000.0</v>
      </c>
      <c r="H874" s="6"/>
      <c r="I874" s="7" t="s">
        <v>3172</v>
      </c>
      <c r="K874" s="1" t="s">
        <v>23</v>
      </c>
      <c r="M874" s="2" t="s">
        <v>114</v>
      </c>
      <c r="N874" s="2" t="s">
        <v>1835</v>
      </c>
      <c r="O874" s="2">
        <v>1.10751038E8</v>
      </c>
      <c r="Q874" s="8">
        <v>2025.0</v>
      </c>
      <c r="R874" s="8" t="s">
        <v>3038</v>
      </c>
    </row>
    <row r="875">
      <c r="A875" s="4" t="s">
        <v>18</v>
      </c>
      <c r="B875" s="2" t="s">
        <v>3173</v>
      </c>
      <c r="C875" s="10">
        <v>45936.0</v>
      </c>
      <c r="D875" s="10">
        <v>45936.0</v>
      </c>
      <c r="E875" s="4" t="s">
        <v>3174</v>
      </c>
      <c r="F875" s="9"/>
      <c r="G875" s="7">
        <v>580.0</v>
      </c>
      <c r="H875" s="6"/>
      <c r="I875" s="7" t="s">
        <v>3155</v>
      </c>
      <c r="K875" s="2" t="s">
        <v>113</v>
      </c>
      <c r="M875" s="2" t="s">
        <v>114</v>
      </c>
      <c r="N875" s="2" t="s">
        <v>3175</v>
      </c>
      <c r="O875" s="2">
        <v>1.10751038E8</v>
      </c>
      <c r="Q875" s="8">
        <v>2025.0</v>
      </c>
      <c r="R875" s="8" t="s">
        <v>3038</v>
      </c>
    </row>
    <row r="876">
      <c r="A876" s="4" t="s">
        <v>18</v>
      </c>
      <c r="B876" s="2" t="s">
        <v>3176</v>
      </c>
      <c r="C876" s="10">
        <v>45936.0</v>
      </c>
      <c r="D876" s="10">
        <v>45936.0</v>
      </c>
      <c r="E876" s="4" t="s">
        <v>3177</v>
      </c>
      <c r="F876" s="9"/>
      <c r="G876" s="6"/>
      <c r="H876" s="7">
        <v>416.0</v>
      </c>
      <c r="I876" s="7" t="s">
        <v>3178</v>
      </c>
      <c r="K876" s="12" t="str">
        <f t="shared" ref="K876:K878" si="119">RIGHT(E876,6)</f>
        <v>UN3668</v>
      </c>
      <c r="L876" s="2" t="s">
        <v>3179</v>
      </c>
      <c r="M876" s="2" t="s">
        <v>24</v>
      </c>
      <c r="N876" s="2" t="s">
        <v>60</v>
      </c>
      <c r="O876" s="2">
        <v>1.10751038E8</v>
      </c>
      <c r="P876" s="15"/>
      <c r="Q876" s="8">
        <v>2025.0</v>
      </c>
      <c r="R876" s="8" t="s">
        <v>3038</v>
      </c>
    </row>
    <row r="877">
      <c r="A877" s="4" t="s">
        <v>18</v>
      </c>
      <c r="B877" s="2" t="s">
        <v>3180</v>
      </c>
      <c r="C877" s="10">
        <v>45936.0</v>
      </c>
      <c r="D877" s="10">
        <v>45936.0</v>
      </c>
      <c r="E877" s="4" t="s">
        <v>3181</v>
      </c>
      <c r="F877" s="9"/>
      <c r="G877" s="6"/>
      <c r="H877" s="7">
        <v>315.0</v>
      </c>
      <c r="I877" s="7" t="s">
        <v>3182</v>
      </c>
      <c r="K877" s="12" t="str">
        <f t="shared" si="119"/>
        <v>UN3668</v>
      </c>
      <c r="L877" s="2" t="s">
        <v>3183</v>
      </c>
      <c r="M877" s="2" t="s">
        <v>24</v>
      </c>
      <c r="N877" s="2" t="s">
        <v>60</v>
      </c>
      <c r="O877" s="2">
        <v>1.10751038E8</v>
      </c>
      <c r="P877" s="15"/>
      <c r="Q877" s="8">
        <v>2025.0</v>
      </c>
      <c r="R877" s="8" t="s">
        <v>3038</v>
      </c>
    </row>
    <row r="878">
      <c r="A878" s="4" t="s">
        <v>18</v>
      </c>
      <c r="B878" s="2" t="s">
        <v>3184</v>
      </c>
      <c r="C878" s="10">
        <v>45936.0</v>
      </c>
      <c r="D878" s="10">
        <v>45936.0</v>
      </c>
      <c r="E878" s="4" t="s">
        <v>3185</v>
      </c>
      <c r="F878" s="9"/>
      <c r="G878" s="6"/>
      <c r="H878" s="11">
        <v>1296.0</v>
      </c>
      <c r="I878" s="7" t="s">
        <v>3186</v>
      </c>
      <c r="K878" s="12" t="str">
        <f t="shared" si="119"/>
        <v>UN3668</v>
      </c>
      <c r="L878" s="2" t="s">
        <v>3187</v>
      </c>
      <c r="M878" s="2" t="s">
        <v>24</v>
      </c>
      <c r="N878" s="2" t="s">
        <v>60</v>
      </c>
      <c r="O878" s="2">
        <v>1.10751038E8</v>
      </c>
      <c r="P878" s="15"/>
      <c r="Q878" s="8">
        <v>2025.0</v>
      </c>
      <c r="R878" s="8" t="s">
        <v>3038</v>
      </c>
    </row>
    <row r="879">
      <c r="A879" s="4" t="s">
        <v>18</v>
      </c>
      <c r="B879" s="2" t="s">
        <v>3188</v>
      </c>
      <c r="C879" s="10">
        <v>45936.0</v>
      </c>
      <c r="D879" s="10">
        <v>45936.0</v>
      </c>
      <c r="E879" s="4" t="s">
        <v>3189</v>
      </c>
      <c r="F879" s="9"/>
      <c r="G879" s="6"/>
      <c r="H879" s="7" t="s">
        <v>21</v>
      </c>
      <c r="I879" s="7" t="s">
        <v>3190</v>
      </c>
      <c r="K879" s="1" t="s">
        <v>23</v>
      </c>
      <c r="L879" s="2" t="s">
        <v>731</v>
      </c>
      <c r="M879" s="2" t="s">
        <v>24</v>
      </c>
      <c r="N879" s="2" t="s">
        <v>25</v>
      </c>
      <c r="O879" s="2">
        <v>1.10751038E8</v>
      </c>
      <c r="Q879" s="8">
        <v>2025.0</v>
      </c>
      <c r="R879" s="8" t="s">
        <v>3038</v>
      </c>
    </row>
    <row r="880">
      <c r="A880" s="4" t="s">
        <v>18</v>
      </c>
      <c r="B880" s="2" t="s">
        <v>3191</v>
      </c>
      <c r="C880" s="10">
        <v>45936.0</v>
      </c>
      <c r="D880" s="10">
        <v>45936.0</v>
      </c>
      <c r="E880" s="4" t="s">
        <v>3192</v>
      </c>
      <c r="F880" s="9"/>
      <c r="G880" s="6"/>
      <c r="H880" s="7">
        <v>218.0</v>
      </c>
      <c r="I880" s="7" t="s">
        <v>3193</v>
      </c>
      <c r="K880" s="12" t="str">
        <f t="shared" ref="K880:K883" si="120">RIGHT(E880,6)</f>
        <v>SC3567</v>
      </c>
      <c r="L880" s="2" t="s">
        <v>3194</v>
      </c>
      <c r="M880" s="2" t="s">
        <v>24</v>
      </c>
      <c r="N880" s="2" t="s">
        <v>60</v>
      </c>
      <c r="O880" s="2">
        <v>1.10751038E8</v>
      </c>
      <c r="P880" s="15"/>
      <c r="Q880" s="8">
        <v>2025.0</v>
      </c>
      <c r="R880" s="8" t="s">
        <v>3038</v>
      </c>
    </row>
    <row r="881">
      <c r="A881" s="4" t="s">
        <v>18</v>
      </c>
      <c r="B881" s="2" t="s">
        <v>3195</v>
      </c>
      <c r="C881" s="10">
        <v>45936.0</v>
      </c>
      <c r="D881" s="10">
        <v>45936.0</v>
      </c>
      <c r="E881" s="4" t="s">
        <v>3196</v>
      </c>
      <c r="F881" s="9"/>
      <c r="G881" s="6"/>
      <c r="H881" s="11">
        <v>1524.0</v>
      </c>
      <c r="I881" s="7" t="s">
        <v>3197</v>
      </c>
      <c r="K881" s="12" t="str">
        <f t="shared" si="120"/>
        <v>UN3668</v>
      </c>
      <c r="L881" s="2" t="s">
        <v>3198</v>
      </c>
      <c r="M881" s="2" t="s">
        <v>24</v>
      </c>
      <c r="N881" s="2" t="s">
        <v>60</v>
      </c>
      <c r="O881" s="2">
        <v>1.10751038E8</v>
      </c>
      <c r="P881" s="15"/>
      <c r="Q881" s="8">
        <v>2025.0</v>
      </c>
      <c r="R881" s="8" t="s">
        <v>3038</v>
      </c>
    </row>
    <row r="882">
      <c r="A882" s="4" t="s">
        <v>18</v>
      </c>
      <c r="B882" s="2" t="s">
        <v>3199</v>
      </c>
      <c r="C882" s="10">
        <v>45936.0</v>
      </c>
      <c r="D882" s="10">
        <v>45936.0</v>
      </c>
      <c r="E882" s="4" t="s">
        <v>3200</v>
      </c>
      <c r="F882" s="9"/>
      <c r="G882" s="6"/>
      <c r="H882" s="7">
        <v>600.0</v>
      </c>
      <c r="I882" s="7" t="s">
        <v>3201</v>
      </c>
      <c r="K882" s="12" t="str">
        <f t="shared" si="120"/>
        <v>SC3567</v>
      </c>
      <c r="L882" s="2" t="s">
        <v>3202</v>
      </c>
      <c r="M882" s="2" t="s">
        <v>24</v>
      </c>
      <c r="N882" s="2" t="s">
        <v>60</v>
      </c>
      <c r="O882" s="2">
        <v>1.10751038E8</v>
      </c>
      <c r="P882" s="15"/>
      <c r="Q882" s="8">
        <v>2025.0</v>
      </c>
      <c r="R882" s="8" t="s">
        <v>3038</v>
      </c>
    </row>
    <row r="883">
      <c r="A883" s="4" t="s">
        <v>18</v>
      </c>
      <c r="B883" s="2" t="s">
        <v>3203</v>
      </c>
      <c r="C883" s="10">
        <v>45937.0</v>
      </c>
      <c r="D883" s="10">
        <v>45937.0</v>
      </c>
      <c r="E883" s="4" t="s">
        <v>3204</v>
      </c>
      <c r="F883" s="9"/>
      <c r="G883" s="6"/>
      <c r="H883" s="7">
        <v>560.0</v>
      </c>
      <c r="I883" s="7" t="s">
        <v>3205</v>
      </c>
      <c r="K883" s="12" t="str">
        <f t="shared" si="120"/>
        <v>KN3817</v>
      </c>
      <c r="L883" s="2" t="s">
        <v>3206</v>
      </c>
      <c r="M883" s="2" t="s">
        <v>24</v>
      </c>
      <c r="N883" s="2" t="s">
        <v>60</v>
      </c>
      <c r="O883" s="2">
        <v>1.10751038E8</v>
      </c>
      <c r="P883" s="15" t="str">
        <f>IFERROR(__xludf.DUMMYFUNCTION("CONCATENATE(B883,"", "", to_text(D883),"", "", E883,"", "", H883)"),"TSV-10-0045, 07-Oct-2025, UPI/CR/028620028485/BRIJBHAN/UTIB/8878754/KN3817, 560")</f>
        <v>TSV-10-0045, 07-Oct-2025, UPI/CR/028620028485/BRIJBHAN/UTIB/8878754/KN3817, 560</v>
      </c>
      <c r="Q883" s="8">
        <v>2025.0</v>
      </c>
      <c r="R883" s="8" t="s">
        <v>3038</v>
      </c>
    </row>
    <row r="884">
      <c r="A884" s="4" t="s">
        <v>18</v>
      </c>
      <c r="B884" s="2" t="s">
        <v>3207</v>
      </c>
      <c r="C884" s="10">
        <v>45937.0</v>
      </c>
      <c r="D884" s="10">
        <v>45937.0</v>
      </c>
      <c r="E884" s="4" t="s">
        <v>3208</v>
      </c>
      <c r="F884" s="9"/>
      <c r="G884" s="11">
        <v>1635.0</v>
      </c>
      <c r="H884" s="6"/>
      <c r="I884" s="7" t="s">
        <v>3209</v>
      </c>
      <c r="K884" s="2" t="s">
        <v>113</v>
      </c>
      <c r="M884" s="2" t="s">
        <v>114</v>
      </c>
      <c r="N884" s="2" t="s">
        <v>1800</v>
      </c>
      <c r="O884" s="2">
        <v>1.10751038E8</v>
      </c>
      <c r="Q884" s="8">
        <v>2025.0</v>
      </c>
      <c r="R884" s="8" t="s">
        <v>3038</v>
      </c>
    </row>
    <row r="885">
      <c r="A885" s="4" t="s">
        <v>18</v>
      </c>
      <c r="B885" s="2" t="s">
        <v>3210</v>
      </c>
      <c r="C885" s="10">
        <v>45937.0</v>
      </c>
      <c r="D885" s="10">
        <v>45937.0</v>
      </c>
      <c r="E885" s="4" t="s">
        <v>3211</v>
      </c>
      <c r="F885" s="9"/>
      <c r="G885" s="6"/>
      <c r="H885" s="11">
        <v>1141.0</v>
      </c>
      <c r="I885" s="7" t="s">
        <v>3212</v>
      </c>
      <c r="K885" s="12" t="str">
        <f>RIGHT(E885,6)</f>
        <v>SC3567</v>
      </c>
      <c r="L885" s="2" t="s">
        <v>3213</v>
      </c>
      <c r="M885" s="2" t="s">
        <v>24</v>
      </c>
      <c r="N885" s="2" t="s">
        <v>60</v>
      </c>
      <c r="O885" s="2">
        <v>1.10751038E8</v>
      </c>
      <c r="P885" s="15"/>
      <c r="Q885" s="8">
        <v>2025.0</v>
      </c>
      <c r="R885" s="8" t="s">
        <v>3038</v>
      </c>
    </row>
    <row r="886">
      <c r="A886" s="4" t="s">
        <v>18</v>
      </c>
      <c r="B886" s="2" t="s">
        <v>3214</v>
      </c>
      <c r="C886" s="10">
        <v>45937.0</v>
      </c>
      <c r="D886" s="10">
        <v>45937.0</v>
      </c>
      <c r="E886" s="4" t="s">
        <v>3215</v>
      </c>
      <c r="F886" s="9"/>
      <c r="G886" s="6"/>
      <c r="H886" s="11">
        <v>7000.0</v>
      </c>
      <c r="I886" s="7" t="s">
        <v>3216</v>
      </c>
      <c r="K886" s="2" t="s">
        <v>119</v>
      </c>
      <c r="L886" s="2" t="s">
        <v>619</v>
      </c>
      <c r="M886" s="2" t="s">
        <v>24</v>
      </c>
      <c r="N886" s="2" t="s">
        <v>60</v>
      </c>
      <c r="O886" s="2">
        <v>1.10751038E8</v>
      </c>
      <c r="P886" s="15" t="str">
        <f>IFERROR(__xludf.DUMMYFUNCTION("CONCATENATE(B886,"", "", to_text(D886),"", "", E886,"", "", H886)"),"TSV-10-0048, 07-Oct-2025, UPI/CR/112301584383/KANIKA A/HDFC/knika.a/UPI, 7000")</f>
        <v>TSV-10-0048, 07-Oct-2025, UPI/CR/112301584383/KANIKA A/HDFC/knika.a/UPI, 7000</v>
      </c>
      <c r="Q886" s="8">
        <v>2025.0</v>
      </c>
      <c r="R886" s="8" t="s">
        <v>3038</v>
      </c>
    </row>
    <row r="887">
      <c r="A887" s="4" t="s">
        <v>18</v>
      </c>
      <c r="B887" s="2" t="s">
        <v>3217</v>
      </c>
      <c r="C887" s="10">
        <v>45937.0</v>
      </c>
      <c r="D887" s="10">
        <v>45937.0</v>
      </c>
      <c r="E887" s="4" t="s">
        <v>3218</v>
      </c>
      <c r="F887" s="9"/>
      <c r="G887" s="11">
        <v>27000.0</v>
      </c>
      <c r="H887" s="6"/>
      <c r="I887" s="7" t="s">
        <v>3219</v>
      </c>
      <c r="K887" s="2" t="s">
        <v>127</v>
      </c>
      <c r="M887" s="2" t="s">
        <v>114</v>
      </c>
      <c r="N887" s="2" t="s">
        <v>115</v>
      </c>
      <c r="O887" s="2">
        <v>1.10751038E8</v>
      </c>
      <c r="Q887" s="8">
        <v>2025.0</v>
      </c>
      <c r="R887" s="8" t="s">
        <v>3038</v>
      </c>
    </row>
    <row r="888">
      <c r="A888" s="4" t="s">
        <v>18</v>
      </c>
      <c r="B888" s="2" t="s">
        <v>3220</v>
      </c>
      <c r="C888" s="10">
        <v>45937.0</v>
      </c>
      <c r="D888" s="10">
        <v>45937.0</v>
      </c>
      <c r="E888" s="4" t="s">
        <v>3221</v>
      </c>
      <c r="F888" s="9"/>
      <c r="G888" s="11">
        <v>10000.0</v>
      </c>
      <c r="H888" s="6"/>
      <c r="I888" s="7" t="s">
        <v>3222</v>
      </c>
      <c r="K888" s="2" t="s">
        <v>119</v>
      </c>
      <c r="M888" s="2" t="s">
        <v>114</v>
      </c>
      <c r="N888" s="2" t="s">
        <v>115</v>
      </c>
      <c r="O888" s="2">
        <v>1.10751038E8</v>
      </c>
      <c r="Q888" s="8">
        <v>2025.0</v>
      </c>
      <c r="R888" s="8" t="s">
        <v>3038</v>
      </c>
    </row>
    <row r="889">
      <c r="A889" s="4" t="s">
        <v>18</v>
      </c>
      <c r="B889" s="2" t="s">
        <v>3223</v>
      </c>
      <c r="C889" s="10">
        <v>45937.0</v>
      </c>
      <c r="D889" s="10">
        <v>45937.0</v>
      </c>
      <c r="E889" s="4" t="s">
        <v>3224</v>
      </c>
      <c r="F889" s="9"/>
      <c r="G889" s="11">
        <v>29000.0</v>
      </c>
      <c r="H889" s="6"/>
      <c r="I889" s="7" t="s">
        <v>3225</v>
      </c>
      <c r="K889" s="2" t="s">
        <v>113</v>
      </c>
      <c r="M889" s="2" t="s">
        <v>114</v>
      </c>
      <c r="N889" s="2" t="s">
        <v>115</v>
      </c>
      <c r="O889" s="2">
        <v>1.10751038E8</v>
      </c>
      <c r="Q889" s="8">
        <v>2025.0</v>
      </c>
      <c r="R889" s="8" t="s">
        <v>3038</v>
      </c>
    </row>
    <row r="890">
      <c r="A890" s="4" t="s">
        <v>18</v>
      </c>
      <c r="B890" s="2" t="s">
        <v>3226</v>
      </c>
      <c r="C890" s="10">
        <v>45937.0</v>
      </c>
      <c r="D890" s="10">
        <v>45937.0</v>
      </c>
      <c r="E890" s="4" t="s">
        <v>3227</v>
      </c>
      <c r="F890" s="9"/>
      <c r="G890" s="11">
        <v>40120.0</v>
      </c>
      <c r="H890" s="6"/>
      <c r="I890" s="7" t="s">
        <v>3228</v>
      </c>
      <c r="K890" s="2" t="s">
        <v>123</v>
      </c>
      <c r="M890" s="2" t="s">
        <v>114</v>
      </c>
      <c r="N890" s="2" t="s">
        <v>115</v>
      </c>
      <c r="O890" s="2">
        <v>1.10751038E8</v>
      </c>
      <c r="Q890" s="8">
        <v>2025.0</v>
      </c>
      <c r="R890" s="8" t="s">
        <v>3038</v>
      </c>
    </row>
    <row r="891">
      <c r="A891" s="4" t="s">
        <v>18</v>
      </c>
      <c r="B891" s="2" t="s">
        <v>3229</v>
      </c>
      <c r="C891" s="10">
        <v>45937.0</v>
      </c>
      <c r="D891" s="10">
        <v>45937.0</v>
      </c>
      <c r="E891" s="4" t="s">
        <v>3230</v>
      </c>
      <c r="F891" s="9"/>
      <c r="G891" s="6"/>
      <c r="H891" s="7">
        <v>140.0</v>
      </c>
      <c r="I891" s="7" t="s">
        <v>3231</v>
      </c>
      <c r="K891" s="12" t="str">
        <f t="shared" ref="K891:K896" si="121">RIGHT(E891,6)</f>
        <v>UN3668</v>
      </c>
      <c r="L891" s="2" t="s">
        <v>3232</v>
      </c>
      <c r="M891" s="2" t="s">
        <v>24</v>
      </c>
      <c r="N891" s="2" t="s">
        <v>60</v>
      </c>
      <c r="O891" s="2">
        <v>1.10751038E8</v>
      </c>
      <c r="P891" s="15"/>
      <c r="Q891" s="8">
        <v>2025.0</v>
      </c>
      <c r="R891" s="8" t="s">
        <v>3038</v>
      </c>
    </row>
    <row r="892">
      <c r="A892" s="4" t="s">
        <v>18</v>
      </c>
      <c r="B892" s="2" t="s">
        <v>3233</v>
      </c>
      <c r="C892" s="10">
        <v>45937.0</v>
      </c>
      <c r="D892" s="10">
        <v>45937.0</v>
      </c>
      <c r="E892" s="4" t="s">
        <v>3234</v>
      </c>
      <c r="F892" s="9"/>
      <c r="G892" s="6"/>
      <c r="H892" s="7">
        <v>50.0</v>
      </c>
      <c r="I892" s="7" t="s">
        <v>3235</v>
      </c>
      <c r="K892" s="12" t="str">
        <f t="shared" si="121"/>
        <v>UN3668</v>
      </c>
      <c r="L892" s="2" t="s">
        <v>3232</v>
      </c>
      <c r="M892" s="2" t="s">
        <v>24</v>
      </c>
      <c r="N892" s="2" t="s">
        <v>60</v>
      </c>
      <c r="O892" s="2">
        <v>1.10751038E8</v>
      </c>
      <c r="P892" s="15"/>
      <c r="Q892" s="8">
        <v>2025.0</v>
      </c>
      <c r="R892" s="8" t="s">
        <v>3038</v>
      </c>
    </row>
    <row r="893">
      <c r="A893" s="4" t="s">
        <v>18</v>
      </c>
      <c r="B893" s="2" t="s">
        <v>3236</v>
      </c>
      <c r="C893" s="10">
        <v>45937.0</v>
      </c>
      <c r="D893" s="10">
        <v>45937.0</v>
      </c>
      <c r="E893" s="4" t="s">
        <v>3237</v>
      </c>
      <c r="F893" s="9"/>
      <c r="G893" s="6"/>
      <c r="H893" s="7">
        <v>164.0</v>
      </c>
      <c r="I893" s="7" t="s">
        <v>3238</v>
      </c>
      <c r="K893" s="12" t="str">
        <f t="shared" si="121"/>
        <v>SL1610</v>
      </c>
      <c r="L893" s="2" t="s">
        <v>3239</v>
      </c>
      <c r="M893" s="2" t="s">
        <v>24</v>
      </c>
      <c r="N893" s="2" t="s">
        <v>60</v>
      </c>
      <c r="O893" s="2">
        <v>1.10751038E8</v>
      </c>
      <c r="P893" s="15"/>
      <c r="Q893" s="8">
        <v>2025.0</v>
      </c>
      <c r="R893" s="8" t="s">
        <v>3038</v>
      </c>
    </row>
    <row r="894">
      <c r="A894" s="4" t="s">
        <v>18</v>
      </c>
      <c r="B894" s="2" t="s">
        <v>3240</v>
      </c>
      <c r="C894" s="10">
        <v>45938.0</v>
      </c>
      <c r="D894" s="10">
        <v>45938.0</v>
      </c>
      <c r="E894" s="4" t="s">
        <v>3241</v>
      </c>
      <c r="F894" s="9"/>
      <c r="G894" s="11">
        <v>11050.0</v>
      </c>
      <c r="H894" s="6"/>
      <c r="I894" s="7" t="s">
        <v>3242</v>
      </c>
      <c r="J894" s="2" t="s">
        <v>3243</v>
      </c>
      <c r="K894" s="12" t="str">
        <f t="shared" si="121"/>
        <v>UN3668</v>
      </c>
      <c r="M894" s="2" t="s">
        <v>114</v>
      </c>
      <c r="N894" s="2" t="s">
        <v>169</v>
      </c>
      <c r="O894" s="2">
        <v>1.10751038E8</v>
      </c>
      <c r="Q894" s="8">
        <v>2025.0</v>
      </c>
      <c r="R894" s="8" t="s">
        <v>3038</v>
      </c>
    </row>
    <row r="895">
      <c r="A895" s="4" t="s">
        <v>18</v>
      </c>
      <c r="B895" s="2" t="s">
        <v>3244</v>
      </c>
      <c r="C895" s="10">
        <v>45938.0</v>
      </c>
      <c r="D895" s="10">
        <v>45938.0</v>
      </c>
      <c r="E895" s="4" t="s">
        <v>3245</v>
      </c>
      <c r="F895" s="9"/>
      <c r="G895" s="11">
        <v>20671.0</v>
      </c>
      <c r="H895" s="6"/>
      <c r="I895" s="7" t="s">
        <v>3246</v>
      </c>
      <c r="J895" s="2" t="s">
        <v>3247</v>
      </c>
      <c r="K895" s="12" t="str">
        <f t="shared" si="121"/>
        <v>KN3817</v>
      </c>
      <c r="M895" s="2" t="s">
        <v>114</v>
      </c>
      <c r="N895" s="2" t="s">
        <v>169</v>
      </c>
      <c r="O895" s="2">
        <v>1.10751038E8</v>
      </c>
      <c r="Q895" s="8">
        <v>2025.0</v>
      </c>
      <c r="R895" s="8" t="s">
        <v>3038</v>
      </c>
    </row>
    <row r="896">
      <c r="A896" s="4" t="s">
        <v>18</v>
      </c>
      <c r="B896" s="2" t="s">
        <v>3248</v>
      </c>
      <c r="C896" s="10">
        <v>45938.0</v>
      </c>
      <c r="D896" s="10">
        <v>45938.0</v>
      </c>
      <c r="E896" s="4" t="s">
        <v>3249</v>
      </c>
      <c r="F896" s="9"/>
      <c r="G896" s="11">
        <v>9000.0</v>
      </c>
      <c r="H896" s="6"/>
      <c r="I896" s="7" t="s">
        <v>3250</v>
      </c>
      <c r="J896" s="2" t="s">
        <v>3251</v>
      </c>
      <c r="K896" s="12" t="str">
        <f t="shared" si="121"/>
        <v>TSV001</v>
      </c>
      <c r="M896" s="2" t="s">
        <v>114</v>
      </c>
      <c r="N896" s="2" t="s">
        <v>169</v>
      </c>
      <c r="O896" s="2">
        <v>1.10751038E8</v>
      </c>
      <c r="Q896" s="8">
        <v>2025.0</v>
      </c>
      <c r="R896" s="8" t="s">
        <v>3038</v>
      </c>
    </row>
    <row r="897">
      <c r="A897" s="4" t="s">
        <v>18</v>
      </c>
      <c r="B897" s="2" t="s">
        <v>3252</v>
      </c>
      <c r="C897" s="10">
        <v>45938.0</v>
      </c>
      <c r="D897" s="10">
        <v>45938.0</v>
      </c>
      <c r="E897" s="4" t="s">
        <v>3253</v>
      </c>
      <c r="F897" s="9"/>
      <c r="G897" s="11">
        <v>7600.0</v>
      </c>
      <c r="H897" s="6"/>
      <c r="I897" s="7" t="s">
        <v>3254</v>
      </c>
      <c r="J897" s="2" t="s">
        <v>3255</v>
      </c>
      <c r="K897" s="2" t="s">
        <v>127</v>
      </c>
      <c r="M897" s="2" t="s">
        <v>114</v>
      </c>
      <c r="N897" s="2" t="s">
        <v>169</v>
      </c>
      <c r="O897" s="2">
        <v>1.10751038E8</v>
      </c>
      <c r="Q897" s="8">
        <v>2025.0</v>
      </c>
      <c r="R897" s="8" t="s">
        <v>3038</v>
      </c>
    </row>
    <row r="898">
      <c r="A898" s="4" t="s">
        <v>18</v>
      </c>
      <c r="B898" s="2" t="s">
        <v>3256</v>
      </c>
      <c r="C898" s="10">
        <v>45938.0</v>
      </c>
      <c r="D898" s="10">
        <v>45938.0</v>
      </c>
      <c r="E898" s="4" t="s">
        <v>3257</v>
      </c>
      <c r="F898" s="9"/>
      <c r="G898" s="11">
        <v>15950.0</v>
      </c>
      <c r="H898" s="6"/>
      <c r="I898" s="7" t="s">
        <v>3258</v>
      </c>
      <c r="J898" s="2" t="s">
        <v>3259</v>
      </c>
      <c r="K898" s="12" t="str">
        <f t="shared" ref="K898:K899" si="122">RIGHT(E898,6)</f>
        <v>UN3668</v>
      </c>
      <c r="M898" s="2" t="s">
        <v>114</v>
      </c>
      <c r="N898" s="2" t="s">
        <v>169</v>
      </c>
      <c r="O898" s="2">
        <v>1.10751038E8</v>
      </c>
      <c r="Q898" s="8">
        <v>2025.0</v>
      </c>
      <c r="R898" s="8" t="s">
        <v>3038</v>
      </c>
    </row>
    <row r="899">
      <c r="A899" s="4" t="s">
        <v>18</v>
      </c>
      <c r="B899" s="2" t="s">
        <v>3260</v>
      </c>
      <c r="C899" s="10">
        <v>45938.0</v>
      </c>
      <c r="D899" s="10">
        <v>45938.0</v>
      </c>
      <c r="E899" s="4" t="s">
        <v>3261</v>
      </c>
      <c r="F899" s="9"/>
      <c r="G899" s="11">
        <v>25667.0</v>
      </c>
      <c r="H899" s="6"/>
      <c r="I899" s="7" t="s">
        <v>3262</v>
      </c>
      <c r="J899" s="2" t="s">
        <v>3263</v>
      </c>
      <c r="K899" s="12" t="str">
        <f t="shared" si="122"/>
        <v>KN3817</v>
      </c>
      <c r="M899" s="2" t="s">
        <v>114</v>
      </c>
      <c r="N899" s="2" t="s">
        <v>169</v>
      </c>
      <c r="O899" s="2">
        <v>1.10751038E8</v>
      </c>
      <c r="Q899" s="8">
        <v>2025.0</v>
      </c>
      <c r="R899" s="8" t="s">
        <v>3038</v>
      </c>
    </row>
    <row r="900">
      <c r="A900" s="4" t="s">
        <v>18</v>
      </c>
      <c r="B900" s="2" t="s">
        <v>3264</v>
      </c>
      <c r="C900" s="10">
        <v>45938.0</v>
      </c>
      <c r="D900" s="10">
        <v>45938.0</v>
      </c>
      <c r="E900" s="4" t="s">
        <v>3265</v>
      </c>
      <c r="F900" s="9"/>
      <c r="G900" s="11">
        <v>2000.0</v>
      </c>
      <c r="H900" s="6"/>
      <c r="I900" s="7" t="s">
        <v>3266</v>
      </c>
      <c r="J900" s="2" t="s">
        <v>3267</v>
      </c>
      <c r="K900" s="2" t="s">
        <v>113</v>
      </c>
      <c r="M900" s="2" t="s">
        <v>114</v>
      </c>
      <c r="N900" s="2" t="s">
        <v>169</v>
      </c>
      <c r="O900" s="2">
        <v>1.10751038E8</v>
      </c>
      <c r="Q900" s="8">
        <v>2025.0</v>
      </c>
      <c r="R900" s="8" t="s">
        <v>3038</v>
      </c>
    </row>
    <row r="901">
      <c r="A901" s="4" t="s">
        <v>18</v>
      </c>
      <c r="B901" s="2" t="s">
        <v>3268</v>
      </c>
      <c r="C901" s="10">
        <v>45938.0</v>
      </c>
      <c r="D901" s="10">
        <v>45938.0</v>
      </c>
      <c r="E901" s="4" t="s">
        <v>3269</v>
      </c>
      <c r="F901" s="9"/>
      <c r="G901" s="11">
        <v>13400.0</v>
      </c>
      <c r="H901" s="6"/>
      <c r="I901" s="7" t="s">
        <v>3270</v>
      </c>
      <c r="J901" s="2" t="s">
        <v>3271</v>
      </c>
      <c r="K901" s="12" t="str">
        <f t="shared" ref="K901:K902" si="123">RIGHT(E901,6)</f>
        <v>UN3668</v>
      </c>
      <c r="M901" s="2" t="s">
        <v>114</v>
      </c>
      <c r="N901" s="2" t="s">
        <v>169</v>
      </c>
      <c r="O901" s="2">
        <v>1.10751038E8</v>
      </c>
      <c r="Q901" s="8">
        <v>2025.0</v>
      </c>
      <c r="R901" s="8" t="s">
        <v>3038</v>
      </c>
    </row>
    <row r="902">
      <c r="A902" s="4" t="s">
        <v>18</v>
      </c>
      <c r="B902" s="2" t="s">
        <v>3272</v>
      </c>
      <c r="C902" s="10">
        <v>45938.0</v>
      </c>
      <c r="D902" s="10">
        <v>45938.0</v>
      </c>
      <c r="E902" s="4" t="s">
        <v>3273</v>
      </c>
      <c r="F902" s="9"/>
      <c r="G902" s="11">
        <v>5500.0</v>
      </c>
      <c r="H902" s="6"/>
      <c r="I902" s="7" t="s">
        <v>3274</v>
      </c>
      <c r="J902" s="2" t="s">
        <v>3275</v>
      </c>
      <c r="K902" s="12" t="str">
        <f t="shared" si="123"/>
        <v>KN3817</v>
      </c>
      <c r="M902" s="2" t="s">
        <v>114</v>
      </c>
      <c r="N902" s="2" t="s">
        <v>169</v>
      </c>
      <c r="O902" s="2">
        <v>1.10751038E8</v>
      </c>
      <c r="Q902" s="8">
        <v>2025.0</v>
      </c>
      <c r="R902" s="8" t="s">
        <v>3038</v>
      </c>
    </row>
    <row r="903">
      <c r="A903" s="4" t="s">
        <v>18</v>
      </c>
      <c r="B903" s="2" t="s">
        <v>3276</v>
      </c>
      <c r="C903" s="10">
        <v>45938.0</v>
      </c>
      <c r="D903" s="10">
        <v>45938.0</v>
      </c>
      <c r="E903" s="4" t="s">
        <v>3277</v>
      </c>
      <c r="F903" s="9"/>
      <c r="G903" s="11">
        <v>33728.0</v>
      </c>
      <c r="H903" s="6"/>
      <c r="I903" s="7" t="s">
        <v>3278</v>
      </c>
      <c r="J903" s="2" t="s">
        <v>3279</v>
      </c>
      <c r="K903" s="2" t="s">
        <v>23</v>
      </c>
      <c r="M903" s="2" t="s">
        <v>114</v>
      </c>
      <c r="N903" s="2" t="s">
        <v>169</v>
      </c>
      <c r="O903" s="2">
        <v>1.10751038E8</v>
      </c>
      <c r="Q903" s="8">
        <v>2025.0</v>
      </c>
      <c r="R903" s="8" t="s">
        <v>3038</v>
      </c>
    </row>
    <row r="904">
      <c r="A904" s="4" t="s">
        <v>18</v>
      </c>
      <c r="B904" s="2" t="s">
        <v>3280</v>
      </c>
      <c r="C904" s="10">
        <v>45938.0</v>
      </c>
      <c r="D904" s="10">
        <v>45938.0</v>
      </c>
      <c r="E904" s="4" t="s">
        <v>3281</v>
      </c>
      <c r="F904" s="9"/>
      <c r="G904" s="11">
        <v>10000.0</v>
      </c>
      <c r="H904" s="6"/>
      <c r="I904" s="7" t="s">
        <v>3282</v>
      </c>
      <c r="J904" s="2" t="s">
        <v>3283</v>
      </c>
      <c r="K904" s="12" t="str">
        <f>RIGHT(E904,6)</f>
        <v>TSV001</v>
      </c>
      <c r="M904" s="2" t="s">
        <v>114</v>
      </c>
      <c r="N904" s="2" t="s">
        <v>169</v>
      </c>
      <c r="O904" s="2">
        <v>1.10751038E8</v>
      </c>
      <c r="Q904" s="8">
        <v>2025.0</v>
      </c>
      <c r="R904" s="8" t="s">
        <v>3038</v>
      </c>
    </row>
    <row r="905">
      <c r="A905" s="4" t="s">
        <v>18</v>
      </c>
      <c r="B905" s="2" t="s">
        <v>3284</v>
      </c>
      <c r="C905" s="10">
        <v>45938.0</v>
      </c>
      <c r="D905" s="10">
        <v>45938.0</v>
      </c>
      <c r="E905" s="4" t="s">
        <v>3285</v>
      </c>
      <c r="F905" s="9"/>
      <c r="G905" s="11">
        <v>15120.0</v>
      </c>
      <c r="H905" s="6"/>
      <c r="I905" s="7" t="s">
        <v>3286</v>
      </c>
      <c r="J905" s="2" t="s">
        <v>3287</v>
      </c>
      <c r="K905" s="2" t="s">
        <v>113</v>
      </c>
      <c r="M905" s="2" t="s">
        <v>114</v>
      </c>
      <c r="N905" s="2" t="s">
        <v>169</v>
      </c>
      <c r="O905" s="2">
        <v>1.10751038E8</v>
      </c>
      <c r="Q905" s="8">
        <v>2025.0</v>
      </c>
      <c r="R905" s="8" t="s">
        <v>3038</v>
      </c>
    </row>
    <row r="906">
      <c r="A906" s="4" t="s">
        <v>18</v>
      </c>
      <c r="B906" s="2" t="s">
        <v>3288</v>
      </c>
      <c r="C906" s="10">
        <v>45938.0</v>
      </c>
      <c r="D906" s="10">
        <v>45938.0</v>
      </c>
      <c r="E906" s="4" t="s">
        <v>3289</v>
      </c>
      <c r="F906" s="9"/>
      <c r="G906" s="11">
        <v>21500.0</v>
      </c>
      <c r="H906" s="6"/>
      <c r="I906" s="7" t="s">
        <v>3290</v>
      </c>
      <c r="J906" s="2" t="s">
        <v>3291</v>
      </c>
      <c r="K906" s="2" t="s">
        <v>123</v>
      </c>
      <c r="M906" s="2" t="s">
        <v>114</v>
      </c>
      <c r="N906" s="2" t="s">
        <v>169</v>
      </c>
      <c r="O906" s="2">
        <v>1.10751038E8</v>
      </c>
      <c r="Q906" s="8">
        <v>2025.0</v>
      </c>
      <c r="R906" s="8" t="s">
        <v>3038</v>
      </c>
    </row>
    <row r="907">
      <c r="A907" s="4" t="s">
        <v>18</v>
      </c>
      <c r="B907" s="2" t="s">
        <v>3292</v>
      </c>
      <c r="C907" s="10">
        <v>45938.0</v>
      </c>
      <c r="D907" s="10">
        <v>45938.0</v>
      </c>
      <c r="E907" s="4" t="s">
        <v>3293</v>
      </c>
      <c r="F907" s="9"/>
      <c r="G907" s="11">
        <v>15200.0</v>
      </c>
      <c r="H907" s="6"/>
      <c r="I907" s="7" t="s">
        <v>3294</v>
      </c>
      <c r="J907" s="2" t="s">
        <v>3295</v>
      </c>
      <c r="K907" s="12" t="str">
        <f t="shared" ref="K907:K909" si="124">RIGHT(E907,6)</f>
        <v>SC3567</v>
      </c>
      <c r="M907" s="2" t="s">
        <v>114</v>
      </c>
      <c r="N907" s="2" t="s">
        <v>169</v>
      </c>
      <c r="O907" s="2">
        <v>1.10751038E8</v>
      </c>
      <c r="Q907" s="8">
        <v>2025.0</v>
      </c>
      <c r="R907" s="8" t="s">
        <v>3038</v>
      </c>
    </row>
    <row r="908">
      <c r="A908" s="4" t="s">
        <v>18</v>
      </c>
      <c r="B908" s="2" t="s">
        <v>3296</v>
      </c>
      <c r="C908" s="10">
        <v>45938.0</v>
      </c>
      <c r="D908" s="10">
        <v>45938.0</v>
      </c>
      <c r="E908" s="4" t="s">
        <v>3297</v>
      </c>
      <c r="F908" s="9"/>
      <c r="G908" s="11">
        <v>10000.0</v>
      </c>
      <c r="H908" s="6"/>
      <c r="I908" s="7" t="s">
        <v>3298</v>
      </c>
      <c r="J908" s="2" t="s">
        <v>3299</v>
      </c>
      <c r="K908" s="12" t="str">
        <f t="shared" si="124"/>
        <v>TSV001</v>
      </c>
      <c r="M908" s="2" t="s">
        <v>114</v>
      </c>
      <c r="N908" s="2" t="s">
        <v>169</v>
      </c>
      <c r="O908" s="2">
        <v>1.10751038E8</v>
      </c>
      <c r="Q908" s="8">
        <v>2025.0</v>
      </c>
      <c r="R908" s="8" t="s">
        <v>3038</v>
      </c>
    </row>
    <row r="909">
      <c r="A909" s="4" t="s">
        <v>18</v>
      </c>
      <c r="B909" s="2" t="s">
        <v>3300</v>
      </c>
      <c r="C909" s="10">
        <v>45938.0</v>
      </c>
      <c r="D909" s="10">
        <v>45938.0</v>
      </c>
      <c r="E909" s="4" t="s">
        <v>3301</v>
      </c>
      <c r="F909" s="9"/>
      <c r="G909" s="11">
        <v>17900.0</v>
      </c>
      <c r="H909" s="6"/>
      <c r="I909" s="7" t="s">
        <v>3302</v>
      </c>
      <c r="J909" s="2" t="s">
        <v>3303</v>
      </c>
      <c r="K909" s="12" t="str">
        <f t="shared" si="124"/>
        <v>KN3817</v>
      </c>
      <c r="M909" s="2" t="s">
        <v>114</v>
      </c>
      <c r="N909" s="2" t="s">
        <v>169</v>
      </c>
      <c r="O909" s="2">
        <v>1.10751038E8</v>
      </c>
      <c r="Q909" s="8">
        <v>2025.0</v>
      </c>
      <c r="R909" s="8" t="s">
        <v>3038</v>
      </c>
    </row>
    <row r="910">
      <c r="A910" s="4" t="s">
        <v>18</v>
      </c>
      <c r="B910" s="2" t="s">
        <v>3304</v>
      </c>
      <c r="C910" s="10">
        <v>45938.0</v>
      </c>
      <c r="D910" s="10">
        <v>45938.0</v>
      </c>
      <c r="E910" s="4" t="s">
        <v>3305</v>
      </c>
      <c r="F910" s="9"/>
      <c r="G910" s="11">
        <v>11633.0</v>
      </c>
      <c r="H910" s="6"/>
      <c r="I910" s="7" t="s">
        <v>3306</v>
      </c>
      <c r="J910" s="2" t="s">
        <v>3243</v>
      </c>
      <c r="K910" s="2" t="s">
        <v>123</v>
      </c>
      <c r="M910" s="2" t="s">
        <v>114</v>
      </c>
      <c r="N910" s="2" t="s">
        <v>169</v>
      </c>
      <c r="O910" s="2">
        <v>1.10751038E8</v>
      </c>
      <c r="Q910" s="8">
        <v>2025.0</v>
      </c>
      <c r="R910" s="8" t="s">
        <v>3038</v>
      </c>
    </row>
    <row r="911">
      <c r="A911" s="4" t="s">
        <v>18</v>
      </c>
      <c r="B911" s="2" t="s">
        <v>3307</v>
      </c>
      <c r="C911" s="10">
        <v>45938.0</v>
      </c>
      <c r="D911" s="10">
        <v>45938.0</v>
      </c>
      <c r="E911" s="4" t="s">
        <v>3308</v>
      </c>
      <c r="F911" s="9"/>
      <c r="G911" s="11">
        <v>18500.0</v>
      </c>
      <c r="H911" s="6"/>
      <c r="I911" s="7" t="s">
        <v>3309</v>
      </c>
      <c r="J911" s="2" t="s">
        <v>3310</v>
      </c>
      <c r="K911" s="12" t="str">
        <f>RIGHT(E911,6)</f>
        <v>UN3668</v>
      </c>
      <c r="M911" s="2" t="s">
        <v>114</v>
      </c>
      <c r="N911" s="2" t="s">
        <v>169</v>
      </c>
      <c r="O911" s="2">
        <v>1.10751038E8</v>
      </c>
      <c r="Q911" s="8">
        <v>2025.0</v>
      </c>
      <c r="R911" s="8" t="s">
        <v>3038</v>
      </c>
    </row>
    <row r="912">
      <c r="A912" s="4" t="s">
        <v>18</v>
      </c>
      <c r="B912" s="2" t="s">
        <v>3311</v>
      </c>
      <c r="C912" s="10">
        <v>45938.0</v>
      </c>
      <c r="D912" s="10">
        <v>45938.0</v>
      </c>
      <c r="E912" s="4" t="s">
        <v>3312</v>
      </c>
      <c r="F912" s="9"/>
      <c r="G912" s="6"/>
      <c r="H912" s="11">
        <v>5500.0</v>
      </c>
      <c r="I912" s="7" t="s">
        <v>3313</v>
      </c>
      <c r="K912" s="2" t="s">
        <v>23</v>
      </c>
      <c r="M912" s="2" t="s">
        <v>24</v>
      </c>
      <c r="N912" s="2" t="s">
        <v>195</v>
      </c>
      <c r="O912" s="2">
        <v>1.10751038E8</v>
      </c>
      <c r="Q912" s="8">
        <v>2025.0</v>
      </c>
      <c r="R912" s="8" t="s">
        <v>3038</v>
      </c>
    </row>
    <row r="913">
      <c r="A913" s="4" t="s">
        <v>18</v>
      </c>
      <c r="B913" s="2" t="s">
        <v>3314</v>
      </c>
      <c r="C913" s="10">
        <v>45938.0</v>
      </c>
      <c r="D913" s="10">
        <v>45938.0</v>
      </c>
      <c r="E913" s="4" t="s">
        <v>3315</v>
      </c>
      <c r="F913" s="9"/>
      <c r="G913" s="6"/>
      <c r="H913" s="11">
        <v>11050.0</v>
      </c>
      <c r="I913" s="7" t="s">
        <v>3316</v>
      </c>
      <c r="K913" s="2" t="s">
        <v>23</v>
      </c>
      <c r="M913" s="2" t="s">
        <v>24</v>
      </c>
      <c r="N913" s="2" t="s">
        <v>195</v>
      </c>
      <c r="O913" s="2">
        <v>1.10751038E8</v>
      </c>
      <c r="Q913" s="8">
        <v>2025.0</v>
      </c>
      <c r="R913" s="8" t="s">
        <v>3038</v>
      </c>
    </row>
    <row r="914">
      <c r="A914" s="4" t="s">
        <v>18</v>
      </c>
      <c r="B914" s="2" t="s">
        <v>3317</v>
      </c>
      <c r="C914" s="10">
        <v>45938.0</v>
      </c>
      <c r="D914" s="10">
        <v>45938.0</v>
      </c>
      <c r="E914" s="4" t="s">
        <v>3318</v>
      </c>
      <c r="F914" s="9"/>
      <c r="G914" s="6"/>
      <c r="H914" s="11">
        <v>25667.0</v>
      </c>
      <c r="I914" s="7" t="s">
        <v>3319</v>
      </c>
      <c r="K914" s="2" t="s">
        <v>23</v>
      </c>
      <c r="M914" s="2" t="s">
        <v>24</v>
      </c>
      <c r="N914" s="2" t="s">
        <v>195</v>
      </c>
      <c r="O914" s="2">
        <v>1.10751038E8</v>
      </c>
      <c r="Q914" s="8">
        <v>2025.0</v>
      </c>
      <c r="R914" s="8" t="s">
        <v>3038</v>
      </c>
    </row>
    <row r="915">
      <c r="A915" s="4" t="s">
        <v>18</v>
      </c>
      <c r="B915" s="2" t="s">
        <v>3320</v>
      </c>
      <c r="C915" s="10">
        <v>45938.0</v>
      </c>
      <c r="D915" s="10">
        <v>45938.0</v>
      </c>
      <c r="E915" s="4" t="s">
        <v>3321</v>
      </c>
      <c r="F915" s="9"/>
      <c r="G915" s="6"/>
      <c r="H915" s="7">
        <v>503.0</v>
      </c>
      <c r="I915" s="7" t="s">
        <v>3322</v>
      </c>
      <c r="K915" s="12" t="str">
        <f>RIGHT(E915,6)</f>
        <v>SL1610</v>
      </c>
      <c r="L915" s="2" t="s">
        <v>3323</v>
      </c>
      <c r="M915" s="2" t="s">
        <v>24</v>
      </c>
      <c r="N915" s="2" t="s">
        <v>60</v>
      </c>
      <c r="O915" s="2">
        <v>1.10751038E8</v>
      </c>
      <c r="P915" s="15"/>
      <c r="Q915" s="8">
        <v>2025.0</v>
      </c>
      <c r="R915" s="8" t="s">
        <v>3038</v>
      </c>
    </row>
    <row r="916">
      <c r="A916" s="4" t="s">
        <v>18</v>
      </c>
      <c r="B916" s="2" t="s">
        <v>3324</v>
      </c>
      <c r="C916" s="10">
        <v>45938.0</v>
      </c>
      <c r="D916" s="10">
        <v>45938.0</v>
      </c>
      <c r="E916" s="4" t="s">
        <v>3325</v>
      </c>
      <c r="F916" s="9"/>
      <c r="G916" s="11">
        <v>11050.0</v>
      </c>
      <c r="H916" s="6"/>
      <c r="I916" s="7" t="s">
        <v>3326</v>
      </c>
      <c r="J916" s="2" t="s">
        <v>3243</v>
      </c>
      <c r="K916" s="2" t="s">
        <v>127</v>
      </c>
      <c r="M916" s="2" t="s">
        <v>114</v>
      </c>
      <c r="N916" s="2" t="s">
        <v>169</v>
      </c>
      <c r="O916" s="2">
        <v>1.10751038E8</v>
      </c>
      <c r="Q916" s="8">
        <v>2025.0</v>
      </c>
      <c r="R916" s="8" t="s">
        <v>3038</v>
      </c>
    </row>
    <row r="917">
      <c r="A917" s="4" t="s">
        <v>18</v>
      </c>
      <c r="B917" s="2" t="s">
        <v>3327</v>
      </c>
      <c r="C917" s="10">
        <v>45938.0</v>
      </c>
      <c r="D917" s="10">
        <v>45938.0</v>
      </c>
      <c r="E917" s="4" t="s">
        <v>3328</v>
      </c>
      <c r="F917" s="9"/>
      <c r="G917" s="6"/>
      <c r="H917" s="7">
        <v>347.0</v>
      </c>
      <c r="I917" s="7" t="s">
        <v>3329</v>
      </c>
      <c r="K917" s="12" t="str">
        <f t="shared" ref="K917:K918" si="125">RIGHT(E917,6)</f>
        <v>UN3668</v>
      </c>
      <c r="L917" s="2" t="s">
        <v>3330</v>
      </c>
      <c r="M917" s="2" t="s">
        <v>24</v>
      </c>
      <c r="N917" s="2" t="s">
        <v>60</v>
      </c>
      <c r="O917" s="2">
        <v>1.10751038E8</v>
      </c>
      <c r="P917" s="15"/>
      <c r="Q917" s="8">
        <v>2025.0</v>
      </c>
      <c r="R917" s="8" t="s">
        <v>3038</v>
      </c>
    </row>
    <row r="918">
      <c r="A918" s="4" t="s">
        <v>18</v>
      </c>
      <c r="B918" s="2" t="s">
        <v>3331</v>
      </c>
      <c r="C918" s="10">
        <v>45938.0</v>
      </c>
      <c r="D918" s="10">
        <v>45938.0</v>
      </c>
      <c r="E918" s="4" t="s">
        <v>3332</v>
      </c>
      <c r="F918" s="9"/>
      <c r="G918" s="6"/>
      <c r="H918" s="11">
        <v>7000.0</v>
      </c>
      <c r="I918" s="7" t="s">
        <v>3333</v>
      </c>
      <c r="K918" s="12" t="str">
        <f t="shared" si="125"/>
        <v>SC3567</v>
      </c>
      <c r="L918" s="2" t="s">
        <v>619</v>
      </c>
      <c r="M918" s="2" t="s">
        <v>24</v>
      </c>
      <c r="N918" s="2" t="s">
        <v>60</v>
      </c>
      <c r="O918" s="2">
        <v>1.10751038E8</v>
      </c>
      <c r="P918" s="15"/>
      <c r="Q918" s="8">
        <v>2025.0</v>
      </c>
      <c r="R918" s="8" t="s">
        <v>3038</v>
      </c>
    </row>
    <row r="919">
      <c r="A919" s="4" t="s">
        <v>18</v>
      </c>
      <c r="B919" s="2" t="s">
        <v>3334</v>
      </c>
      <c r="C919" s="10">
        <v>45938.0</v>
      </c>
      <c r="D919" s="10">
        <v>45938.0</v>
      </c>
      <c r="E919" s="4" t="s">
        <v>3335</v>
      </c>
      <c r="F919" s="9"/>
      <c r="G919" s="11">
        <v>25667.0</v>
      </c>
      <c r="H919" s="6"/>
      <c r="I919" s="7" t="s">
        <v>3336</v>
      </c>
      <c r="J919" s="2" t="s">
        <v>3263</v>
      </c>
      <c r="K919" s="2" t="s">
        <v>119</v>
      </c>
      <c r="M919" s="2" t="s">
        <v>114</v>
      </c>
      <c r="N919" s="2" t="s">
        <v>169</v>
      </c>
      <c r="O919" s="2">
        <v>1.10751038E8</v>
      </c>
      <c r="Q919" s="8">
        <v>2025.0</v>
      </c>
      <c r="R919" s="8" t="s">
        <v>3038</v>
      </c>
    </row>
    <row r="920">
      <c r="A920" s="4" t="s">
        <v>18</v>
      </c>
      <c r="B920" s="2" t="s">
        <v>3337</v>
      </c>
      <c r="C920" s="10">
        <v>45938.0</v>
      </c>
      <c r="D920" s="10">
        <v>45938.0</v>
      </c>
      <c r="E920" s="4" t="s">
        <v>3338</v>
      </c>
      <c r="F920" s="9"/>
      <c r="G920" s="6"/>
      <c r="H920" s="11">
        <v>25667.0</v>
      </c>
      <c r="I920" s="7" t="s">
        <v>3333</v>
      </c>
      <c r="K920" s="2" t="s">
        <v>23</v>
      </c>
      <c r="M920" s="2" t="s">
        <v>24</v>
      </c>
      <c r="N920" s="2" t="s">
        <v>195</v>
      </c>
      <c r="O920" s="2">
        <v>1.10751038E8</v>
      </c>
      <c r="Q920" s="8">
        <v>2025.0</v>
      </c>
      <c r="R920" s="8" t="s">
        <v>3038</v>
      </c>
    </row>
    <row r="921">
      <c r="A921" s="4" t="s">
        <v>18</v>
      </c>
      <c r="B921" s="2" t="s">
        <v>3339</v>
      </c>
      <c r="C921" s="10">
        <v>45938.0</v>
      </c>
      <c r="D921" s="10">
        <v>45938.0</v>
      </c>
      <c r="E921" s="4" t="s">
        <v>3340</v>
      </c>
      <c r="F921" s="9"/>
      <c r="G921" s="6"/>
      <c r="H921" s="7">
        <v>560.0</v>
      </c>
      <c r="I921" s="7" t="s">
        <v>3341</v>
      </c>
      <c r="K921" s="12" t="str">
        <f>RIGHT(E921,6)</f>
        <v>UN3668</v>
      </c>
      <c r="L921" s="2" t="s">
        <v>3342</v>
      </c>
      <c r="M921" s="2" t="s">
        <v>24</v>
      </c>
      <c r="N921" s="2" t="s">
        <v>60</v>
      </c>
      <c r="O921" s="2">
        <v>1.10751038E8</v>
      </c>
      <c r="P921" s="15"/>
      <c r="Q921" s="8">
        <v>2025.0</v>
      </c>
      <c r="R921" s="8" t="s">
        <v>3038</v>
      </c>
    </row>
    <row r="922">
      <c r="A922" s="4" t="s">
        <v>18</v>
      </c>
      <c r="B922" s="2" t="s">
        <v>3343</v>
      </c>
      <c r="C922" s="10">
        <v>45938.0</v>
      </c>
      <c r="D922" s="10">
        <v>45938.0</v>
      </c>
      <c r="E922" s="4" t="s">
        <v>3344</v>
      </c>
      <c r="F922" s="9"/>
      <c r="G922" s="11">
        <v>25667.0</v>
      </c>
      <c r="H922" s="6"/>
      <c r="I922" s="7" t="s">
        <v>3345</v>
      </c>
      <c r="J922" s="2" t="s">
        <v>3263</v>
      </c>
      <c r="K922" s="2" t="s">
        <v>119</v>
      </c>
      <c r="M922" s="2" t="s">
        <v>114</v>
      </c>
      <c r="N922" s="2" t="s">
        <v>169</v>
      </c>
      <c r="O922" s="2">
        <v>1.10751038E8</v>
      </c>
      <c r="Q922" s="8">
        <v>2025.0</v>
      </c>
      <c r="R922" s="8" t="s">
        <v>3038</v>
      </c>
    </row>
    <row r="923">
      <c r="A923" s="4" t="s">
        <v>18</v>
      </c>
      <c r="B923" s="2" t="s">
        <v>3346</v>
      </c>
      <c r="C923" s="10">
        <v>45938.0</v>
      </c>
      <c r="D923" s="10">
        <v>45938.0</v>
      </c>
      <c r="E923" s="4" t="s">
        <v>3347</v>
      </c>
      <c r="F923" s="9"/>
      <c r="G923" s="6"/>
      <c r="H923" s="7">
        <v>360.0</v>
      </c>
      <c r="I923" s="7" t="s">
        <v>3348</v>
      </c>
      <c r="K923" s="12" t="str">
        <f t="shared" ref="K923:K930" si="126">RIGHT(E923,6)</f>
        <v>KN3817</v>
      </c>
      <c r="L923" s="2" t="s">
        <v>563</v>
      </c>
      <c r="M923" s="2" t="s">
        <v>24</v>
      </c>
      <c r="N923" s="2" t="s">
        <v>60</v>
      </c>
      <c r="O923" s="2">
        <v>1.10751038E8</v>
      </c>
      <c r="Q923" s="8">
        <v>2025.0</v>
      </c>
      <c r="R923" s="8" t="s">
        <v>3038</v>
      </c>
    </row>
    <row r="924">
      <c r="A924" s="4" t="s">
        <v>18</v>
      </c>
      <c r="B924" s="2" t="s">
        <v>3349</v>
      </c>
      <c r="C924" s="10">
        <v>45938.0</v>
      </c>
      <c r="D924" s="10">
        <v>45938.0</v>
      </c>
      <c r="E924" s="4" t="s">
        <v>3350</v>
      </c>
      <c r="F924" s="9"/>
      <c r="G924" s="6"/>
      <c r="H924" s="7">
        <v>527.0</v>
      </c>
      <c r="I924" s="7" t="s">
        <v>3351</v>
      </c>
      <c r="K924" s="12" t="str">
        <f t="shared" si="126"/>
        <v>SL1610</v>
      </c>
      <c r="L924" s="2" t="s">
        <v>3352</v>
      </c>
      <c r="M924" s="2" t="s">
        <v>24</v>
      </c>
      <c r="N924" s="2" t="s">
        <v>60</v>
      </c>
      <c r="O924" s="2">
        <v>1.10751038E8</v>
      </c>
      <c r="P924" s="15"/>
      <c r="Q924" s="8">
        <v>2025.0</v>
      </c>
      <c r="R924" s="8" t="s">
        <v>3038</v>
      </c>
    </row>
    <row r="925">
      <c r="A925" s="4" t="s">
        <v>18</v>
      </c>
      <c r="B925" s="2" t="s">
        <v>3353</v>
      </c>
      <c r="C925" s="10">
        <v>45938.0</v>
      </c>
      <c r="D925" s="10">
        <v>45938.0</v>
      </c>
      <c r="E925" s="4" t="s">
        <v>3354</v>
      </c>
      <c r="F925" s="9"/>
      <c r="G925" s="6"/>
      <c r="H925" s="7">
        <v>548.0</v>
      </c>
      <c r="I925" s="7" t="s">
        <v>3355</v>
      </c>
      <c r="K925" s="12" t="str">
        <f t="shared" si="126"/>
        <v>SC3567</v>
      </c>
      <c r="L925" s="2" t="s">
        <v>3356</v>
      </c>
      <c r="M925" s="2" t="s">
        <v>24</v>
      </c>
      <c r="N925" s="2" t="s">
        <v>60</v>
      </c>
      <c r="O925" s="2">
        <v>1.10751038E8</v>
      </c>
      <c r="P925" s="15"/>
      <c r="Q925" s="8">
        <v>2025.0</v>
      </c>
      <c r="R925" s="8" t="s">
        <v>3038</v>
      </c>
    </row>
    <row r="926">
      <c r="A926" s="4" t="s">
        <v>18</v>
      </c>
      <c r="B926" s="2" t="s">
        <v>3357</v>
      </c>
      <c r="C926" s="10">
        <v>45938.0</v>
      </c>
      <c r="D926" s="10">
        <v>45938.0</v>
      </c>
      <c r="E926" s="4" t="s">
        <v>3358</v>
      </c>
      <c r="F926" s="9"/>
      <c r="G926" s="6"/>
      <c r="H926" s="7">
        <v>296.0</v>
      </c>
      <c r="I926" s="7" t="s">
        <v>3359</v>
      </c>
      <c r="K926" s="12" t="str">
        <f t="shared" si="126"/>
        <v>UN3668</v>
      </c>
      <c r="L926" s="2" t="s">
        <v>3360</v>
      </c>
      <c r="M926" s="2" t="s">
        <v>24</v>
      </c>
      <c r="N926" s="2" t="s">
        <v>60</v>
      </c>
      <c r="O926" s="2">
        <v>1.10751038E8</v>
      </c>
      <c r="P926" s="15"/>
      <c r="Q926" s="8">
        <v>2025.0</v>
      </c>
      <c r="R926" s="8" t="s">
        <v>3038</v>
      </c>
    </row>
    <row r="927">
      <c r="A927" s="4" t="s">
        <v>18</v>
      </c>
      <c r="B927" s="2" t="s">
        <v>3361</v>
      </c>
      <c r="C927" s="10">
        <v>45939.0</v>
      </c>
      <c r="D927" s="10">
        <v>45939.0</v>
      </c>
      <c r="E927" s="4" t="s">
        <v>3362</v>
      </c>
      <c r="F927" s="9"/>
      <c r="G927" s="6"/>
      <c r="H927" s="7">
        <v>368.0</v>
      </c>
      <c r="I927" s="7" t="s">
        <v>3363</v>
      </c>
      <c r="K927" s="12" t="str">
        <f t="shared" si="126"/>
        <v>KN3817</v>
      </c>
      <c r="L927" s="2" t="s">
        <v>3364</v>
      </c>
      <c r="M927" s="2" t="s">
        <v>24</v>
      </c>
      <c r="N927" s="2" t="s">
        <v>60</v>
      </c>
      <c r="O927" s="2">
        <v>1.10751038E8</v>
      </c>
      <c r="Q927" s="8">
        <v>2025.0</v>
      </c>
      <c r="R927" s="8" t="s">
        <v>3038</v>
      </c>
    </row>
    <row r="928">
      <c r="A928" s="4" t="s">
        <v>18</v>
      </c>
      <c r="B928" s="2" t="s">
        <v>3365</v>
      </c>
      <c r="C928" s="10">
        <v>45939.0</v>
      </c>
      <c r="D928" s="10">
        <v>45939.0</v>
      </c>
      <c r="E928" s="4" t="s">
        <v>3366</v>
      </c>
      <c r="F928" s="9"/>
      <c r="G928" s="6"/>
      <c r="H928" s="7">
        <v>129.0</v>
      </c>
      <c r="I928" s="7" t="s">
        <v>3367</v>
      </c>
      <c r="K928" s="12" t="str">
        <f t="shared" si="126"/>
        <v>SC3567</v>
      </c>
      <c r="M928" s="2" t="s">
        <v>24</v>
      </c>
      <c r="N928" s="2" t="s">
        <v>60</v>
      </c>
      <c r="O928" s="2">
        <v>1.10751038E8</v>
      </c>
      <c r="P928" s="15" t="str">
        <f>IFERROR(__xludf.DUMMYFUNCTION("CONCATENATE(B928,"", "", to_text(D928),"", "", E928,"", "", H928)"),"TSV-10-0090, 09-Oct-2025, UPI/CR/564879307254/NEETU DE/ICIC/9680469/SC3567, 129")</f>
        <v>TSV-10-0090, 09-Oct-2025, UPI/CR/564879307254/NEETU DE/ICIC/9680469/SC3567, 129</v>
      </c>
      <c r="Q928" s="8">
        <v>2025.0</v>
      </c>
      <c r="R928" s="8" t="s">
        <v>3038</v>
      </c>
    </row>
    <row r="929">
      <c r="A929" s="4" t="s">
        <v>18</v>
      </c>
      <c r="B929" s="2" t="s">
        <v>3368</v>
      </c>
      <c r="C929" s="10">
        <v>45939.0</v>
      </c>
      <c r="D929" s="10">
        <v>45939.0</v>
      </c>
      <c r="E929" s="4" t="s">
        <v>3369</v>
      </c>
      <c r="F929" s="9"/>
      <c r="G929" s="6"/>
      <c r="H929" s="7">
        <v>140.0</v>
      </c>
      <c r="I929" s="7" t="s">
        <v>3370</v>
      </c>
      <c r="K929" s="12" t="str">
        <f t="shared" si="126"/>
        <v>SL1610</v>
      </c>
      <c r="L929" s="2" t="s">
        <v>3371</v>
      </c>
      <c r="M929" s="2" t="s">
        <v>24</v>
      </c>
      <c r="N929" s="2" t="s">
        <v>60</v>
      </c>
      <c r="O929" s="2">
        <v>1.10751038E8</v>
      </c>
      <c r="P929" s="15"/>
      <c r="Q929" s="8">
        <v>2025.0</v>
      </c>
      <c r="R929" s="8" t="s">
        <v>3038</v>
      </c>
    </row>
    <row r="930">
      <c r="A930" s="4" t="s">
        <v>18</v>
      </c>
      <c r="B930" s="2" t="s">
        <v>3372</v>
      </c>
      <c r="C930" s="10">
        <v>45939.0</v>
      </c>
      <c r="D930" s="10">
        <v>45939.0</v>
      </c>
      <c r="E930" s="4" t="s">
        <v>3373</v>
      </c>
      <c r="F930" s="9"/>
      <c r="G930" s="6"/>
      <c r="H930" s="11">
        <v>2000.0</v>
      </c>
      <c r="I930" s="7" t="s">
        <v>3374</v>
      </c>
      <c r="K930" s="12" t="str">
        <f t="shared" si="126"/>
        <v>KN3817</v>
      </c>
      <c r="L930" s="2" t="s">
        <v>405</v>
      </c>
      <c r="M930" s="2" t="s">
        <v>24</v>
      </c>
      <c r="N930" s="2" t="s">
        <v>60</v>
      </c>
      <c r="O930" s="2">
        <v>1.10751038E8</v>
      </c>
      <c r="Q930" s="8">
        <v>2025.0</v>
      </c>
      <c r="R930" s="8" t="s">
        <v>3038</v>
      </c>
    </row>
    <row r="931">
      <c r="A931" s="4" t="s">
        <v>18</v>
      </c>
      <c r="B931" s="2" t="s">
        <v>3375</v>
      </c>
      <c r="C931" s="10">
        <v>45939.0</v>
      </c>
      <c r="D931" s="10">
        <v>45939.0</v>
      </c>
      <c r="E931" s="4" t="s">
        <v>3376</v>
      </c>
      <c r="F931" s="9"/>
      <c r="G931" s="6"/>
      <c r="H931" s="7">
        <v>760.0</v>
      </c>
      <c r="I931" s="7" t="s">
        <v>3377</v>
      </c>
      <c r="K931" s="2" t="s">
        <v>119</v>
      </c>
      <c r="L931" s="2" t="s">
        <v>3378</v>
      </c>
      <c r="M931" s="2" t="s">
        <v>24</v>
      </c>
      <c r="N931" s="2" t="s">
        <v>60</v>
      </c>
      <c r="O931" s="2">
        <v>1.10751038E8</v>
      </c>
      <c r="Q931" s="8">
        <v>2025.0</v>
      </c>
      <c r="R931" s="8" t="s">
        <v>3038</v>
      </c>
    </row>
    <row r="932">
      <c r="A932" s="4" t="s">
        <v>18</v>
      </c>
      <c r="B932" s="2" t="s">
        <v>3379</v>
      </c>
      <c r="C932" s="10">
        <v>45939.0</v>
      </c>
      <c r="D932" s="10">
        <v>45939.0</v>
      </c>
      <c r="E932" s="4" t="s">
        <v>3380</v>
      </c>
      <c r="F932" s="9"/>
      <c r="G932" s="6"/>
      <c r="H932" s="7">
        <v>648.0</v>
      </c>
      <c r="I932" s="7" t="s">
        <v>3381</v>
      </c>
      <c r="K932" s="12" t="str">
        <f>RIGHT(E932,6)</f>
        <v>UN3668</v>
      </c>
      <c r="L932" s="2" t="s">
        <v>3382</v>
      </c>
      <c r="M932" s="2" t="s">
        <v>24</v>
      </c>
      <c r="N932" s="2" t="s">
        <v>60</v>
      </c>
      <c r="O932" s="2">
        <v>1.10751038E8</v>
      </c>
      <c r="P932" s="15"/>
      <c r="Q932" s="8">
        <v>2025.0</v>
      </c>
      <c r="R932" s="8" t="s">
        <v>3038</v>
      </c>
    </row>
    <row r="933">
      <c r="A933" s="4" t="s">
        <v>18</v>
      </c>
      <c r="B933" s="2" t="s">
        <v>3383</v>
      </c>
      <c r="C933" s="10">
        <v>45939.0</v>
      </c>
      <c r="D933" s="10">
        <v>45939.0</v>
      </c>
      <c r="E933" s="4" t="s">
        <v>3384</v>
      </c>
      <c r="F933" s="9"/>
      <c r="G933" s="11">
        <v>16433.0</v>
      </c>
      <c r="H933" s="6"/>
      <c r="I933" s="7" t="s">
        <v>3385</v>
      </c>
      <c r="J933" s="2" t="s">
        <v>3386</v>
      </c>
      <c r="K933" s="2" t="s">
        <v>123</v>
      </c>
      <c r="M933" s="2" t="s">
        <v>114</v>
      </c>
      <c r="N933" s="2" t="s">
        <v>169</v>
      </c>
      <c r="O933" s="2">
        <v>1.10751038E8</v>
      </c>
      <c r="Q933" s="8">
        <v>2025.0</v>
      </c>
      <c r="R933" s="8" t="s">
        <v>3038</v>
      </c>
    </row>
    <row r="934">
      <c r="A934" s="4" t="s">
        <v>18</v>
      </c>
      <c r="B934" s="2" t="s">
        <v>3387</v>
      </c>
      <c r="C934" s="10">
        <v>45939.0</v>
      </c>
      <c r="D934" s="10">
        <v>45939.0</v>
      </c>
      <c r="E934" s="4" t="s">
        <v>3388</v>
      </c>
      <c r="F934" s="9"/>
      <c r="G934" s="11">
        <v>16433.0</v>
      </c>
      <c r="H934" s="6"/>
      <c r="I934" s="7" t="s">
        <v>3389</v>
      </c>
      <c r="J934" s="2" t="s">
        <v>3386</v>
      </c>
      <c r="K934" s="2" t="s">
        <v>123</v>
      </c>
      <c r="M934" s="2" t="s">
        <v>114</v>
      </c>
      <c r="N934" s="2" t="s">
        <v>169</v>
      </c>
      <c r="O934" s="2">
        <v>1.10751038E8</v>
      </c>
      <c r="Q934" s="8">
        <v>2025.0</v>
      </c>
      <c r="R934" s="8" t="s">
        <v>3038</v>
      </c>
    </row>
    <row r="935">
      <c r="A935" s="4" t="s">
        <v>18</v>
      </c>
      <c r="B935" s="2" t="s">
        <v>3390</v>
      </c>
      <c r="C935" s="5">
        <v>45940.0</v>
      </c>
      <c r="D935" s="5">
        <v>45940.0</v>
      </c>
      <c r="E935" s="4" t="s">
        <v>3391</v>
      </c>
      <c r="F935" s="9"/>
      <c r="G935" s="6"/>
      <c r="H935" s="7">
        <v>679.0</v>
      </c>
      <c r="I935" s="7" t="s">
        <v>3392</v>
      </c>
      <c r="K935" s="12" t="str">
        <f>RIGHT(E935,6)</f>
        <v>SC3567</v>
      </c>
      <c r="L935" s="2" t="s">
        <v>3393</v>
      </c>
      <c r="M935" s="2" t="s">
        <v>24</v>
      </c>
      <c r="N935" s="2" t="s">
        <v>60</v>
      </c>
      <c r="O935" s="2">
        <v>1.10751038E8</v>
      </c>
      <c r="P935" s="15"/>
      <c r="Q935" s="8">
        <v>2025.0</v>
      </c>
      <c r="R935" s="8" t="s">
        <v>3038</v>
      </c>
    </row>
    <row r="936">
      <c r="A936" s="4" t="s">
        <v>18</v>
      </c>
      <c r="B936" s="2" t="s">
        <v>3394</v>
      </c>
      <c r="C936" s="5">
        <v>45940.0</v>
      </c>
      <c r="D936" s="5">
        <v>45940.0</v>
      </c>
      <c r="E936" s="4" t="s">
        <v>3395</v>
      </c>
      <c r="F936" s="9"/>
      <c r="G936" s="11">
        <v>1900.0</v>
      </c>
      <c r="H936" s="6"/>
      <c r="I936" s="7" t="s">
        <v>3396</v>
      </c>
      <c r="K936" s="2" t="s">
        <v>127</v>
      </c>
      <c r="M936" s="2" t="s">
        <v>114</v>
      </c>
      <c r="N936" s="2" t="s">
        <v>2739</v>
      </c>
      <c r="O936" s="2">
        <v>1.10751038E8</v>
      </c>
      <c r="Q936" s="8">
        <v>2025.0</v>
      </c>
      <c r="R936" s="8" t="s">
        <v>3038</v>
      </c>
    </row>
    <row r="937">
      <c r="A937" s="4" t="s">
        <v>18</v>
      </c>
      <c r="B937" s="2" t="s">
        <v>3397</v>
      </c>
      <c r="C937" s="5">
        <v>45940.0</v>
      </c>
      <c r="D937" s="5">
        <v>45940.0</v>
      </c>
      <c r="E937" s="4" t="s">
        <v>3398</v>
      </c>
      <c r="F937" s="9"/>
      <c r="G937" s="6"/>
      <c r="H937" s="11">
        <v>2000.0</v>
      </c>
      <c r="I937" s="7" t="s">
        <v>3399</v>
      </c>
      <c r="K937" s="12" t="str">
        <f>RIGHT(E937,6)</f>
        <v>UN3668</v>
      </c>
      <c r="L937" s="2" t="s">
        <v>619</v>
      </c>
      <c r="M937" s="2" t="s">
        <v>24</v>
      </c>
      <c r="N937" s="2" t="s">
        <v>60</v>
      </c>
      <c r="O937" s="2">
        <v>1.10751038E8</v>
      </c>
      <c r="P937" s="15"/>
      <c r="Q937" s="8">
        <v>2025.0</v>
      </c>
      <c r="R937" s="8" t="s">
        <v>3038</v>
      </c>
    </row>
    <row r="938">
      <c r="A938" s="4" t="s">
        <v>18</v>
      </c>
      <c r="B938" s="2" t="s">
        <v>3400</v>
      </c>
      <c r="C938" s="5">
        <v>45940.0</v>
      </c>
      <c r="D938" s="5">
        <v>45940.0</v>
      </c>
      <c r="E938" s="4" t="s">
        <v>3401</v>
      </c>
      <c r="F938" s="9"/>
      <c r="G938" s="7">
        <v>510.0</v>
      </c>
      <c r="H938" s="6"/>
      <c r="I938" s="7" t="s">
        <v>3402</v>
      </c>
      <c r="J938" s="2" t="s">
        <v>3403</v>
      </c>
      <c r="K938" s="2" t="s">
        <v>113</v>
      </c>
      <c r="M938" s="2" t="s">
        <v>114</v>
      </c>
      <c r="N938" s="2" t="s">
        <v>385</v>
      </c>
      <c r="O938" s="2">
        <v>1.10751038E8</v>
      </c>
      <c r="Q938" s="8">
        <v>2025.0</v>
      </c>
      <c r="R938" s="8" t="s">
        <v>3038</v>
      </c>
    </row>
    <row r="939">
      <c r="A939" s="4" t="s">
        <v>18</v>
      </c>
      <c r="B939" s="2" t="s">
        <v>3404</v>
      </c>
      <c r="C939" s="5">
        <v>45940.0</v>
      </c>
      <c r="D939" s="5">
        <v>45940.0</v>
      </c>
      <c r="E939" s="4" t="s">
        <v>3405</v>
      </c>
      <c r="F939" s="9"/>
      <c r="G939" s="6"/>
      <c r="H939" s="7">
        <v>300.0</v>
      </c>
      <c r="I939" s="7" t="s">
        <v>3406</v>
      </c>
      <c r="K939" s="12" t="str">
        <f>RIGHT(E939,6)</f>
        <v>SC3567</v>
      </c>
      <c r="M939" s="2" t="s">
        <v>24</v>
      </c>
      <c r="N939" s="2" t="s">
        <v>60</v>
      </c>
      <c r="O939" s="2">
        <v>1.10751038E8</v>
      </c>
      <c r="P939" s="15" t="str">
        <f>IFERROR(__xludf.DUMMYFUNCTION("CONCATENATE(B939,"", "", to_text(D939),"", "", E939,"", "", H939)"),"TSV-10-0101, 10-Oct-2025, UPI/CR/112445075647/HITESH B/HDFC/bansalh/SC3567, 300")</f>
        <v>TSV-10-0101, 10-Oct-2025, UPI/CR/112445075647/HITESH B/HDFC/bansalh/SC3567, 300</v>
      </c>
      <c r="Q939" s="8">
        <v>2025.0</v>
      </c>
      <c r="R939" s="8" t="s">
        <v>3038</v>
      </c>
    </row>
    <row r="940">
      <c r="A940" s="4" t="s">
        <v>18</v>
      </c>
      <c r="B940" s="2" t="s">
        <v>3407</v>
      </c>
      <c r="C940" s="5">
        <v>45940.0</v>
      </c>
      <c r="D940" s="5">
        <v>45940.0</v>
      </c>
      <c r="E940" s="4" t="s">
        <v>3408</v>
      </c>
      <c r="F940" s="9"/>
      <c r="G940" s="11">
        <v>1500.0</v>
      </c>
      <c r="H940" s="6"/>
      <c r="I940" s="7" t="s">
        <v>3409</v>
      </c>
      <c r="K940" s="2" t="s">
        <v>123</v>
      </c>
      <c r="M940" s="2" t="s">
        <v>114</v>
      </c>
      <c r="N940" s="2" t="s">
        <v>2739</v>
      </c>
      <c r="O940" s="2">
        <v>1.10751038E8</v>
      </c>
      <c r="Q940" s="8">
        <v>2025.0</v>
      </c>
      <c r="R940" s="8" t="s">
        <v>3038</v>
      </c>
    </row>
    <row r="941">
      <c r="A941" s="4" t="s">
        <v>18</v>
      </c>
      <c r="B941" s="2" t="s">
        <v>3410</v>
      </c>
      <c r="C941" s="5">
        <v>45940.0</v>
      </c>
      <c r="D941" s="5">
        <v>45940.0</v>
      </c>
      <c r="E941" s="4" t="s">
        <v>3411</v>
      </c>
      <c r="F941" s="9"/>
      <c r="G941" s="6"/>
      <c r="H941" s="7">
        <v>560.0</v>
      </c>
      <c r="I941" s="7" t="s">
        <v>3412</v>
      </c>
      <c r="K941" s="12" t="str">
        <f>RIGHT(E941,6)</f>
        <v>UN3668</v>
      </c>
      <c r="L941" s="2" t="s">
        <v>3413</v>
      </c>
      <c r="M941" s="2" t="s">
        <v>24</v>
      </c>
      <c r="N941" s="2" t="s">
        <v>60</v>
      </c>
      <c r="O941" s="2">
        <v>1.10751038E8</v>
      </c>
      <c r="P941" s="15"/>
      <c r="Q941" s="8">
        <v>2025.0</v>
      </c>
      <c r="R941" s="8" t="s">
        <v>3038</v>
      </c>
    </row>
    <row r="942">
      <c r="A942" s="4" t="s">
        <v>18</v>
      </c>
      <c r="B942" s="2" t="s">
        <v>3414</v>
      </c>
      <c r="C942" s="5">
        <v>45940.0</v>
      </c>
      <c r="D942" s="5">
        <v>45940.0</v>
      </c>
      <c r="E942" s="4" t="s">
        <v>3415</v>
      </c>
      <c r="F942" s="9"/>
      <c r="G942" s="6"/>
      <c r="H942" s="11">
        <v>1642.0</v>
      </c>
      <c r="I942" s="7" t="s">
        <v>3416</v>
      </c>
      <c r="K942" s="2" t="s">
        <v>113</v>
      </c>
      <c r="L942" s="2" t="s">
        <v>3417</v>
      </c>
      <c r="M942" s="2" t="s">
        <v>24</v>
      </c>
      <c r="N942" s="2" t="s">
        <v>60</v>
      </c>
      <c r="O942" s="2">
        <v>1.10751038E8</v>
      </c>
      <c r="P942" s="15" t="str">
        <f>IFERROR(__xludf.DUMMYFUNCTION("CONCATENATE(B942,"", "", to_text(D942),"", "", E942,"", "", H942)"),"TSV-10-0104, 10-Oct-2025, UPI/CR/661026118451/INDRAJEE/HDFC/8237634/Payment, 1642")</f>
        <v>TSV-10-0104, 10-Oct-2025, UPI/CR/661026118451/INDRAJEE/HDFC/8237634/Payment, 1642</v>
      </c>
      <c r="Q942" s="8">
        <v>2025.0</v>
      </c>
      <c r="R942" s="8" t="s">
        <v>3038</v>
      </c>
    </row>
    <row r="943">
      <c r="A943" s="4" t="s">
        <v>18</v>
      </c>
      <c r="B943" s="2" t="s">
        <v>3418</v>
      </c>
      <c r="C943" s="5">
        <v>45940.0</v>
      </c>
      <c r="D943" s="5">
        <v>45940.0</v>
      </c>
      <c r="E943" s="4" t="s">
        <v>3419</v>
      </c>
      <c r="F943" s="9"/>
      <c r="G943" s="6"/>
      <c r="H943" s="7">
        <v>331.0</v>
      </c>
      <c r="I943" s="7" t="s">
        <v>3420</v>
      </c>
      <c r="K943" s="12" t="str">
        <f t="shared" ref="K943:K944" si="127">RIGHT(E943,6)</f>
        <v>SL1610</v>
      </c>
      <c r="L943" s="2" t="s">
        <v>3421</v>
      </c>
      <c r="M943" s="2" t="s">
        <v>24</v>
      </c>
      <c r="N943" s="2" t="s">
        <v>60</v>
      </c>
      <c r="O943" s="2">
        <v>1.10751038E8</v>
      </c>
      <c r="P943" s="15"/>
      <c r="Q943" s="8">
        <v>2025.0</v>
      </c>
      <c r="R943" s="8" t="s">
        <v>3038</v>
      </c>
    </row>
    <row r="944">
      <c r="A944" s="4" t="s">
        <v>18</v>
      </c>
      <c r="B944" s="2" t="s">
        <v>3422</v>
      </c>
      <c r="C944" s="5">
        <v>45940.0</v>
      </c>
      <c r="D944" s="5">
        <v>45940.0</v>
      </c>
      <c r="E944" s="4" t="s">
        <v>3423</v>
      </c>
      <c r="F944" s="9"/>
      <c r="G944" s="6"/>
      <c r="H944" s="7">
        <v>384.0</v>
      </c>
      <c r="I944" s="7" t="s">
        <v>3424</v>
      </c>
      <c r="K944" s="12" t="str">
        <f t="shared" si="127"/>
        <v>UN3668</v>
      </c>
      <c r="L944" s="2" t="s">
        <v>3425</v>
      </c>
      <c r="M944" s="2" t="s">
        <v>24</v>
      </c>
      <c r="N944" s="2" t="s">
        <v>60</v>
      </c>
      <c r="O944" s="2">
        <v>1.10751038E8</v>
      </c>
      <c r="P944" s="15"/>
      <c r="Q944" s="8">
        <v>2025.0</v>
      </c>
      <c r="R944" s="8" t="s">
        <v>3038</v>
      </c>
    </row>
    <row r="945">
      <c r="A945" s="4" t="s">
        <v>18</v>
      </c>
      <c r="B945" s="2" t="s">
        <v>3426</v>
      </c>
      <c r="C945" s="5">
        <v>45940.0</v>
      </c>
      <c r="D945" s="5">
        <v>45940.0</v>
      </c>
      <c r="E945" s="4" t="s">
        <v>3427</v>
      </c>
      <c r="F945" s="9"/>
      <c r="G945" s="11">
        <v>6000.0</v>
      </c>
      <c r="H945" s="6"/>
      <c r="I945" s="11">
        <v>98533.18</v>
      </c>
      <c r="J945" s="2" t="s">
        <v>3428</v>
      </c>
      <c r="K945" s="2" t="s">
        <v>23</v>
      </c>
      <c r="M945" s="2" t="s">
        <v>114</v>
      </c>
      <c r="N945" s="2" t="s">
        <v>169</v>
      </c>
      <c r="O945" s="2">
        <v>1.10751038E8</v>
      </c>
      <c r="Q945" s="8">
        <v>2025.0</v>
      </c>
      <c r="R945" s="8" t="s">
        <v>3038</v>
      </c>
    </row>
    <row r="946">
      <c r="A946" s="4" t="s">
        <v>18</v>
      </c>
      <c r="B946" s="2" t="s">
        <v>3429</v>
      </c>
      <c r="C946" s="5">
        <v>45940.0</v>
      </c>
      <c r="D946" s="5">
        <v>45940.0</v>
      </c>
      <c r="E946" s="4" t="s">
        <v>3430</v>
      </c>
      <c r="F946" s="9"/>
      <c r="G946" s="6"/>
      <c r="H946" s="7">
        <v>173.0</v>
      </c>
      <c r="I946" s="11">
        <v>98706.18</v>
      </c>
      <c r="K946" s="12" t="str">
        <f t="shared" ref="K946:K948" si="128">RIGHT(E946,6)</f>
        <v>UN3668</v>
      </c>
      <c r="L946" s="2" t="s">
        <v>3431</v>
      </c>
      <c r="M946" s="2" t="s">
        <v>24</v>
      </c>
      <c r="N946" s="2" t="s">
        <v>60</v>
      </c>
      <c r="O946" s="2">
        <v>1.10751038E8</v>
      </c>
      <c r="P946" s="15"/>
      <c r="Q946" s="8">
        <v>2025.0</v>
      </c>
      <c r="R946" s="8" t="s">
        <v>3038</v>
      </c>
    </row>
    <row r="947">
      <c r="A947" s="4" t="s">
        <v>18</v>
      </c>
      <c r="B947" s="2" t="s">
        <v>3432</v>
      </c>
      <c r="C947" s="5">
        <v>45941.0</v>
      </c>
      <c r="D947" s="5">
        <v>45941.0</v>
      </c>
      <c r="E947" s="4" t="s">
        <v>3433</v>
      </c>
      <c r="F947" s="9"/>
      <c r="G947" s="6"/>
      <c r="H947" s="7">
        <v>822.0</v>
      </c>
      <c r="I947" s="11">
        <v>99528.18</v>
      </c>
      <c r="K947" s="12" t="str">
        <f t="shared" si="128"/>
        <v>SC3567</v>
      </c>
      <c r="L947" s="2" t="s">
        <v>3434</v>
      </c>
      <c r="M947" s="2" t="s">
        <v>24</v>
      </c>
      <c r="N947" s="2" t="s">
        <v>60</v>
      </c>
      <c r="O947" s="2">
        <v>1.10751038E8</v>
      </c>
      <c r="P947" s="15"/>
      <c r="Q947" s="8">
        <v>2025.0</v>
      </c>
      <c r="R947" s="8" t="s">
        <v>3038</v>
      </c>
    </row>
    <row r="948">
      <c r="A948" s="4" t="s">
        <v>18</v>
      </c>
      <c r="B948" s="2" t="s">
        <v>3435</v>
      </c>
      <c r="C948" s="5">
        <v>45941.0</v>
      </c>
      <c r="D948" s="5">
        <v>45941.0</v>
      </c>
      <c r="E948" s="4" t="s">
        <v>3436</v>
      </c>
      <c r="F948" s="9"/>
      <c r="G948" s="6"/>
      <c r="H948" s="7">
        <v>247.0</v>
      </c>
      <c r="I948" s="11">
        <v>99775.18</v>
      </c>
      <c r="K948" s="12" t="str">
        <f t="shared" si="128"/>
        <v>SC3567</v>
      </c>
      <c r="M948" s="2" t="s">
        <v>24</v>
      </c>
      <c r="N948" s="2" t="s">
        <v>60</v>
      </c>
      <c r="O948" s="2">
        <v>1.10751038E8</v>
      </c>
      <c r="P948" s="15" t="str">
        <f>IFERROR(__xludf.DUMMYFUNCTION("CONCATENATE(B948,"", "", to_text(D948),"", "", E948,"", "", H948)"),"TSV-10-0110, 11-Oct-2025, UPI/CR/528479643602/SHEETAL /HDFC/7217831/SC3567, 247")</f>
        <v>TSV-10-0110, 11-Oct-2025, UPI/CR/528479643602/SHEETAL /HDFC/7217831/SC3567, 247</v>
      </c>
      <c r="Q948" s="8">
        <v>2025.0</v>
      </c>
      <c r="R948" s="8" t="s">
        <v>3038</v>
      </c>
    </row>
    <row r="949">
      <c r="A949" s="4" t="s">
        <v>18</v>
      </c>
      <c r="B949" s="2" t="s">
        <v>3437</v>
      </c>
      <c r="C949" s="5">
        <v>45941.0</v>
      </c>
      <c r="D949" s="5">
        <v>45941.0</v>
      </c>
      <c r="E949" s="4" t="s">
        <v>3438</v>
      </c>
      <c r="F949" s="9"/>
      <c r="G949" s="6"/>
      <c r="H949" s="7">
        <v>10.0</v>
      </c>
      <c r="I949" s="11">
        <v>99785.18</v>
      </c>
      <c r="K949" s="2" t="s">
        <v>539</v>
      </c>
      <c r="M949" s="2" t="s">
        <v>24</v>
      </c>
      <c r="N949" s="2" t="s">
        <v>60</v>
      </c>
      <c r="O949" s="2">
        <v>1.10751038E8</v>
      </c>
      <c r="P949" s="15" t="str">
        <f>IFERROR(__xludf.DUMMYFUNCTION("CONCATENATE(B949,"", "", to_text(D949),"", "", E949,"", "", H949)"),"TSV-10-0111, 11-Oct-2025, UPI/CR/528479587232/SHEETAL /HDFC/7217831/Sent us, 10")</f>
        <v>TSV-10-0111, 11-Oct-2025, UPI/CR/528479587232/SHEETAL /HDFC/7217831/Sent us, 10</v>
      </c>
      <c r="Q949" s="8">
        <v>2025.0</v>
      </c>
      <c r="R949" s="8" t="s">
        <v>3038</v>
      </c>
    </row>
    <row r="950">
      <c r="A950" s="4" t="s">
        <v>18</v>
      </c>
      <c r="B950" s="2" t="s">
        <v>3439</v>
      </c>
      <c r="C950" s="5">
        <v>45941.0</v>
      </c>
      <c r="D950" s="5">
        <v>45941.0</v>
      </c>
      <c r="E950" s="4" t="s">
        <v>3440</v>
      </c>
      <c r="F950" s="9"/>
      <c r="G950" s="6"/>
      <c r="H950" s="7">
        <v>800.0</v>
      </c>
      <c r="I950" s="7" t="s">
        <v>3441</v>
      </c>
      <c r="K950" s="12" t="str">
        <f t="shared" ref="K950:K955" si="129">RIGHT(E950,6)</f>
        <v>UN3668</v>
      </c>
      <c r="L950" s="2" t="s">
        <v>3442</v>
      </c>
      <c r="M950" s="2" t="s">
        <v>24</v>
      </c>
      <c r="N950" s="2" t="s">
        <v>60</v>
      </c>
      <c r="O950" s="2">
        <v>1.10751038E8</v>
      </c>
      <c r="P950" s="15"/>
      <c r="Q950" s="8">
        <v>2025.0</v>
      </c>
      <c r="R950" s="8" t="s">
        <v>3038</v>
      </c>
    </row>
    <row r="951">
      <c r="A951" s="4" t="s">
        <v>18</v>
      </c>
      <c r="B951" s="2" t="s">
        <v>3443</v>
      </c>
      <c r="C951" s="5">
        <v>45941.0</v>
      </c>
      <c r="D951" s="5">
        <v>45941.0</v>
      </c>
      <c r="E951" s="4" t="s">
        <v>3444</v>
      </c>
      <c r="F951" s="9"/>
      <c r="G951" s="6"/>
      <c r="H951" s="7">
        <v>90.0</v>
      </c>
      <c r="I951" s="7" t="s">
        <v>3445</v>
      </c>
      <c r="K951" s="12" t="str">
        <f t="shared" si="129"/>
        <v>SC3567</v>
      </c>
      <c r="M951" s="2" t="s">
        <v>24</v>
      </c>
      <c r="N951" s="2" t="s">
        <v>60</v>
      </c>
      <c r="O951" s="2">
        <v>1.10751038E8</v>
      </c>
      <c r="P951" s="15" t="str">
        <f>IFERROR(__xludf.DUMMYFUNCTION("CONCATENATE(B951,"", "", to_text(D951),"", "", E951,"", "", H951)"),"TSV-10-0113, 11-Oct-2025, UPI/CR/035338155845/Jitendra/IOBA/7011455/SC3567, 90")</f>
        <v>TSV-10-0113, 11-Oct-2025, UPI/CR/035338155845/Jitendra/IOBA/7011455/SC3567, 90</v>
      </c>
      <c r="Q951" s="8">
        <v>2025.0</v>
      </c>
      <c r="R951" s="8" t="s">
        <v>3038</v>
      </c>
    </row>
    <row r="952">
      <c r="A952" s="4" t="s">
        <v>18</v>
      </c>
      <c r="B952" s="2" t="s">
        <v>3446</v>
      </c>
      <c r="C952" s="5">
        <v>45942.0</v>
      </c>
      <c r="D952" s="5">
        <v>45942.0</v>
      </c>
      <c r="E952" s="4" t="s">
        <v>3447</v>
      </c>
      <c r="F952" s="9"/>
      <c r="G952" s="6"/>
      <c r="H952" s="7">
        <v>716.0</v>
      </c>
      <c r="I952" s="7" t="s">
        <v>3448</v>
      </c>
      <c r="K952" s="12" t="str">
        <f t="shared" si="129"/>
        <v>SC3567</v>
      </c>
      <c r="L952" s="2" t="s">
        <v>3449</v>
      </c>
      <c r="M952" s="2" t="s">
        <v>24</v>
      </c>
      <c r="N952" s="2" t="s">
        <v>60</v>
      </c>
      <c r="O952" s="2">
        <v>1.10751038E8</v>
      </c>
      <c r="P952" s="15"/>
      <c r="Q952" s="8">
        <v>2025.0</v>
      </c>
      <c r="R952" s="8" t="s">
        <v>3038</v>
      </c>
    </row>
    <row r="953">
      <c r="A953" s="4" t="s">
        <v>18</v>
      </c>
      <c r="B953" s="2" t="s">
        <v>3450</v>
      </c>
      <c r="C953" s="5">
        <v>45942.0</v>
      </c>
      <c r="D953" s="5">
        <v>45942.0</v>
      </c>
      <c r="E953" s="4" t="s">
        <v>3451</v>
      </c>
      <c r="F953" s="9"/>
      <c r="G953" s="6"/>
      <c r="H953" s="7">
        <v>280.0</v>
      </c>
      <c r="I953" s="7" t="s">
        <v>3452</v>
      </c>
      <c r="K953" s="12" t="str">
        <f t="shared" si="129"/>
        <v>KN3817</v>
      </c>
      <c r="L953" s="21" t="s">
        <v>694</v>
      </c>
      <c r="M953" s="2" t="s">
        <v>24</v>
      </c>
      <c r="N953" s="2" t="s">
        <v>60</v>
      </c>
      <c r="O953" s="2">
        <v>1.10751038E8</v>
      </c>
      <c r="P953" s="15"/>
      <c r="Q953" s="8">
        <v>2025.0</v>
      </c>
      <c r="R953" s="8" t="s">
        <v>3038</v>
      </c>
    </row>
    <row r="954">
      <c r="A954" s="4" t="s">
        <v>18</v>
      </c>
      <c r="B954" s="2" t="s">
        <v>3453</v>
      </c>
      <c r="C954" s="5">
        <v>45942.0</v>
      </c>
      <c r="D954" s="5">
        <v>45942.0</v>
      </c>
      <c r="E954" s="4" t="s">
        <v>3454</v>
      </c>
      <c r="F954" s="9"/>
      <c r="G954" s="6"/>
      <c r="H954" s="7">
        <v>678.0</v>
      </c>
      <c r="I954" s="7" t="s">
        <v>3455</v>
      </c>
      <c r="K954" s="12" t="str">
        <f t="shared" si="129"/>
        <v>SC3567</v>
      </c>
      <c r="L954" s="2" t="s">
        <v>3456</v>
      </c>
      <c r="M954" s="2" t="s">
        <v>24</v>
      </c>
      <c r="N954" s="2" t="s">
        <v>60</v>
      </c>
      <c r="O954" s="2">
        <v>1.10751038E8</v>
      </c>
      <c r="P954" s="15"/>
      <c r="Q954" s="8">
        <v>2025.0</v>
      </c>
      <c r="R954" s="8" t="s">
        <v>3038</v>
      </c>
    </row>
    <row r="955">
      <c r="A955" s="4" t="s">
        <v>18</v>
      </c>
      <c r="B955" s="2" t="s">
        <v>3457</v>
      </c>
      <c r="C955" s="5">
        <v>45942.0</v>
      </c>
      <c r="D955" s="5">
        <v>45942.0</v>
      </c>
      <c r="E955" s="4" t="s">
        <v>3458</v>
      </c>
      <c r="F955" s="9"/>
      <c r="G955" s="6"/>
      <c r="H955" s="7">
        <v>280.0</v>
      </c>
      <c r="I955" s="7" t="s">
        <v>3459</v>
      </c>
      <c r="K955" s="12" t="str">
        <f t="shared" si="129"/>
        <v>KN3817</v>
      </c>
      <c r="L955" s="2" t="s">
        <v>694</v>
      </c>
      <c r="M955" s="2" t="s">
        <v>24</v>
      </c>
      <c r="N955" s="2" t="s">
        <v>60</v>
      </c>
      <c r="O955" s="2">
        <v>1.10751038E8</v>
      </c>
      <c r="P955" s="15"/>
      <c r="Q955" s="8">
        <v>2025.0</v>
      </c>
      <c r="R955" s="8" t="s">
        <v>3038</v>
      </c>
    </row>
    <row r="956">
      <c r="A956" s="4" t="s">
        <v>18</v>
      </c>
      <c r="B956" s="2" t="s">
        <v>3460</v>
      </c>
      <c r="C956" s="5">
        <v>45942.0</v>
      </c>
      <c r="D956" s="5">
        <v>45942.0</v>
      </c>
      <c r="E956" s="4" t="s">
        <v>3461</v>
      </c>
      <c r="F956" s="9"/>
      <c r="G956" s="11">
        <v>8393.0</v>
      </c>
      <c r="H956" s="6"/>
      <c r="I956" s="11">
        <v>94236.18</v>
      </c>
      <c r="J956" s="2" t="s">
        <v>220</v>
      </c>
      <c r="K956" s="2" t="s">
        <v>123</v>
      </c>
      <c r="M956" s="2" t="s">
        <v>114</v>
      </c>
      <c r="N956" s="2" t="s">
        <v>220</v>
      </c>
      <c r="O956" s="2">
        <v>1.10751038E8</v>
      </c>
      <c r="Q956" s="8">
        <v>2025.0</v>
      </c>
      <c r="R956" s="8" t="s">
        <v>3038</v>
      </c>
    </row>
    <row r="957">
      <c r="A957" s="4" t="s">
        <v>18</v>
      </c>
      <c r="B957" s="2" t="s">
        <v>3462</v>
      </c>
      <c r="C957" s="5">
        <v>45942.0</v>
      </c>
      <c r="D957" s="5">
        <v>45942.0</v>
      </c>
      <c r="E957" s="4" t="s">
        <v>3463</v>
      </c>
      <c r="F957" s="9"/>
      <c r="G957" s="7">
        <v>367.0</v>
      </c>
      <c r="H957" s="6"/>
      <c r="I957" s="11">
        <v>93869.18</v>
      </c>
      <c r="J957" s="2" t="s">
        <v>1417</v>
      </c>
      <c r="K957" s="2" t="s">
        <v>123</v>
      </c>
      <c r="M957" s="2" t="s">
        <v>114</v>
      </c>
      <c r="N957" s="2" t="s">
        <v>220</v>
      </c>
      <c r="O957" s="2">
        <v>1.10751038E8</v>
      </c>
      <c r="Q957" s="8">
        <v>2025.0</v>
      </c>
      <c r="R957" s="8" t="s">
        <v>3038</v>
      </c>
    </row>
    <row r="958">
      <c r="A958" s="4" t="s">
        <v>18</v>
      </c>
      <c r="B958" s="2" t="s">
        <v>3464</v>
      </c>
      <c r="C958" s="5">
        <v>45942.0</v>
      </c>
      <c r="D958" s="5">
        <v>45942.0</v>
      </c>
      <c r="E958" s="4" t="s">
        <v>3465</v>
      </c>
      <c r="F958" s="9"/>
      <c r="G958" s="11">
        <v>5500.0</v>
      </c>
      <c r="H958" s="6"/>
      <c r="I958" s="11">
        <v>88369.18</v>
      </c>
      <c r="J958" s="2" t="s">
        <v>3466</v>
      </c>
      <c r="K958" s="2" t="s">
        <v>119</v>
      </c>
      <c r="M958" s="2" t="s">
        <v>114</v>
      </c>
      <c r="N958" s="2" t="s">
        <v>169</v>
      </c>
      <c r="O958" s="2">
        <v>1.10751038E8</v>
      </c>
      <c r="Q958" s="8">
        <v>2025.0</v>
      </c>
      <c r="R958" s="8" t="s">
        <v>3038</v>
      </c>
    </row>
    <row r="959">
      <c r="A959" s="4" t="s">
        <v>18</v>
      </c>
      <c r="B959" s="2" t="s">
        <v>3467</v>
      </c>
      <c r="C959" s="5">
        <v>45942.0</v>
      </c>
      <c r="D959" s="5">
        <v>45942.0</v>
      </c>
      <c r="E959" s="4" t="s">
        <v>3468</v>
      </c>
      <c r="F959" s="9"/>
      <c r="G959" s="6"/>
      <c r="H959" s="7">
        <v>970.0</v>
      </c>
      <c r="I959" s="11">
        <v>89339.18</v>
      </c>
      <c r="K959" s="12" t="str">
        <f t="shared" ref="K959:K961" si="130">RIGHT(E959,6)</f>
        <v>SC3567</v>
      </c>
      <c r="L959" s="2" t="s">
        <v>3469</v>
      </c>
      <c r="M959" s="2" t="s">
        <v>24</v>
      </c>
      <c r="N959" s="2" t="s">
        <v>60</v>
      </c>
      <c r="O959" s="2">
        <v>1.10751038E8</v>
      </c>
      <c r="P959" s="15"/>
      <c r="Q959" s="8">
        <v>2025.0</v>
      </c>
      <c r="R959" s="8" t="s">
        <v>3038</v>
      </c>
    </row>
    <row r="960">
      <c r="A960" s="4" t="s">
        <v>18</v>
      </c>
      <c r="B960" s="2" t="s">
        <v>3470</v>
      </c>
      <c r="C960" s="5">
        <v>45942.0</v>
      </c>
      <c r="D960" s="5">
        <v>45942.0</v>
      </c>
      <c r="E960" s="4" t="s">
        <v>3471</v>
      </c>
      <c r="F960" s="9"/>
      <c r="G960" s="6"/>
      <c r="H960" s="7">
        <v>300.0</v>
      </c>
      <c r="I960" s="11">
        <v>89639.18</v>
      </c>
      <c r="K960" s="12" t="str">
        <f t="shared" si="130"/>
        <v>SC3567</v>
      </c>
      <c r="L960" s="2" t="s">
        <v>3472</v>
      </c>
      <c r="M960" s="2" t="s">
        <v>24</v>
      </c>
      <c r="N960" s="2" t="s">
        <v>60</v>
      </c>
      <c r="O960" s="2">
        <v>1.10751038E8</v>
      </c>
      <c r="P960" s="15"/>
      <c r="Q960" s="8">
        <v>2025.0</v>
      </c>
      <c r="R960" s="8" t="s">
        <v>3038</v>
      </c>
    </row>
    <row r="961">
      <c r="A961" s="4" t="s">
        <v>18</v>
      </c>
      <c r="B961" s="2" t="s">
        <v>3473</v>
      </c>
      <c r="C961" s="5">
        <v>45942.0</v>
      </c>
      <c r="D961" s="5">
        <v>45942.0</v>
      </c>
      <c r="E961" s="4" t="s">
        <v>3474</v>
      </c>
      <c r="F961" s="9"/>
      <c r="G961" s="6"/>
      <c r="H961" s="7">
        <v>370.0</v>
      </c>
      <c r="I961" s="11">
        <v>90009.18</v>
      </c>
      <c r="K961" s="12" t="str">
        <f t="shared" si="130"/>
        <v>UN3668</v>
      </c>
      <c r="L961" s="2" t="s">
        <v>3475</v>
      </c>
      <c r="M961" s="2" t="s">
        <v>24</v>
      </c>
      <c r="N961" s="2" t="s">
        <v>60</v>
      </c>
      <c r="O961" s="2">
        <v>1.10751038E8</v>
      </c>
      <c r="P961" s="15"/>
      <c r="Q961" s="8">
        <v>2025.0</v>
      </c>
      <c r="R961" s="8" t="s">
        <v>3038</v>
      </c>
    </row>
    <row r="962">
      <c r="A962" s="4" t="s">
        <v>18</v>
      </c>
      <c r="B962" s="2" t="s">
        <v>3476</v>
      </c>
      <c r="C962" s="5">
        <v>45942.0</v>
      </c>
      <c r="D962" s="5">
        <v>45942.0</v>
      </c>
      <c r="E962" s="4" t="s">
        <v>3477</v>
      </c>
      <c r="F962" s="9"/>
      <c r="G962" s="11">
        <v>2493.84</v>
      </c>
      <c r="H962" s="6"/>
      <c r="I962" s="11">
        <v>87515.34</v>
      </c>
      <c r="K962" s="2" t="s">
        <v>127</v>
      </c>
      <c r="M962" s="2" t="s">
        <v>114</v>
      </c>
      <c r="N962" s="2" t="s">
        <v>275</v>
      </c>
      <c r="O962" s="2">
        <v>1.10751038E8</v>
      </c>
      <c r="Q962" s="8">
        <v>2025.0</v>
      </c>
      <c r="R962" s="8" t="s">
        <v>3038</v>
      </c>
    </row>
    <row r="963">
      <c r="A963" s="4" t="s">
        <v>18</v>
      </c>
      <c r="B963" s="2" t="s">
        <v>3478</v>
      </c>
      <c r="C963" s="5">
        <v>45942.0</v>
      </c>
      <c r="D963" s="5">
        <v>45942.0</v>
      </c>
      <c r="E963" s="4" t="s">
        <v>3479</v>
      </c>
      <c r="F963" s="9"/>
      <c r="G963" s="7">
        <v>772.78</v>
      </c>
      <c r="H963" s="6"/>
      <c r="I963" s="11">
        <v>86742.56</v>
      </c>
      <c r="K963" s="2" t="s">
        <v>119</v>
      </c>
      <c r="M963" s="2" t="s">
        <v>114</v>
      </c>
      <c r="N963" s="2" t="s">
        <v>275</v>
      </c>
      <c r="O963" s="2">
        <v>1.10751038E8</v>
      </c>
      <c r="Q963" s="8">
        <v>2025.0</v>
      </c>
      <c r="R963" s="8" t="s">
        <v>3038</v>
      </c>
    </row>
    <row r="964">
      <c r="A964" s="4" t="s">
        <v>18</v>
      </c>
      <c r="B964" s="2" t="s">
        <v>3480</v>
      </c>
      <c r="C964" s="5">
        <v>45943.0</v>
      </c>
      <c r="D964" s="5">
        <v>45943.0</v>
      </c>
      <c r="E964" s="4" t="s">
        <v>3481</v>
      </c>
      <c r="F964" s="9"/>
      <c r="G964" s="6"/>
      <c r="H964" s="7">
        <v>250.0</v>
      </c>
      <c r="I964" s="11">
        <v>86992.56</v>
      </c>
      <c r="K964" s="12" t="str">
        <f>RIGHT(E964,6)</f>
        <v>SC3567</v>
      </c>
      <c r="L964" s="2" t="s">
        <v>3482</v>
      </c>
      <c r="M964" s="2" t="s">
        <v>24</v>
      </c>
      <c r="N964" s="2" t="s">
        <v>60</v>
      </c>
      <c r="O964" s="2">
        <v>1.10751038E8</v>
      </c>
      <c r="P964" s="15"/>
      <c r="Q964" s="8">
        <v>2025.0</v>
      </c>
      <c r="R964" s="8" t="s">
        <v>3038</v>
      </c>
    </row>
    <row r="965">
      <c r="A965" s="4" t="s">
        <v>18</v>
      </c>
      <c r="B965" s="2" t="s">
        <v>3483</v>
      </c>
      <c r="C965" s="5">
        <v>45943.0</v>
      </c>
      <c r="D965" s="5">
        <v>45943.0</v>
      </c>
      <c r="E965" s="4" t="s">
        <v>3484</v>
      </c>
      <c r="F965" s="9"/>
      <c r="G965" s="11">
        <v>1600.0</v>
      </c>
      <c r="H965" s="6"/>
      <c r="I965" s="11">
        <v>85392.56</v>
      </c>
      <c r="K965" s="2" t="s">
        <v>119</v>
      </c>
      <c r="M965" s="2" t="s">
        <v>114</v>
      </c>
      <c r="N965" s="2" t="s">
        <v>1800</v>
      </c>
      <c r="O965" s="2">
        <v>1.10751038E8</v>
      </c>
      <c r="Q965" s="8">
        <v>2025.0</v>
      </c>
      <c r="R965" s="8" t="s">
        <v>3038</v>
      </c>
    </row>
    <row r="966">
      <c r="A966" s="4" t="s">
        <v>18</v>
      </c>
      <c r="B966" s="2" t="s">
        <v>3485</v>
      </c>
      <c r="C966" s="5">
        <v>45943.0</v>
      </c>
      <c r="D966" s="5">
        <v>45943.0</v>
      </c>
      <c r="E966" s="4" t="s">
        <v>3486</v>
      </c>
      <c r="F966" s="9"/>
      <c r="G966" s="7">
        <v>88.0</v>
      </c>
      <c r="H966" s="6"/>
      <c r="I966" s="11">
        <v>85304.56</v>
      </c>
      <c r="K966" s="2" t="s">
        <v>119</v>
      </c>
      <c r="M966" s="2" t="s">
        <v>114</v>
      </c>
      <c r="N966" s="2" t="s">
        <v>1835</v>
      </c>
      <c r="O966" s="2">
        <v>1.10751038E8</v>
      </c>
      <c r="Q966" s="8">
        <v>2025.0</v>
      </c>
      <c r="R966" s="8" t="s">
        <v>3038</v>
      </c>
    </row>
    <row r="967">
      <c r="A967" s="4" t="s">
        <v>18</v>
      </c>
      <c r="B967" s="2" t="s">
        <v>3487</v>
      </c>
      <c r="C967" s="5">
        <v>45943.0</v>
      </c>
      <c r="D967" s="5">
        <v>45943.0</v>
      </c>
      <c r="E967" s="4" t="s">
        <v>3488</v>
      </c>
      <c r="F967" s="9"/>
      <c r="G967" s="6"/>
      <c r="H967" s="7">
        <v>705.0</v>
      </c>
      <c r="I967" s="11">
        <v>86009.56</v>
      </c>
      <c r="K967" s="12" t="str">
        <f t="shared" ref="K967:K968" si="131">RIGHT(E967,6)</f>
        <v>KN3817</v>
      </c>
      <c r="L967" s="2" t="s">
        <v>670</v>
      </c>
      <c r="M967" s="2" t="s">
        <v>24</v>
      </c>
      <c r="N967" s="2" t="s">
        <v>60</v>
      </c>
      <c r="O967" s="2">
        <v>1.10751038E8</v>
      </c>
      <c r="P967" s="15"/>
      <c r="Q967" s="8">
        <v>2025.0</v>
      </c>
      <c r="R967" s="8" t="s">
        <v>3038</v>
      </c>
    </row>
    <row r="968">
      <c r="A968" s="4" t="s">
        <v>18</v>
      </c>
      <c r="B968" s="2" t="s">
        <v>3489</v>
      </c>
      <c r="C968" s="5">
        <v>45943.0</v>
      </c>
      <c r="D968" s="5">
        <v>45943.0</v>
      </c>
      <c r="E968" s="4" t="s">
        <v>3490</v>
      </c>
      <c r="F968" s="9"/>
      <c r="G968" s="6"/>
      <c r="H968" s="7">
        <v>236.0</v>
      </c>
      <c r="I968" s="11">
        <v>86245.56</v>
      </c>
      <c r="K968" s="12" t="str">
        <f t="shared" si="131"/>
        <v>SC3567</v>
      </c>
      <c r="L968" s="2" t="s">
        <v>3491</v>
      </c>
      <c r="M968" s="2" t="s">
        <v>24</v>
      </c>
      <c r="N968" s="2" t="s">
        <v>60</v>
      </c>
      <c r="O968" s="2">
        <v>1.10751038E8</v>
      </c>
      <c r="P968" s="15"/>
      <c r="Q968" s="8">
        <v>2025.0</v>
      </c>
      <c r="R968" s="8" t="s">
        <v>3038</v>
      </c>
    </row>
    <row r="969">
      <c r="A969" s="4" t="s">
        <v>18</v>
      </c>
      <c r="B969" s="2" t="s">
        <v>3492</v>
      </c>
      <c r="C969" s="5">
        <v>45943.0</v>
      </c>
      <c r="D969" s="5">
        <v>45943.0</v>
      </c>
      <c r="E969" s="4" t="s">
        <v>3493</v>
      </c>
      <c r="F969" s="9"/>
      <c r="G969" s="11">
        <v>3304.0</v>
      </c>
      <c r="H969" s="6"/>
      <c r="I969" s="11">
        <v>82941.56</v>
      </c>
      <c r="K969" s="2" t="s">
        <v>127</v>
      </c>
      <c r="M969" s="2" t="s">
        <v>114</v>
      </c>
      <c r="N969" s="2" t="s">
        <v>478</v>
      </c>
      <c r="O969" s="2">
        <v>1.10751038E8</v>
      </c>
      <c r="Q969" s="8">
        <v>2025.0</v>
      </c>
      <c r="R969" s="8" t="s">
        <v>3038</v>
      </c>
    </row>
    <row r="970">
      <c r="A970" s="4" t="s">
        <v>18</v>
      </c>
      <c r="B970" s="2" t="s">
        <v>3494</v>
      </c>
      <c r="C970" s="5">
        <v>45943.0</v>
      </c>
      <c r="D970" s="5">
        <v>45943.0</v>
      </c>
      <c r="E970" s="4" t="s">
        <v>3495</v>
      </c>
      <c r="F970" s="9"/>
      <c r="G970" s="6"/>
      <c r="H970" s="7">
        <v>149.0</v>
      </c>
      <c r="I970" s="11">
        <v>83090.56</v>
      </c>
      <c r="K970" s="12" t="str">
        <f t="shared" ref="K970:K974" si="132">RIGHT(E970,6)</f>
        <v>SC3567</v>
      </c>
      <c r="L970" s="2" t="s">
        <v>3496</v>
      </c>
      <c r="M970" s="2" t="s">
        <v>24</v>
      </c>
      <c r="N970" s="2" t="s">
        <v>60</v>
      </c>
      <c r="O970" s="2">
        <v>1.10751038E8</v>
      </c>
      <c r="P970" s="15"/>
      <c r="Q970" s="8">
        <v>2025.0</v>
      </c>
      <c r="R970" s="8" t="s">
        <v>3038</v>
      </c>
    </row>
    <row r="971">
      <c r="A971" s="4" t="s">
        <v>18</v>
      </c>
      <c r="B971" s="2" t="s">
        <v>3497</v>
      </c>
      <c r="C971" s="5">
        <v>45943.0</v>
      </c>
      <c r="D971" s="5">
        <v>45943.0</v>
      </c>
      <c r="E971" s="4" t="s">
        <v>3498</v>
      </c>
      <c r="F971" s="9"/>
      <c r="G971" s="6"/>
      <c r="H971" s="7">
        <v>436.0</v>
      </c>
      <c r="I971" s="11">
        <v>83526.56</v>
      </c>
      <c r="K971" s="12" t="str">
        <f t="shared" si="132"/>
        <v>SL1610</v>
      </c>
      <c r="L971" s="2" t="s">
        <v>3499</v>
      </c>
      <c r="M971" s="2" t="s">
        <v>24</v>
      </c>
      <c r="N971" s="2" t="s">
        <v>60</v>
      </c>
      <c r="O971" s="2">
        <v>1.10751038E8</v>
      </c>
      <c r="P971" s="15"/>
      <c r="Q971" s="8">
        <v>2025.0</v>
      </c>
      <c r="R971" s="8" t="s">
        <v>3038</v>
      </c>
    </row>
    <row r="972">
      <c r="A972" s="4" t="s">
        <v>18</v>
      </c>
      <c r="B972" s="2" t="s">
        <v>3500</v>
      </c>
      <c r="C972" s="5">
        <v>45943.0</v>
      </c>
      <c r="D972" s="5">
        <v>45943.0</v>
      </c>
      <c r="E972" s="4" t="s">
        <v>3501</v>
      </c>
      <c r="F972" s="9"/>
      <c r="G972" s="6"/>
      <c r="H972" s="11">
        <v>1000.0</v>
      </c>
      <c r="I972" s="11">
        <v>84526.56</v>
      </c>
      <c r="K972" s="12" t="str">
        <f t="shared" si="132"/>
        <v>UN3668</v>
      </c>
      <c r="L972" s="2" t="s">
        <v>3502</v>
      </c>
      <c r="M972" s="2" t="s">
        <v>24</v>
      </c>
      <c r="N972" s="2" t="s">
        <v>60</v>
      </c>
      <c r="O972" s="2">
        <v>1.10751038E8</v>
      </c>
      <c r="P972" s="15"/>
      <c r="Q972" s="8">
        <v>2025.0</v>
      </c>
      <c r="R972" s="8" t="s">
        <v>3038</v>
      </c>
    </row>
    <row r="973">
      <c r="A973" s="4" t="s">
        <v>18</v>
      </c>
      <c r="B973" s="2" t="s">
        <v>3503</v>
      </c>
      <c r="C973" s="5">
        <v>45943.0</v>
      </c>
      <c r="D973" s="5">
        <v>45943.0</v>
      </c>
      <c r="E973" s="4" t="s">
        <v>3504</v>
      </c>
      <c r="F973" s="9"/>
      <c r="G973" s="6"/>
      <c r="H973" s="7">
        <v>404.0</v>
      </c>
      <c r="I973" s="11">
        <v>84930.56</v>
      </c>
      <c r="K973" s="12" t="str">
        <f t="shared" si="132"/>
        <v>SL1610</v>
      </c>
      <c r="L973" s="2" t="s">
        <v>3505</v>
      </c>
      <c r="M973" s="2" t="s">
        <v>24</v>
      </c>
      <c r="N973" s="2" t="s">
        <v>60</v>
      </c>
      <c r="O973" s="2">
        <v>1.10751038E8</v>
      </c>
      <c r="P973" s="15"/>
      <c r="Q973" s="8">
        <v>2025.0</v>
      </c>
      <c r="R973" s="8" t="s">
        <v>3038</v>
      </c>
    </row>
    <row r="974">
      <c r="A974" s="4" t="s">
        <v>18</v>
      </c>
      <c r="B974" s="2" t="s">
        <v>3506</v>
      </c>
      <c r="C974" s="5">
        <v>45943.0</v>
      </c>
      <c r="D974" s="5">
        <v>45943.0</v>
      </c>
      <c r="E974" s="4" t="s">
        <v>3507</v>
      </c>
      <c r="F974" s="9"/>
      <c r="G974" s="6"/>
      <c r="H974" s="7">
        <v>285.0</v>
      </c>
      <c r="I974" s="11">
        <v>85215.56</v>
      </c>
      <c r="K974" s="12" t="str">
        <f t="shared" si="132"/>
        <v>UN3668</v>
      </c>
      <c r="L974" s="2" t="s">
        <v>3508</v>
      </c>
      <c r="M974" s="2" t="s">
        <v>24</v>
      </c>
      <c r="N974" s="2" t="s">
        <v>60</v>
      </c>
      <c r="O974" s="2">
        <v>1.10751038E8</v>
      </c>
      <c r="P974" s="15"/>
      <c r="Q974" s="8">
        <v>2025.0</v>
      </c>
      <c r="R974" s="8" t="s">
        <v>3038</v>
      </c>
    </row>
    <row r="975">
      <c r="A975" s="4" t="s">
        <v>18</v>
      </c>
      <c r="B975" s="2" t="s">
        <v>3509</v>
      </c>
      <c r="C975" s="5">
        <v>45943.0</v>
      </c>
      <c r="D975" s="5">
        <v>45943.0</v>
      </c>
      <c r="E975" s="4" t="s">
        <v>3510</v>
      </c>
      <c r="F975" s="9"/>
      <c r="G975" s="7">
        <v>77.0</v>
      </c>
      <c r="H975" s="6"/>
      <c r="I975" s="11">
        <v>85138.56</v>
      </c>
      <c r="K975" s="2" t="s">
        <v>119</v>
      </c>
      <c r="M975" s="2" t="s">
        <v>114</v>
      </c>
      <c r="N975" s="2" t="s">
        <v>1835</v>
      </c>
      <c r="O975" s="2">
        <v>1.10751038E8</v>
      </c>
      <c r="Q975" s="8">
        <v>2025.0</v>
      </c>
      <c r="R975" s="8" t="s">
        <v>3038</v>
      </c>
    </row>
    <row r="976">
      <c r="A976" s="4" t="s">
        <v>18</v>
      </c>
      <c r="B976" s="2" t="s">
        <v>3511</v>
      </c>
      <c r="C976" s="5">
        <v>45943.0</v>
      </c>
      <c r="D976" s="5">
        <v>45943.0</v>
      </c>
      <c r="E976" s="4" t="s">
        <v>3512</v>
      </c>
      <c r="F976" s="9"/>
      <c r="G976" s="7">
        <v>350.0</v>
      </c>
      <c r="H976" s="6"/>
      <c r="I976" s="11">
        <v>84788.56</v>
      </c>
      <c r="J976" s="2" t="s">
        <v>3513</v>
      </c>
      <c r="K976" s="2" t="s">
        <v>127</v>
      </c>
      <c r="M976" s="2" t="s">
        <v>114</v>
      </c>
      <c r="N976" s="2" t="s">
        <v>478</v>
      </c>
      <c r="O976" s="2">
        <v>1.10751038E8</v>
      </c>
      <c r="Q976" s="8">
        <v>2025.0</v>
      </c>
      <c r="R976" s="8" t="s">
        <v>3038</v>
      </c>
    </row>
    <row r="977">
      <c r="A977" s="4" t="s">
        <v>18</v>
      </c>
      <c r="B977" s="2" t="s">
        <v>3514</v>
      </c>
      <c r="C977" s="5">
        <v>45943.0</v>
      </c>
      <c r="D977" s="5">
        <v>45943.0</v>
      </c>
      <c r="E977" s="4" t="s">
        <v>3515</v>
      </c>
      <c r="F977" s="9"/>
      <c r="G977" s="11">
        <v>4000.0</v>
      </c>
      <c r="H977" s="6"/>
      <c r="I977" s="11">
        <v>80788.56</v>
      </c>
      <c r="J977" s="2" t="s">
        <v>3516</v>
      </c>
      <c r="K977" s="2" t="s">
        <v>23</v>
      </c>
      <c r="M977" s="2" t="s">
        <v>114</v>
      </c>
      <c r="N977" s="2" t="s">
        <v>1835</v>
      </c>
      <c r="O977" s="2">
        <v>1.10751038E8</v>
      </c>
      <c r="Q977" s="8">
        <v>2025.0</v>
      </c>
      <c r="R977" s="8" t="s">
        <v>3038</v>
      </c>
    </row>
    <row r="978">
      <c r="A978" s="4" t="s">
        <v>18</v>
      </c>
      <c r="B978" s="2" t="s">
        <v>3517</v>
      </c>
      <c r="C978" s="5">
        <v>45943.0</v>
      </c>
      <c r="D978" s="5">
        <v>45943.0</v>
      </c>
      <c r="E978" s="4" t="s">
        <v>3518</v>
      </c>
      <c r="F978" s="9"/>
      <c r="G978" s="11">
        <v>2400.0</v>
      </c>
      <c r="H978" s="6"/>
      <c r="I978" s="11">
        <v>78388.56</v>
      </c>
      <c r="K978" s="2" t="s">
        <v>127</v>
      </c>
      <c r="M978" s="2" t="s">
        <v>114</v>
      </c>
      <c r="N978" s="2" t="s">
        <v>3519</v>
      </c>
      <c r="O978" s="2">
        <v>1.10751038E8</v>
      </c>
      <c r="Q978" s="8">
        <v>2025.0</v>
      </c>
      <c r="R978" s="8" t="s">
        <v>3038</v>
      </c>
    </row>
    <row r="979">
      <c r="A979" s="4" t="s">
        <v>18</v>
      </c>
      <c r="B979" s="2" t="s">
        <v>3520</v>
      </c>
      <c r="C979" s="5">
        <v>45943.0</v>
      </c>
      <c r="D979" s="5">
        <v>45943.0</v>
      </c>
      <c r="E979" s="4" t="s">
        <v>3521</v>
      </c>
      <c r="F979" s="9"/>
      <c r="G979" s="11">
        <v>4876.0</v>
      </c>
      <c r="H979" s="6"/>
      <c r="I979" s="11">
        <v>73512.56</v>
      </c>
      <c r="K979" s="2" t="s">
        <v>123</v>
      </c>
      <c r="M979" s="2" t="s">
        <v>114</v>
      </c>
      <c r="N979" s="2" t="s">
        <v>275</v>
      </c>
      <c r="O979" s="2">
        <v>1.10751038E8</v>
      </c>
      <c r="Q979" s="8">
        <v>2025.0</v>
      </c>
      <c r="R979" s="8" t="s">
        <v>3038</v>
      </c>
    </row>
    <row r="980">
      <c r="A980" s="4" t="s">
        <v>18</v>
      </c>
      <c r="B980" s="2" t="s">
        <v>3522</v>
      </c>
      <c r="C980" s="5">
        <v>45943.0</v>
      </c>
      <c r="D980" s="5">
        <v>45943.0</v>
      </c>
      <c r="E980" s="4" t="s">
        <v>3523</v>
      </c>
      <c r="F980" s="9"/>
      <c r="G980" s="11">
        <v>1765.28</v>
      </c>
      <c r="H980" s="6"/>
      <c r="I980" s="11">
        <v>71747.28</v>
      </c>
      <c r="K980" s="2" t="s">
        <v>23</v>
      </c>
      <c r="M980" s="2" t="s">
        <v>114</v>
      </c>
      <c r="N980" s="2" t="s">
        <v>1351</v>
      </c>
      <c r="O980" s="2">
        <v>1.10751038E8</v>
      </c>
      <c r="Q980" s="8">
        <v>2025.0</v>
      </c>
      <c r="R980" s="8" t="s">
        <v>3038</v>
      </c>
    </row>
    <row r="981">
      <c r="A981" s="4" t="s">
        <v>18</v>
      </c>
      <c r="B981" s="2" t="s">
        <v>3524</v>
      </c>
      <c r="C981" s="5">
        <v>45944.0</v>
      </c>
      <c r="D981" s="5">
        <v>45944.0</v>
      </c>
      <c r="E981" s="4" t="s">
        <v>3525</v>
      </c>
      <c r="F981" s="9"/>
      <c r="G981" s="11">
        <v>1200.0</v>
      </c>
      <c r="H981" s="6"/>
      <c r="I981" s="11">
        <v>70547.28</v>
      </c>
      <c r="J981" s="2" t="s">
        <v>3526</v>
      </c>
      <c r="K981" s="2" t="s">
        <v>123</v>
      </c>
      <c r="M981" s="2" t="s">
        <v>114</v>
      </c>
      <c r="N981" s="2" t="s">
        <v>169</v>
      </c>
      <c r="O981" s="2">
        <v>1.10751038E8</v>
      </c>
      <c r="Q981" s="8">
        <v>2025.0</v>
      </c>
      <c r="R981" s="8" t="s">
        <v>3038</v>
      </c>
    </row>
    <row r="982">
      <c r="A982" s="4" t="s">
        <v>18</v>
      </c>
      <c r="B982" s="2" t="s">
        <v>3527</v>
      </c>
      <c r="C982" s="5">
        <v>45944.0</v>
      </c>
      <c r="D982" s="5">
        <v>45944.0</v>
      </c>
      <c r="E982" s="4" t="s">
        <v>3528</v>
      </c>
      <c r="F982" s="9"/>
      <c r="G982" s="6"/>
      <c r="H982" s="11">
        <v>1128.0</v>
      </c>
      <c r="I982" s="11">
        <v>71675.28</v>
      </c>
      <c r="K982" s="12" t="str">
        <f>RIGHT(E982,6)</f>
        <v>SC3567</v>
      </c>
      <c r="L982" s="2" t="s">
        <v>3529</v>
      </c>
      <c r="M982" s="2" t="s">
        <v>24</v>
      </c>
      <c r="N982" s="2" t="s">
        <v>60</v>
      </c>
      <c r="O982" s="2">
        <v>1.10751038E8</v>
      </c>
      <c r="P982" s="15"/>
      <c r="Q982" s="8">
        <v>2025.0</v>
      </c>
      <c r="R982" s="8" t="s">
        <v>3038</v>
      </c>
    </row>
    <row r="983">
      <c r="A983" s="4" t="s">
        <v>18</v>
      </c>
      <c r="B983" s="2" t="s">
        <v>3530</v>
      </c>
      <c r="C983" s="5">
        <v>45944.0</v>
      </c>
      <c r="D983" s="5">
        <v>45944.0</v>
      </c>
      <c r="E983" s="4" t="s">
        <v>3531</v>
      </c>
      <c r="F983" s="9"/>
      <c r="G983" s="11">
        <v>1000.0</v>
      </c>
      <c r="H983" s="6"/>
      <c r="I983" s="11">
        <v>70675.28</v>
      </c>
      <c r="J983" s="2" t="s">
        <v>3532</v>
      </c>
      <c r="K983" s="2" t="s">
        <v>113</v>
      </c>
      <c r="M983" s="2" t="s">
        <v>114</v>
      </c>
      <c r="N983" s="2" t="s">
        <v>169</v>
      </c>
      <c r="O983" s="2">
        <v>1.10751038E8</v>
      </c>
      <c r="Q983" s="8">
        <v>2025.0</v>
      </c>
      <c r="R983" s="8" t="s">
        <v>3038</v>
      </c>
    </row>
    <row r="984">
      <c r="A984" s="4" t="s">
        <v>18</v>
      </c>
      <c r="B984" s="2" t="s">
        <v>3533</v>
      </c>
      <c r="C984" s="5">
        <v>45944.0</v>
      </c>
      <c r="D984" s="5">
        <v>45944.0</v>
      </c>
      <c r="E984" s="4" t="s">
        <v>3534</v>
      </c>
      <c r="F984" s="9"/>
      <c r="G984" s="6"/>
      <c r="H984" s="7">
        <v>1400.0</v>
      </c>
      <c r="I984" s="11">
        <v>72075.28</v>
      </c>
      <c r="K984" s="12" t="str">
        <f t="shared" ref="K984:K985" si="133">RIGHT(E984,6)</f>
        <v>KN3817</v>
      </c>
      <c r="L984" s="2" t="s">
        <v>3535</v>
      </c>
      <c r="M984" s="2" t="s">
        <v>24</v>
      </c>
      <c r="N984" s="2" t="s">
        <v>60</v>
      </c>
      <c r="O984" s="2">
        <v>1.10751038E8</v>
      </c>
      <c r="P984" s="15"/>
      <c r="Q984" s="8">
        <v>2025.0</v>
      </c>
      <c r="R984" s="8" t="s">
        <v>3038</v>
      </c>
    </row>
    <row r="985">
      <c r="A985" s="4" t="s">
        <v>18</v>
      </c>
      <c r="B985" s="2" t="s">
        <v>3536</v>
      </c>
      <c r="C985" s="5">
        <v>45944.0</v>
      </c>
      <c r="D985" s="5">
        <v>45944.0</v>
      </c>
      <c r="E985" s="4" t="s">
        <v>3537</v>
      </c>
      <c r="F985" s="9"/>
      <c r="G985" s="6"/>
      <c r="H985" s="7">
        <v>450.0</v>
      </c>
      <c r="I985" s="11">
        <v>72525.28</v>
      </c>
      <c r="K985" s="12" t="str">
        <f t="shared" si="133"/>
        <v>KN3817</v>
      </c>
      <c r="L985" s="2" t="s">
        <v>3538</v>
      </c>
      <c r="M985" s="2" t="s">
        <v>24</v>
      </c>
      <c r="N985" s="2" t="s">
        <v>60</v>
      </c>
      <c r="O985" s="2">
        <v>1.10751038E8</v>
      </c>
      <c r="P985" s="15"/>
      <c r="Q985" s="8">
        <v>2025.0</v>
      </c>
      <c r="R985" s="8" t="s">
        <v>3038</v>
      </c>
    </row>
    <row r="986">
      <c r="A986" s="4" t="s">
        <v>18</v>
      </c>
      <c r="B986" s="2" t="s">
        <v>3539</v>
      </c>
      <c r="C986" s="5">
        <v>45944.0</v>
      </c>
      <c r="D986" s="5">
        <v>45944.0</v>
      </c>
      <c r="E986" s="4" t="s">
        <v>3540</v>
      </c>
      <c r="F986" s="9"/>
      <c r="G986" s="11">
        <v>1000.0</v>
      </c>
      <c r="H986" s="6"/>
      <c r="I986" s="11">
        <v>71525.28</v>
      </c>
      <c r="J986" s="2" t="s">
        <v>3541</v>
      </c>
      <c r="K986" s="2" t="s">
        <v>127</v>
      </c>
      <c r="M986" s="2" t="s">
        <v>114</v>
      </c>
      <c r="N986" s="2" t="s">
        <v>169</v>
      </c>
      <c r="O986" s="2">
        <v>1.10751038E8</v>
      </c>
      <c r="Q986" s="8">
        <v>2025.0</v>
      </c>
      <c r="R986" s="8" t="s">
        <v>3038</v>
      </c>
    </row>
    <row r="987">
      <c r="A987" s="4" t="s">
        <v>18</v>
      </c>
      <c r="B987" s="2" t="s">
        <v>3542</v>
      </c>
      <c r="C987" s="5">
        <v>45944.0</v>
      </c>
      <c r="D987" s="5">
        <v>45944.0</v>
      </c>
      <c r="E987" s="4" t="s">
        <v>3543</v>
      </c>
      <c r="F987" s="9"/>
      <c r="G987" s="6"/>
      <c r="H987" s="7">
        <v>334.0</v>
      </c>
      <c r="I987" s="11">
        <v>71859.28</v>
      </c>
      <c r="K987" s="12" t="str">
        <f>RIGHT(E987,6)</f>
        <v>UN3668</v>
      </c>
      <c r="L987" s="2" t="s">
        <v>3544</v>
      </c>
      <c r="M987" s="2" t="s">
        <v>24</v>
      </c>
      <c r="N987" s="2" t="s">
        <v>60</v>
      </c>
      <c r="O987" s="2">
        <v>1.10751038E8</v>
      </c>
      <c r="P987" s="15"/>
      <c r="Q987" s="8">
        <v>2025.0</v>
      </c>
      <c r="R987" s="8" t="s">
        <v>3038</v>
      </c>
    </row>
    <row r="988">
      <c r="A988" s="4" t="s">
        <v>18</v>
      </c>
      <c r="B988" s="2" t="s">
        <v>3545</v>
      </c>
      <c r="C988" s="5">
        <v>45944.0</v>
      </c>
      <c r="D988" s="5">
        <v>45944.0</v>
      </c>
      <c r="E988" s="4" t="s">
        <v>3546</v>
      </c>
      <c r="F988" s="9"/>
      <c r="G988" s="7">
        <v>480.9</v>
      </c>
      <c r="H988" s="6"/>
      <c r="I988" s="11">
        <v>71378.38</v>
      </c>
      <c r="J988" s="2" t="s">
        <v>3547</v>
      </c>
      <c r="K988" s="2" t="s">
        <v>23</v>
      </c>
      <c r="M988" s="2" t="s">
        <v>114</v>
      </c>
      <c r="N988" s="2" t="s">
        <v>1351</v>
      </c>
      <c r="O988" s="2">
        <v>1.10751038E8</v>
      </c>
      <c r="Q988" s="8">
        <v>2025.0</v>
      </c>
      <c r="R988" s="8" t="s">
        <v>3038</v>
      </c>
    </row>
    <row r="989">
      <c r="A989" s="4" t="s">
        <v>18</v>
      </c>
      <c r="B989" s="2" t="s">
        <v>3548</v>
      </c>
      <c r="C989" s="5">
        <v>45944.0</v>
      </c>
      <c r="D989" s="5">
        <v>45944.0</v>
      </c>
      <c r="E989" s="4" t="s">
        <v>3549</v>
      </c>
      <c r="F989" s="9"/>
      <c r="G989" s="11">
        <v>1533.0</v>
      </c>
      <c r="H989" s="6"/>
      <c r="I989" s="11">
        <v>69845.38</v>
      </c>
      <c r="J989" s="23" t="s">
        <v>3550</v>
      </c>
      <c r="K989" s="2" t="s">
        <v>23</v>
      </c>
      <c r="M989" s="2" t="s">
        <v>114</v>
      </c>
      <c r="N989" s="2" t="s">
        <v>1476</v>
      </c>
      <c r="O989" s="2">
        <v>1.10751038E8</v>
      </c>
      <c r="Q989" s="8">
        <v>2025.0</v>
      </c>
      <c r="R989" s="8" t="s">
        <v>3038</v>
      </c>
    </row>
    <row r="990">
      <c r="A990" s="4" t="s">
        <v>18</v>
      </c>
      <c r="B990" s="2" t="s">
        <v>3551</v>
      </c>
      <c r="C990" s="5">
        <v>45944.0</v>
      </c>
      <c r="D990" s="5">
        <v>45944.0</v>
      </c>
      <c r="E990" s="4" t="s">
        <v>3552</v>
      </c>
      <c r="F990" s="9"/>
      <c r="G990" s="6"/>
      <c r="H990" s="7">
        <v>712.0</v>
      </c>
      <c r="I990" s="11">
        <v>70557.38</v>
      </c>
      <c r="K990" s="12" t="str">
        <f t="shared" ref="K990:K991" si="134">RIGHT(E990,6)</f>
        <v>UN3668</v>
      </c>
      <c r="L990" s="2" t="s">
        <v>3553</v>
      </c>
      <c r="M990" s="2" t="s">
        <v>24</v>
      </c>
      <c r="N990" s="2" t="s">
        <v>60</v>
      </c>
      <c r="O990" s="2">
        <v>1.10751038E8</v>
      </c>
      <c r="P990" s="15"/>
      <c r="Q990" s="8">
        <v>2025.0</v>
      </c>
      <c r="R990" s="8" t="s">
        <v>3038</v>
      </c>
    </row>
    <row r="991">
      <c r="A991" s="4" t="s">
        <v>18</v>
      </c>
      <c r="B991" s="2" t="s">
        <v>3554</v>
      </c>
      <c r="C991" s="5">
        <v>45944.0</v>
      </c>
      <c r="D991" s="5">
        <v>45944.0</v>
      </c>
      <c r="E991" s="4" t="s">
        <v>3555</v>
      </c>
      <c r="F991" s="9"/>
      <c r="G991" s="6"/>
      <c r="H991" s="7">
        <v>360.0</v>
      </c>
      <c r="I991" s="11">
        <v>70917.38</v>
      </c>
      <c r="K991" s="12" t="str">
        <f t="shared" si="134"/>
        <v>UN3668</v>
      </c>
      <c r="L991" s="2" t="s">
        <v>3556</v>
      </c>
      <c r="M991" s="2" t="s">
        <v>24</v>
      </c>
      <c r="N991" s="2" t="s">
        <v>60</v>
      </c>
      <c r="O991" s="2">
        <v>1.10751038E8</v>
      </c>
      <c r="P991" s="15"/>
      <c r="Q991" s="8">
        <v>2025.0</v>
      </c>
      <c r="R991" s="8" t="s">
        <v>3038</v>
      </c>
    </row>
    <row r="992">
      <c r="A992" s="4" t="s">
        <v>18</v>
      </c>
      <c r="B992" s="2" t="s">
        <v>3557</v>
      </c>
      <c r="C992" s="5">
        <v>45944.0</v>
      </c>
      <c r="D992" s="5">
        <v>45944.0</v>
      </c>
      <c r="E992" s="4" t="s">
        <v>3558</v>
      </c>
      <c r="F992" s="9"/>
      <c r="G992" s="11">
        <v>1635.0</v>
      </c>
      <c r="H992" s="6"/>
      <c r="I992" s="11">
        <v>69282.38</v>
      </c>
      <c r="K992" s="2" t="s">
        <v>113</v>
      </c>
      <c r="M992" s="2" t="s">
        <v>114</v>
      </c>
      <c r="N992" s="2" t="s">
        <v>1800</v>
      </c>
      <c r="O992" s="2">
        <v>1.10751038E8</v>
      </c>
      <c r="Q992" s="8">
        <v>2025.0</v>
      </c>
      <c r="R992" s="8" t="s">
        <v>3038</v>
      </c>
    </row>
    <row r="993">
      <c r="A993" s="4" t="s">
        <v>18</v>
      </c>
      <c r="B993" s="2" t="s">
        <v>3559</v>
      </c>
      <c r="C993" s="5">
        <v>45944.0</v>
      </c>
      <c r="D993" s="5">
        <v>45944.0</v>
      </c>
      <c r="E993" s="4" t="s">
        <v>3560</v>
      </c>
      <c r="F993" s="9"/>
      <c r="G993" s="6"/>
      <c r="H993" s="7">
        <v>852.0</v>
      </c>
      <c r="I993" s="11">
        <v>70134.38</v>
      </c>
      <c r="K993" s="12" t="str">
        <f>RIGHT(E993,6)</f>
        <v>UN3668</v>
      </c>
      <c r="L993" s="2" t="s">
        <v>3561</v>
      </c>
      <c r="M993" s="2" t="s">
        <v>24</v>
      </c>
      <c r="N993" s="2" t="s">
        <v>60</v>
      </c>
      <c r="O993" s="2">
        <v>1.10751038E8</v>
      </c>
      <c r="P993" s="15"/>
      <c r="Q993" s="8">
        <v>2025.0</v>
      </c>
      <c r="R993" s="8" t="s">
        <v>3038</v>
      </c>
    </row>
    <row r="994">
      <c r="A994" s="4" t="s">
        <v>18</v>
      </c>
      <c r="B994" s="2" t="s">
        <v>3562</v>
      </c>
      <c r="C994" s="5">
        <v>45944.0</v>
      </c>
      <c r="D994" s="5">
        <v>45944.0</v>
      </c>
      <c r="E994" s="4" t="s">
        <v>3563</v>
      </c>
      <c r="F994" s="9"/>
      <c r="G994" s="7">
        <v>700.0</v>
      </c>
      <c r="H994" s="6"/>
      <c r="I994" s="11">
        <v>69434.38</v>
      </c>
      <c r="K994" s="2" t="s">
        <v>127</v>
      </c>
      <c r="M994" s="2" t="s">
        <v>114</v>
      </c>
      <c r="N994" s="2" t="s">
        <v>1835</v>
      </c>
      <c r="O994" s="2">
        <v>1.10751038E8</v>
      </c>
      <c r="Q994" s="8">
        <v>2025.0</v>
      </c>
      <c r="R994" s="8" t="s">
        <v>3038</v>
      </c>
    </row>
    <row r="995">
      <c r="A995" s="4" t="s">
        <v>18</v>
      </c>
      <c r="B995" s="2" t="s">
        <v>3564</v>
      </c>
      <c r="C995" s="5">
        <v>45944.0</v>
      </c>
      <c r="D995" s="5">
        <v>45944.0</v>
      </c>
      <c r="E995" s="4" t="s">
        <v>3565</v>
      </c>
      <c r="F995" s="9"/>
      <c r="G995" s="6"/>
      <c r="H995" s="7">
        <v>250.0</v>
      </c>
      <c r="I995" s="11">
        <v>69684.38</v>
      </c>
      <c r="K995" s="12" t="str">
        <f t="shared" ref="K995:K998" si="135">RIGHT(E995,6)</f>
        <v>KN3817</v>
      </c>
      <c r="L995" s="2" t="s">
        <v>3566</v>
      </c>
      <c r="M995" s="2" t="s">
        <v>24</v>
      </c>
      <c r="N995" s="2" t="s">
        <v>60</v>
      </c>
      <c r="O995" s="2">
        <v>1.10751038E8</v>
      </c>
      <c r="P995" s="15"/>
      <c r="Q995" s="8">
        <v>2025.0</v>
      </c>
      <c r="R995" s="8" t="s">
        <v>3038</v>
      </c>
    </row>
    <row r="996">
      <c r="A996" s="4" t="s">
        <v>18</v>
      </c>
      <c r="B996" s="2" t="s">
        <v>3567</v>
      </c>
      <c r="C996" s="5">
        <v>45945.0</v>
      </c>
      <c r="D996" s="5">
        <v>45945.0</v>
      </c>
      <c r="E996" s="4" t="s">
        <v>3568</v>
      </c>
      <c r="F996" s="9"/>
      <c r="G996" s="6"/>
      <c r="H996" s="7">
        <v>570.0</v>
      </c>
      <c r="I996" s="11">
        <v>70254.38</v>
      </c>
      <c r="K996" s="12" t="str">
        <f t="shared" si="135"/>
        <v>UN3668</v>
      </c>
      <c r="L996" s="2" t="s">
        <v>3569</v>
      </c>
      <c r="M996" s="2" t="s">
        <v>24</v>
      </c>
      <c r="N996" s="2" t="s">
        <v>60</v>
      </c>
      <c r="O996" s="2">
        <v>1.10751038E8</v>
      </c>
      <c r="P996" s="15"/>
      <c r="Q996" s="8">
        <v>2025.0</v>
      </c>
      <c r="R996" s="8" t="s">
        <v>3038</v>
      </c>
    </row>
    <row r="997">
      <c r="A997" s="4" t="s">
        <v>18</v>
      </c>
      <c r="B997" s="2" t="s">
        <v>3570</v>
      </c>
      <c r="C997" s="5">
        <v>45945.0</v>
      </c>
      <c r="D997" s="5">
        <v>45945.0</v>
      </c>
      <c r="E997" s="4" t="s">
        <v>3571</v>
      </c>
      <c r="F997" s="9"/>
      <c r="G997" s="6"/>
      <c r="H997" s="7">
        <v>250.0</v>
      </c>
      <c r="I997" s="11">
        <v>70504.38</v>
      </c>
      <c r="K997" s="12" t="str">
        <f t="shared" si="135"/>
        <v>SC3567</v>
      </c>
      <c r="L997" s="2" t="s">
        <v>3572</v>
      </c>
      <c r="M997" s="2" t="s">
        <v>24</v>
      </c>
      <c r="N997" s="2" t="s">
        <v>60</v>
      </c>
      <c r="O997" s="2">
        <v>1.10751038E8</v>
      </c>
      <c r="P997" s="15"/>
      <c r="Q997" s="8">
        <v>2025.0</v>
      </c>
      <c r="R997" s="8" t="s">
        <v>3038</v>
      </c>
    </row>
    <row r="998">
      <c r="A998" s="4" t="s">
        <v>18</v>
      </c>
      <c r="B998" s="2" t="s">
        <v>3573</v>
      </c>
      <c r="C998" s="5">
        <v>45945.0</v>
      </c>
      <c r="D998" s="5">
        <v>45945.0</v>
      </c>
      <c r="E998" s="4" t="s">
        <v>3574</v>
      </c>
      <c r="F998" s="9"/>
      <c r="G998" s="6"/>
      <c r="H998" s="7">
        <v>400.0</v>
      </c>
      <c r="I998" s="11">
        <v>70904.38</v>
      </c>
      <c r="K998" s="12" t="str">
        <f t="shared" si="135"/>
        <v>UN3668</v>
      </c>
      <c r="L998" s="2" t="s">
        <v>3575</v>
      </c>
      <c r="M998" s="2" t="s">
        <v>24</v>
      </c>
      <c r="N998" s="2" t="s">
        <v>60</v>
      </c>
      <c r="O998" s="2">
        <v>1.10751038E8</v>
      </c>
      <c r="P998" s="15"/>
      <c r="Q998" s="8">
        <v>2025.0</v>
      </c>
      <c r="R998" s="8" t="s">
        <v>3038</v>
      </c>
    </row>
    <row r="999">
      <c r="A999" s="4" t="s">
        <v>18</v>
      </c>
      <c r="B999" s="2" t="s">
        <v>3576</v>
      </c>
      <c r="C999" s="5">
        <v>45946.0</v>
      </c>
      <c r="D999" s="5">
        <v>45946.0</v>
      </c>
      <c r="E999" s="24" t="s">
        <v>3577</v>
      </c>
      <c r="F999" s="13"/>
      <c r="G999" s="25">
        <v>13040.0</v>
      </c>
      <c r="H999" s="26"/>
      <c r="I999" s="25">
        <v>57864.38</v>
      </c>
      <c r="K999" s="2" t="s">
        <v>119</v>
      </c>
      <c r="M999" s="2" t="s">
        <v>114</v>
      </c>
      <c r="N999" s="2" t="s">
        <v>220</v>
      </c>
      <c r="O999" s="2">
        <v>1.10751038E8</v>
      </c>
      <c r="Q999" s="8">
        <v>2025.0</v>
      </c>
      <c r="R999" s="8" t="s">
        <v>3038</v>
      </c>
    </row>
    <row r="1000">
      <c r="A1000" s="4" t="s">
        <v>18</v>
      </c>
      <c r="B1000" s="2" t="s">
        <v>3578</v>
      </c>
      <c r="C1000" s="5">
        <v>45946.0</v>
      </c>
      <c r="D1000" s="5">
        <v>45946.0</v>
      </c>
      <c r="E1000" s="24" t="s">
        <v>3579</v>
      </c>
      <c r="F1000" s="13"/>
      <c r="G1000" s="25">
        <v>1800.0</v>
      </c>
      <c r="H1000" s="26"/>
      <c r="I1000" s="25">
        <v>56064.38</v>
      </c>
      <c r="J1000" s="2" t="s">
        <v>3580</v>
      </c>
      <c r="K1000" s="2" t="s">
        <v>119</v>
      </c>
      <c r="M1000" s="2" t="s">
        <v>114</v>
      </c>
      <c r="N1000" s="2" t="s">
        <v>169</v>
      </c>
      <c r="O1000" s="2">
        <v>1.10751038E8</v>
      </c>
      <c r="Q1000" s="8">
        <v>2025.0</v>
      </c>
      <c r="R1000" s="8" t="s">
        <v>3038</v>
      </c>
    </row>
    <row r="1001">
      <c r="A1001" s="4" t="s">
        <v>18</v>
      </c>
      <c r="B1001" s="2" t="s">
        <v>3581</v>
      </c>
      <c r="C1001" s="5">
        <v>45946.0</v>
      </c>
      <c r="D1001" s="5">
        <v>45946.0</v>
      </c>
      <c r="E1001" s="24" t="s">
        <v>3582</v>
      </c>
      <c r="F1001" s="13"/>
      <c r="G1001" s="26"/>
      <c r="H1001" s="25">
        <v>1114.0</v>
      </c>
      <c r="I1001" s="25">
        <v>57178.38</v>
      </c>
      <c r="K1001" s="12" t="str">
        <f t="shared" ref="K1001:K1010" si="136">RIGHT(E1001,6)</f>
        <v>SL1610</v>
      </c>
      <c r="L1001" s="2" t="s">
        <v>3583</v>
      </c>
      <c r="M1001" s="2" t="s">
        <v>24</v>
      </c>
      <c r="N1001" s="2" t="s">
        <v>60</v>
      </c>
      <c r="O1001" s="2">
        <v>1.10751038E8</v>
      </c>
      <c r="P1001" s="15"/>
      <c r="Q1001" s="8">
        <v>2025.0</v>
      </c>
      <c r="R1001" s="8" t="s">
        <v>3038</v>
      </c>
    </row>
    <row r="1002">
      <c r="A1002" s="4" t="s">
        <v>18</v>
      </c>
      <c r="B1002" s="2" t="s">
        <v>3584</v>
      </c>
      <c r="C1002" s="5">
        <v>45946.0</v>
      </c>
      <c r="D1002" s="5">
        <v>45946.0</v>
      </c>
      <c r="E1002" s="24" t="s">
        <v>3585</v>
      </c>
      <c r="F1002" s="13"/>
      <c r="G1002" s="26"/>
      <c r="H1002" s="25">
        <v>928.0</v>
      </c>
      <c r="I1002" s="25">
        <v>58106.38</v>
      </c>
      <c r="K1002" s="12" t="str">
        <f t="shared" si="136"/>
        <v>UN3668</v>
      </c>
      <c r="L1002" s="2" t="s">
        <v>3586</v>
      </c>
      <c r="M1002" s="2" t="s">
        <v>24</v>
      </c>
      <c r="N1002" s="2" t="s">
        <v>60</v>
      </c>
      <c r="O1002" s="2">
        <v>1.10751038E8</v>
      </c>
      <c r="P1002" s="15"/>
      <c r="Q1002" s="8">
        <v>2025.0</v>
      </c>
      <c r="R1002" s="8" t="s">
        <v>3038</v>
      </c>
    </row>
    <row r="1003">
      <c r="A1003" s="4" t="s">
        <v>18</v>
      </c>
      <c r="B1003" s="2" t="s">
        <v>3587</v>
      </c>
      <c r="C1003" s="5">
        <v>45946.0</v>
      </c>
      <c r="D1003" s="5">
        <v>45946.0</v>
      </c>
      <c r="E1003" s="24" t="s">
        <v>3588</v>
      </c>
      <c r="F1003" s="13"/>
      <c r="G1003" s="26"/>
      <c r="H1003" s="25">
        <v>939.0</v>
      </c>
      <c r="I1003" s="25">
        <v>59045.38</v>
      </c>
      <c r="K1003" s="12" t="str">
        <f t="shared" si="136"/>
        <v>SL1610</v>
      </c>
      <c r="L1003" s="2" t="s">
        <v>3589</v>
      </c>
      <c r="M1003" s="2" t="s">
        <v>24</v>
      </c>
      <c r="N1003" s="2" t="s">
        <v>60</v>
      </c>
      <c r="O1003" s="2">
        <v>1.10751038E8</v>
      </c>
      <c r="P1003" s="15"/>
      <c r="Q1003" s="8">
        <v>2025.0</v>
      </c>
      <c r="R1003" s="8" t="s">
        <v>3038</v>
      </c>
    </row>
    <row r="1004">
      <c r="A1004" s="4" t="s">
        <v>18</v>
      </c>
      <c r="B1004" s="2" t="s">
        <v>3590</v>
      </c>
      <c r="C1004" s="5">
        <v>45946.0</v>
      </c>
      <c r="D1004" s="5">
        <v>45946.0</v>
      </c>
      <c r="E1004" s="24" t="s">
        <v>3591</v>
      </c>
      <c r="F1004" s="13"/>
      <c r="G1004" s="26"/>
      <c r="H1004" s="25">
        <v>250.0</v>
      </c>
      <c r="I1004" s="25">
        <v>59295.38</v>
      </c>
      <c r="K1004" s="12" t="str">
        <f t="shared" si="136"/>
        <v>UN3668</v>
      </c>
      <c r="L1004" s="2" t="s">
        <v>3592</v>
      </c>
      <c r="M1004" s="2" t="s">
        <v>24</v>
      </c>
      <c r="N1004" s="2" t="s">
        <v>60</v>
      </c>
      <c r="O1004" s="2">
        <v>1.10751038E8</v>
      </c>
      <c r="P1004" s="15"/>
      <c r="Q1004" s="8">
        <v>2025.0</v>
      </c>
      <c r="R1004" s="8" t="s">
        <v>3038</v>
      </c>
    </row>
    <row r="1005">
      <c r="A1005" s="4" t="s">
        <v>18</v>
      </c>
      <c r="B1005" s="2" t="s">
        <v>3593</v>
      </c>
      <c r="C1005" s="5">
        <v>45946.0</v>
      </c>
      <c r="D1005" s="5">
        <v>45946.0</v>
      </c>
      <c r="E1005" s="24" t="s">
        <v>3594</v>
      </c>
      <c r="F1005" s="13"/>
      <c r="G1005" s="26"/>
      <c r="H1005" s="25">
        <v>336.0</v>
      </c>
      <c r="I1005" s="25">
        <v>59631.38</v>
      </c>
      <c r="K1005" s="12" t="str">
        <f t="shared" si="136"/>
        <v>UN3668</v>
      </c>
      <c r="L1005" s="2" t="s">
        <v>3595</v>
      </c>
      <c r="M1005" s="2" t="s">
        <v>24</v>
      </c>
      <c r="N1005" s="2" t="s">
        <v>60</v>
      </c>
      <c r="O1005" s="2">
        <v>1.10751038E8</v>
      </c>
      <c r="P1005" s="15"/>
      <c r="Q1005" s="8">
        <v>2025.0</v>
      </c>
      <c r="R1005" s="8" t="s">
        <v>3038</v>
      </c>
    </row>
    <row r="1006">
      <c r="A1006" s="4" t="s">
        <v>18</v>
      </c>
      <c r="B1006" s="2" t="s">
        <v>3596</v>
      </c>
      <c r="C1006" s="5">
        <v>45946.0</v>
      </c>
      <c r="D1006" s="5">
        <v>45946.0</v>
      </c>
      <c r="E1006" s="24" t="s">
        <v>3597</v>
      </c>
      <c r="F1006" s="13"/>
      <c r="G1006" s="26"/>
      <c r="H1006" s="25">
        <v>936.0</v>
      </c>
      <c r="I1006" s="25">
        <v>60567.38</v>
      </c>
      <c r="K1006" s="12" t="str">
        <f t="shared" si="136"/>
        <v>UN3668</v>
      </c>
      <c r="L1006" s="2" t="s">
        <v>3553</v>
      </c>
      <c r="M1006" s="2" t="s">
        <v>24</v>
      </c>
      <c r="N1006" s="2" t="s">
        <v>60</v>
      </c>
      <c r="O1006" s="2">
        <v>1.10751038E8</v>
      </c>
      <c r="P1006" s="15"/>
      <c r="Q1006" s="8">
        <v>2025.0</v>
      </c>
      <c r="R1006" s="8" t="s">
        <v>3038</v>
      </c>
    </row>
    <row r="1007">
      <c r="A1007" s="4" t="s">
        <v>18</v>
      </c>
      <c r="B1007" s="2" t="s">
        <v>3598</v>
      </c>
      <c r="C1007" s="5">
        <v>45946.0</v>
      </c>
      <c r="D1007" s="5">
        <v>45946.0</v>
      </c>
      <c r="E1007" s="24" t="s">
        <v>3599</v>
      </c>
      <c r="F1007" s="13"/>
      <c r="G1007" s="26"/>
      <c r="H1007" s="25">
        <v>399.0</v>
      </c>
      <c r="I1007" s="25">
        <v>60966.38</v>
      </c>
      <c r="K1007" s="12" t="str">
        <f t="shared" si="136"/>
        <v>SL1610</v>
      </c>
      <c r="L1007" s="2" t="s">
        <v>3600</v>
      </c>
      <c r="M1007" s="2" t="s">
        <v>24</v>
      </c>
      <c r="N1007" s="2" t="s">
        <v>60</v>
      </c>
      <c r="O1007" s="2">
        <v>1.10751038E8</v>
      </c>
      <c r="P1007" s="15"/>
      <c r="Q1007" s="8">
        <v>2025.0</v>
      </c>
      <c r="R1007" s="8" t="s">
        <v>3038</v>
      </c>
    </row>
    <row r="1008">
      <c r="A1008" s="4" t="s">
        <v>18</v>
      </c>
      <c r="B1008" s="2" t="s">
        <v>3601</v>
      </c>
      <c r="C1008" s="5">
        <v>45946.0</v>
      </c>
      <c r="D1008" s="5">
        <v>45946.0</v>
      </c>
      <c r="E1008" s="24" t="s">
        <v>3602</v>
      </c>
      <c r="F1008" s="13"/>
      <c r="G1008" s="26"/>
      <c r="H1008" s="25">
        <v>756.0</v>
      </c>
      <c r="I1008" s="25">
        <v>61722.38</v>
      </c>
      <c r="K1008" s="12" t="str">
        <f t="shared" si="136"/>
        <v>SL1610</v>
      </c>
      <c r="L1008" s="2" t="s">
        <v>3603</v>
      </c>
      <c r="M1008" s="2" t="s">
        <v>24</v>
      </c>
      <c r="N1008" s="2" t="s">
        <v>60</v>
      </c>
      <c r="O1008" s="2">
        <v>1.10751038E8</v>
      </c>
      <c r="P1008" s="15"/>
      <c r="Q1008" s="8">
        <v>2025.0</v>
      </c>
      <c r="R1008" s="8" t="s">
        <v>3038</v>
      </c>
    </row>
    <row r="1009">
      <c r="A1009" s="4" t="s">
        <v>18</v>
      </c>
      <c r="B1009" s="2" t="s">
        <v>3604</v>
      </c>
      <c r="C1009" s="5">
        <v>45946.0</v>
      </c>
      <c r="D1009" s="5">
        <v>45946.0</v>
      </c>
      <c r="E1009" s="24" t="s">
        <v>3605</v>
      </c>
      <c r="F1009" s="13"/>
      <c r="G1009" s="26"/>
      <c r="H1009" s="25">
        <v>271.0</v>
      </c>
      <c r="I1009" s="25">
        <v>61993.38</v>
      </c>
      <c r="K1009" s="12" t="str">
        <f t="shared" si="136"/>
        <v>SL1610</v>
      </c>
      <c r="L1009" s="2" t="s">
        <v>3606</v>
      </c>
      <c r="M1009" s="2" t="s">
        <v>24</v>
      </c>
      <c r="N1009" s="2" t="s">
        <v>60</v>
      </c>
      <c r="O1009" s="2">
        <v>1.10751038E8</v>
      </c>
      <c r="P1009" s="15"/>
      <c r="Q1009" s="8">
        <v>2025.0</v>
      </c>
      <c r="R1009" s="8" t="s">
        <v>3038</v>
      </c>
    </row>
    <row r="1010">
      <c r="A1010" s="4" t="s">
        <v>18</v>
      </c>
      <c r="B1010" s="2" t="s">
        <v>3607</v>
      </c>
      <c r="C1010" s="5">
        <v>45947.0</v>
      </c>
      <c r="D1010" s="5">
        <v>45947.0</v>
      </c>
      <c r="E1010" s="24" t="s">
        <v>3608</v>
      </c>
      <c r="F1010" s="13"/>
      <c r="G1010" s="26"/>
      <c r="H1010" s="25">
        <v>198.0</v>
      </c>
      <c r="I1010" s="25">
        <v>62191.38</v>
      </c>
      <c r="K1010" s="12" t="str">
        <f t="shared" si="136"/>
        <v>UN3668</v>
      </c>
      <c r="L1010" s="2" t="s">
        <v>3609</v>
      </c>
      <c r="M1010" s="2" t="s">
        <v>24</v>
      </c>
      <c r="N1010" s="2" t="s">
        <v>60</v>
      </c>
      <c r="O1010" s="2">
        <v>1.10751038E8</v>
      </c>
      <c r="P1010" s="15"/>
      <c r="Q1010" s="8">
        <v>2025.0</v>
      </c>
      <c r="R1010" s="8" t="s">
        <v>3038</v>
      </c>
    </row>
    <row r="1011">
      <c r="A1011" s="4" t="s">
        <v>18</v>
      </c>
      <c r="B1011" s="2" t="s">
        <v>3610</v>
      </c>
      <c r="C1011" s="5">
        <v>45947.0</v>
      </c>
      <c r="D1011" s="5">
        <v>45947.0</v>
      </c>
      <c r="E1011" s="24" t="s">
        <v>3611</v>
      </c>
      <c r="F1011" s="13"/>
      <c r="G1011" s="25">
        <v>1618.0</v>
      </c>
      <c r="H1011" s="26"/>
      <c r="I1011" s="25">
        <v>60573.38</v>
      </c>
      <c r="K1011" s="2" t="s">
        <v>119</v>
      </c>
      <c r="M1011" s="2" t="s">
        <v>114</v>
      </c>
      <c r="N1011" s="2" t="s">
        <v>1800</v>
      </c>
      <c r="O1011" s="2">
        <v>1.10751038E8</v>
      </c>
      <c r="Q1011" s="8">
        <v>2025.0</v>
      </c>
      <c r="R1011" s="8" t="s">
        <v>3038</v>
      </c>
    </row>
    <row r="1012">
      <c r="A1012" s="4" t="s">
        <v>18</v>
      </c>
      <c r="B1012" s="2" t="s">
        <v>3612</v>
      </c>
      <c r="C1012" s="5">
        <v>45947.0</v>
      </c>
      <c r="D1012" s="5">
        <v>45947.0</v>
      </c>
      <c r="E1012" s="24" t="s">
        <v>3613</v>
      </c>
      <c r="F1012" s="13"/>
      <c r="G1012" s="25">
        <v>1618.0</v>
      </c>
      <c r="H1012" s="26"/>
      <c r="I1012" s="25">
        <v>58955.38</v>
      </c>
      <c r="K1012" s="2" t="s">
        <v>127</v>
      </c>
      <c r="M1012" s="2" t="s">
        <v>114</v>
      </c>
      <c r="N1012" s="2" t="s">
        <v>1800</v>
      </c>
      <c r="O1012" s="2">
        <v>1.10751038E8</v>
      </c>
      <c r="Q1012" s="8">
        <v>2025.0</v>
      </c>
      <c r="R1012" s="8" t="s">
        <v>3038</v>
      </c>
    </row>
    <row r="1013">
      <c r="A1013" s="4" t="s">
        <v>18</v>
      </c>
      <c r="B1013" s="2" t="s">
        <v>3614</v>
      </c>
      <c r="C1013" s="5">
        <v>45947.0</v>
      </c>
      <c r="D1013" s="5">
        <v>45947.0</v>
      </c>
      <c r="E1013" s="24" t="s">
        <v>3615</v>
      </c>
      <c r="F1013" s="13"/>
      <c r="G1013" s="26"/>
      <c r="H1013" s="25">
        <v>3110.0</v>
      </c>
      <c r="I1013" s="25">
        <v>62065.38</v>
      </c>
      <c r="K1013" s="12" t="str">
        <f t="shared" ref="K1013:K1014" si="137">RIGHT(E1013,6)</f>
        <v>UN3668</v>
      </c>
      <c r="L1013" s="2" t="s">
        <v>3616</v>
      </c>
      <c r="M1013" s="2" t="s">
        <v>24</v>
      </c>
      <c r="N1013" s="2" t="s">
        <v>60</v>
      </c>
      <c r="O1013" s="2">
        <v>1.10751038E8</v>
      </c>
      <c r="P1013" s="15"/>
      <c r="Q1013" s="8">
        <v>2025.0</v>
      </c>
      <c r="R1013" s="8" t="s">
        <v>3038</v>
      </c>
    </row>
    <row r="1014">
      <c r="A1014" s="4" t="s">
        <v>18</v>
      </c>
      <c r="B1014" s="2" t="s">
        <v>3617</v>
      </c>
      <c r="C1014" s="5">
        <v>45947.0</v>
      </c>
      <c r="D1014" s="5">
        <v>45947.0</v>
      </c>
      <c r="E1014" s="24" t="s">
        <v>3618</v>
      </c>
      <c r="F1014" s="13"/>
      <c r="G1014" s="26"/>
      <c r="H1014" s="25">
        <v>870.0</v>
      </c>
      <c r="I1014" s="25">
        <v>62935.38</v>
      </c>
      <c r="K1014" s="12" t="str">
        <f t="shared" si="137"/>
        <v>SL1610</v>
      </c>
      <c r="L1014" s="2" t="s">
        <v>3619</v>
      </c>
      <c r="M1014" s="2" t="s">
        <v>24</v>
      </c>
      <c r="N1014" s="2" t="s">
        <v>60</v>
      </c>
      <c r="O1014" s="2">
        <v>1.10751038E8</v>
      </c>
      <c r="P1014" s="15"/>
      <c r="Q1014" s="8">
        <v>2025.0</v>
      </c>
      <c r="R1014" s="8" t="s">
        <v>3038</v>
      </c>
    </row>
    <row r="1015">
      <c r="A1015" s="4" t="s">
        <v>18</v>
      </c>
      <c r="B1015" s="2" t="s">
        <v>3620</v>
      </c>
      <c r="C1015" s="5">
        <v>45947.0</v>
      </c>
      <c r="D1015" s="5">
        <v>45947.0</v>
      </c>
      <c r="E1015" s="24" t="s">
        <v>3621</v>
      </c>
      <c r="F1015" s="13"/>
      <c r="G1015" s="25">
        <v>2000.0</v>
      </c>
      <c r="H1015" s="26"/>
      <c r="I1015" s="25">
        <v>60935.38</v>
      </c>
      <c r="K1015" s="2" t="s">
        <v>23</v>
      </c>
      <c r="M1015" s="2" t="s">
        <v>114</v>
      </c>
      <c r="N1015" s="2" t="s">
        <v>2720</v>
      </c>
      <c r="O1015" s="2">
        <v>1.10751038E8</v>
      </c>
      <c r="Q1015" s="8">
        <v>2025.0</v>
      </c>
      <c r="R1015" s="8" t="s">
        <v>3038</v>
      </c>
    </row>
    <row r="1016">
      <c r="A1016" s="4" t="s">
        <v>18</v>
      </c>
      <c r="B1016" s="2" t="s">
        <v>3622</v>
      </c>
      <c r="C1016" s="5">
        <v>45947.0</v>
      </c>
      <c r="D1016" s="5">
        <v>45947.0</v>
      </c>
      <c r="E1016" s="24" t="s">
        <v>3623</v>
      </c>
      <c r="F1016" s="13"/>
      <c r="G1016" s="25">
        <v>1863.0</v>
      </c>
      <c r="H1016" s="26"/>
      <c r="I1016" s="25">
        <v>59072.38</v>
      </c>
      <c r="K1016" s="2" t="s">
        <v>23</v>
      </c>
      <c r="M1016" s="2" t="s">
        <v>114</v>
      </c>
      <c r="N1016" s="2" t="s">
        <v>521</v>
      </c>
      <c r="O1016" s="2">
        <v>1.10751038E8</v>
      </c>
      <c r="Q1016" s="8">
        <v>2025.0</v>
      </c>
      <c r="R1016" s="8" t="s">
        <v>3038</v>
      </c>
    </row>
    <row r="1017">
      <c r="A1017" s="4" t="s">
        <v>18</v>
      </c>
      <c r="B1017" s="2" t="s">
        <v>3624</v>
      </c>
      <c r="C1017" s="5">
        <v>45948.0</v>
      </c>
      <c r="D1017" s="5">
        <v>45948.0</v>
      </c>
      <c r="E1017" s="24" t="s">
        <v>3625</v>
      </c>
      <c r="F1017" s="13"/>
      <c r="G1017" s="25">
        <v>1261.8</v>
      </c>
      <c r="H1017" s="26"/>
      <c r="I1017" s="25">
        <v>57810.58</v>
      </c>
      <c r="K1017" s="2" t="s">
        <v>123</v>
      </c>
      <c r="M1017" s="2" t="s">
        <v>114</v>
      </c>
      <c r="N1017" s="2" t="s">
        <v>2883</v>
      </c>
      <c r="O1017" s="2">
        <v>1.10751038E8</v>
      </c>
      <c r="Q1017" s="8">
        <v>2025.0</v>
      </c>
      <c r="R1017" s="8" t="s">
        <v>3038</v>
      </c>
    </row>
    <row r="1018">
      <c r="A1018" s="4" t="s">
        <v>18</v>
      </c>
      <c r="B1018" s="2" t="s">
        <v>3626</v>
      </c>
      <c r="C1018" s="5">
        <v>45948.0</v>
      </c>
      <c r="D1018" s="5">
        <v>45948.0</v>
      </c>
      <c r="E1018" s="24" t="s">
        <v>3627</v>
      </c>
      <c r="F1018" s="13"/>
      <c r="G1018" s="26"/>
      <c r="H1018" s="25">
        <v>398.0</v>
      </c>
      <c r="I1018" s="25">
        <v>58208.58</v>
      </c>
      <c r="K1018" s="12" t="str">
        <f t="shared" ref="K1018:K1022" si="138">RIGHT(E1018,6)</f>
        <v>UN3668</v>
      </c>
      <c r="L1018" s="2" t="s">
        <v>3628</v>
      </c>
      <c r="M1018" s="2" t="s">
        <v>24</v>
      </c>
      <c r="N1018" s="2" t="s">
        <v>60</v>
      </c>
      <c r="O1018" s="2">
        <v>1.10751038E8</v>
      </c>
      <c r="P1018" s="15"/>
      <c r="Q1018" s="8">
        <v>2025.0</v>
      </c>
      <c r="R1018" s="8" t="s">
        <v>3038</v>
      </c>
    </row>
    <row r="1019">
      <c r="A1019" s="4" t="s">
        <v>18</v>
      </c>
      <c r="B1019" s="2" t="s">
        <v>3629</v>
      </c>
      <c r="C1019" s="5">
        <v>45948.0</v>
      </c>
      <c r="D1019" s="5">
        <v>45948.0</v>
      </c>
      <c r="E1019" s="24" t="s">
        <v>3630</v>
      </c>
      <c r="F1019" s="13"/>
      <c r="G1019" s="26"/>
      <c r="H1019" s="25">
        <v>445.0</v>
      </c>
      <c r="I1019" s="25">
        <v>58653.58</v>
      </c>
      <c r="K1019" s="12" t="str">
        <f t="shared" si="138"/>
        <v>UN3668</v>
      </c>
      <c r="L1019" s="2" t="s">
        <v>3631</v>
      </c>
      <c r="M1019" s="2" t="s">
        <v>24</v>
      </c>
      <c r="N1019" s="2" t="s">
        <v>60</v>
      </c>
      <c r="O1019" s="2">
        <v>1.10751038E8</v>
      </c>
      <c r="P1019" s="15"/>
      <c r="Q1019" s="8">
        <v>2025.0</v>
      </c>
      <c r="R1019" s="8" t="s">
        <v>3038</v>
      </c>
    </row>
    <row r="1020">
      <c r="A1020" s="4" t="s">
        <v>18</v>
      </c>
      <c r="B1020" s="2" t="s">
        <v>3632</v>
      </c>
      <c r="C1020" s="5">
        <v>45948.0</v>
      </c>
      <c r="D1020" s="5">
        <v>45948.0</v>
      </c>
      <c r="E1020" s="24" t="s">
        <v>3633</v>
      </c>
      <c r="F1020" s="13"/>
      <c r="G1020" s="26"/>
      <c r="H1020" s="25">
        <v>338.0</v>
      </c>
      <c r="I1020" s="25">
        <v>58991.58</v>
      </c>
      <c r="K1020" s="12" t="str">
        <f t="shared" si="138"/>
        <v>UN3668</v>
      </c>
      <c r="L1020" s="2" t="s">
        <v>3634</v>
      </c>
      <c r="M1020" s="2" t="s">
        <v>24</v>
      </c>
      <c r="N1020" s="2" t="s">
        <v>60</v>
      </c>
      <c r="O1020" s="2">
        <v>1.10751038E8</v>
      </c>
      <c r="P1020" s="15"/>
      <c r="Q1020" s="8">
        <v>2025.0</v>
      </c>
      <c r="R1020" s="8" t="s">
        <v>3038</v>
      </c>
    </row>
    <row r="1021">
      <c r="A1021" s="4" t="s">
        <v>18</v>
      </c>
      <c r="B1021" s="2" t="s">
        <v>3635</v>
      </c>
      <c r="C1021" s="5">
        <v>45948.0</v>
      </c>
      <c r="D1021" s="5">
        <v>45948.0</v>
      </c>
      <c r="E1021" s="24" t="s">
        <v>3636</v>
      </c>
      <c r="F1021" s="13"/>
      <c r="G1021" s="26"/>
      <c r="H1021" s="25">
        <v>109.0</v>
      </c>
      <c r="I1021" s="25">
        <v>59100.58</v>
      </c>
      <c r="K1021" s="12" t="str">
        <f t="shared" si="138"/>
        <v>SL1610</v>
      </c>
      <c r="L1021" s="2" t="s">
        <v>3637</v>
      </c>
      <c r="M1021" s="2" t="s">
        <v>24</v>
      </c>
      <c r="N1021" s="2" t="s">
        <v>60</v>
      </c>
      <c r="O1021" s="2">
        <v>1.10751038E8</v>
      </c>
      <c r="P1021" s="15"/>
      <c r="Q1021" s="8">
        <v>2025.0</v>
      </c>
      <c r="R1021" s="8" t="s">
        <v>3038</v>
      </c>
    </row>
    <row r="1022">
      <c r="A1022" s="4" t="s">
        <v>18</v>
      </c>
      <c r="B1022" s="2" t="s">
        <v>3638</v>
      </c>
      <c r="C1022" s="5">
        <v>45948.0</v>
      </c>
      <c r="D1022" s="5">
        <v>45948.0</v>
      </c>
      <c r="E1022" s="24" t="s">
        <v>3639</v>
      </c>
      <c r="F1022" s="13"/>
      <c r="G1022" s="26"/>
      <c r="H1022" s="25">
        <v>1256.0</v>
      </c>
      <c r="I1022" s="25">
        <v>60356.58</v>
      </c>
      <c r="K1022" s="12" t="str">
        <f t="shared" si="138"/>
        <v>UN3668</v>
      </c>
      <c r="L1022" s="2" t="s">
        <v>3640</v>
      </c>
      <c r="M1022" s="2" t="s">
        <v>24</v>
      </c>
      <c r="N1022" s="2" t="s">
        <v>60</v>
      </c>
      <c r="O1022" s="2">
        <v>1.10751038E8</v>
      </c>
      <c r="P1022" s="15"/>
      <c r="Q1022" s="8">
        <v>2025.0</v>
      </c>
      <c r="R1022" s="8" t="s">
        <v>3038</v>
      </c>
    </row>
    <row r="1023">
      <c r="A1023" s="4" t="s">
        <v>18</v>
      </c>
      <c r="B1023" s="2" t="s">
        <v>3641</v>
      </c>
      <c r="C1023" s="5">
        <v>45948.0</v>
      </c>
      <c r="D1023" s="5">
        <v>45948.0</v>
      </c>
      <c r="E1023" s="24" t="s">
        <v>3642</v>
      </c>
      <c r="F1023" s="13"/>
      <c r="G1023" s="25">
        <v>2100.0</v>
      </c>
      <c r="H1023" s="26"/>
      <c r="I1023" s="25">
        <v>58256.58</v>
      </c>
      <c r="K1023" s="2" t="s">
        <v>123</v>
      </c>
      <c r="M1023" s="2" t="s">
        <v>114</v>
      </c>
      <c r="N1023" s="2" t="s">
        <v>3643</v>
      </c>
      <c r="O1023" s="2">
        <v>1.10751038E8</v>
      </c>
      <c r="Q1023" s="8">
        <v>2025.0</v>
      </c>
      <c r="R1023" s="8" t="s">
        <v>3038</v>
      </c>
    </row>
    <row r="1024">
      <c r="A1024" s="4" t="s">
        <v>18</v>
      </c>
      <c r="B1024" s="2" t="s">
        <v>3644</v>
      </c>
      <c r="C1024" s="5">
        <v>45948.0</v>
      </c>
      <c r="D1024" s="5">
        <v>45948.0</v>
      </c>
      <c r="E1024" s="24" t="s">
        <v>3645</v>
      </c>
      <c r="F1024" s="13"/>
      <c r="G1024" s="25">
        <v>2100.0</v>
      </c>
      <c r="H1024" s="26"/>
      <c r="I1024" s="25">
        <v>56156.58</v>
      </c>
      <c r="K1024" s="12" t="str">
        <f t="shared" ref="K1024:K1027" si="139">RIGHT(E1024,6)</f>
        <v>UN3668</v>
      </c>
      <c r="M1024" s="2" t="s">
        <v>114</v>
      </c>
      <c r="N1024" s="2" t="s">
        <v>3643</v>
      </c>
      <c r="O1024" s="2">
        <v>1.10751038E8</v>
      </c>
      <c r="Q1024" s="8">
        <v>2025.0</v>
      </c>
      <c r="R1024" s="8" t="s">
        <v>3038</v>
      </c>
    </row>
    <row r="1025">
      <c r="A1025" s="4" t="s">
        <v>18</v>
      </c>
      <c r="B1025" s="2" t="s">
        <v>3646</v>
      </c>
      <c r="C1025" s="5">
        <v>45948.0</v>
      </c>
      <c r="D1025" s="5">
        <v>45948.0</v>
      </c>
      <c r="E1025" s="24" t="s">
        <v>3647</v>
      </c>
      <c r="F1025" s="13"/>
      <c r="G1025" s="25">
        <v>2100.0</v>
      </c>
      <c r="H1025" s="26"/>
      <c r="I1025" s="25">
        <v>54056.58</v>
      </c>
      <c r="K1025" s="12" t="str">
        <f t="shared" si="139"/>
        <v>KN3817</v>
      </c>
      <c r="M1025" s="2" t="s">
        <v>114</v>
      </c>
      <c r="N1025" s="2" t="s">
        <v>3643</v>
      </c>
      <c r="O1025" s="2">
        <v>1.10751038E8</v>
      </c>
      <c r="Q1025" s="8">
        <v>2025.0</v>
      </c>
      <c r="R1025" s="8" t="s">
        <v>3038</v>
      </c>
    </row>
    <row r="1026">
      <c r="A1026" s="4" t="s">
        <v>18</v>
      </c>
      <c r="B1026" s="2" t="s">
        <v>3648</v>
      </c>
      <c r="C1026" s="5">
        <v>45948.0</v>
      </c>
      <c r="D1026" s="5">
        <v>45948.0</v>
      </c>
      <c r="E1026" s="24" t="s">
        <v>3649</v>
      </c>
      <c r="F1026" s="13"/>
      <c r="G1026" s="25">
        <v>7300.0</v>
      </c>
      <c r="H1026" s="26"/>
      <c r="I1026" s="25">
        <v>46756.58</v>
      </c>
      <c r="K1026" s="12" t="str">
        <f t="shared" si="139"/>
        <v>TSV001</v>
      </c>
      <c r="M1026" s="2" t="s">
        <v>114</v>
      </c>
      <c r="N1026" s="2" t="s">
        <v>3643</v>
      </c>
      <c r="O1026" s="2">
        <v>1.10751038E8</v>
      </c>
      <c r="Q1026" s="8">
        <v>2025.0</v>
      </c>
      <c r="R1026" s="8" t="s">
        <v>3038</v>
      </c>
    </row>
    <row r="1027">
      <c r="A1027" s="4" t="s">
        <v>18</v>
      </c>
      <c r="B1027" s="2" t="s">
        <v>3650</v>
      </c>
      <c r="C1027" s="5">
        <v>45948.0</v>
      </c>
      <c r="D1027" s="5">
        <v>45948.0</v>
      </c>
      <c r="E1027" s="24" t="s">
        <v>3651</v>
      </c>
      <c r="F1027" s="13"/>
      <c r="G1027" s="25">
        <v>2100.0</v>
      </c>
      <c r="H1027" s="26"/>
      <c r="I1027" s="25">
        <v>44656.58</v>
      </c>
      <c r="K1027" s="12" t="str">
        <f t="shared" si="139"/>
        <v>SC3567</v>
      </c>
      <c r="M1027" s="2" t="s">
        <v>114</v>
      </c>
      <c r="N1027" s="2" t="s">
        <v>3643</v>
      </c>
      <c r="O1027" s="2">
        <v>1.10751038E8</v>
      </c>
      <c r="Q1027" s="8">
        <v>2025.0</v>
      </c>
      <c r="R1027" s="8" t="s">
        <v>3038</v>
      </c>
    </row>
    <row r="1028">
      <c r="A1028" s="4" t="s">
        <v>18</v>
      </c>
      <c r="B1028" s="2" t="s">
        <v>3652</v>
      </c>
      <c r="C1028" s="5">
        <v>45948.0</v>
      </c>
      <c r="D1028" s="5">
        <v>45948.0</v>
      </c>
      <c r="E1028" s="24" t="s">
        <v>3653</v>
      </c>
      <c r="F1028" s="13"/>
      <c r="G1028" s="25">
        <v>4100.0</v>
      </c>
      <c r="H1028" s="26"/>
      <c r="I1028" s="25">
        <v>40556.58</v>
      </c>
      <c r="K1028" s="2" t="s">
        <v>23</v>
      </c>
      <c r="M1028" s="2" t="s">
        <v>114</v>
      </c>
      <c r="N1028" s="2" t="s">
        <v>3643</v>
      </c>
      <c r="O1028" s="2">
        <v>1.10751038E8</v>
      </c>
      <c r="Q1028" s="8">
        <v>2025.0</v>
      </c>
      <c r="R1028" s="8" t="s">
        <v>3038</v>
      </c>
    </row>
    <row r="1029">
      <c r="A1029" s="4" t="s">
        <v>18</v>
      </c>
      <c r="B1029" s="2" t="s">
        <v>3654</v>
      </c>
      <c r="C1029" s="5">
        <v>45948.0</v>
      </c>
      <c r="D1029" s="5">
        <v>45948.0</v>
      </c>
      <c r="E1029" s="24" t="s">
        <v>3655</v>
      </c>
      <c r="F1029" s="13"/>
      <c r="G1029" s="25">
        <v>4100.0</v>
      </c>
      <c r="H1029" s="26"/>
      <c r="I1029" s="25">
        <v>36456.58</v>
      </c>
      <c r="K1029" s="12" t="str">
        <f>RIGHT(E1029,6)</f>
        <v>KN3817</v>
      </c>
      <c r="M1029" s="2" t="s">
        <v>114</v>
      </c>
      <c r="N1029" s="2" t="s">
        <v>3643</v>
      </c>
      <c r="O1029" s="2">
        <v>1.10751038E8</v>
      </c>
      <c r="Q1029" s="8">
        <v>2025.0</v>
      </c>
      <c r="R1029" s="8" t="s">
        <v>3038</v>
      </c>
    </row>
    <row r="1030">
      <c r="A1030" s="4" t="s">
        <v>18</v>
      </c>
      <c r="B1030" s="2" t="s">
        <v>3656</v>
      </c>
      <c r="C1030" s="5">
        <v>45948.0</v>
      </c>
      <c r="D1030" s="5">
        <v>45948.0</v>
      </c>
      <c r="E1030" s="24" t="s">
        <v>3657</v>
      </c>
      <c r="F1030" s="13"/>
      <c r="G1030" s="25">
        <v>2100.0</v>
      </c>
      <c r="H1030" s="26"/>
      <c r="I1030" s="25">
        <v>34356.58</v>
      </c>
      <c r="K1030" s="2" t="s">
        <v>113</v>
      </c>
      <c r="M1030" s="2" t="s">
        <v>114</v>
      </c>
      <c r="N1030" s="2" t="s">
        <v>3643</v>
      </c>
      <c r="O1030" s="2">
        <v>1.10751038E8</v>
      </c>
      <c r="Q1030" s="8">
        <v>2025.0</v>
      </c>
      <c r="R1030" s="8" t="s">
        <v>3038</v>
      </c>
    </row>
    <row r="1031">
      <c r="A1031" s="4" t="s">
        <v>18</v>
      </c>
      <c r="B1031" s="2" t="s">
        <v>3658</v>
      </c>
      <c r="C1031" s="5">
        <v>45948.0</v>
      </c>
      <c r="D1031" s="5">
        <v>45948.0</v>
      </c>
      <c r="E1031" s="24" t="s">
        <v>3659</v>
      </c>
      <c r="F1031" s="13"/>
      <c r="G1031" s="25">
        <v>7100.0</v>
      </c>
      <c r="H1031" s="26"/>
      <c r="I1031" s="25">
        <v>27256.58</v>
      </c>
      <c r="K1031" s="2" t="s">
        <v>113</v>
      </c>
      <c r="M1031" s="2" t="s">
        <v>114</v>
      </c>
      <c r="N1031" s="2" t="s">
        <v>3643</v>
      </c>
      <c r="O1031" s="2">
        <v>1.10751038E8</v>
      </c>
      <c r="Q1031" s="8">
        <v>2025.0</v>
      </c>
      <c r="R1031" s="8" t="s">
        <v>3038</v>
      </c>
    </row>
    <row r="1032">
      <c r="A1032" s="4" t="s">
        <v>18</v>
      </c>
      <c r="B1032" s="2" t="s">
        <v>3660</v>
      </c>
      <c r="C1032" s="5">
        <v>45948.0</v>
      </c>
      <c r="D1032" s="5">
        <v>45948.0</v>
      </c>
      <c r="E1032" s="24" t="s">
        <v>3661</v>
      </c>
      <c r="F1032" s="13"/>
      <c r="G1032" s="25">
        <v>10600.0</v>
      </c>
      <c r="H1032" s="26"/>
      <c r="I1032" s="25">
        <v>16656.58</v>
      </c>
      <c r="K1032" s="2" t="s">
        <v>119</v>
      </c>
      <c r="M1032" s="2" t="s">
        <v>114</v>
      </c>
      <c r="N1032" s="2" t="s">
        <v>3643</v>
      </c>
      <c r="O1032" s="2">
        <v>1.10751038E8</v>
      </c>
      <c r="Q1032" s="8">
        <v>2025.0</v>
      </c>
      <c r="R1032" s="8" t="s">
        <v>3038</v>
      </c>
    </row>
    <row r="1033">
      <c r="A1033" s="4" t="s">
        <v>18</v>
      </c>
      <c r="B1033" s="2" t="s">
        <v>3662</v>
      </c>
      <c r="C1033" s="5">
        <v>45948.0</v>
      </c>
      <c r="D1033" s="5">
        <v>45948.0</v>
      </c>
      <c r="E1033" s="24" t="s">
        <v>3663</v>
      </c>
      <c r="F1033" s="13"/>
      <c r="G1033" s="25">
        <v>3100.0</v>
      </c>
      <c r="H1033" s="26"/>
      <c r="I1033" s="25">
        <v>13556.58</v>
      </c>
      <c r="K1033" s="12" t="str">
        <f t="shared" ref="K1033:K1034" si="140">RIGHT(E1033,6)</f>
        <v>SC3567</v>
      </c>
      <c r="M1033" s="2" t="s">
        <v>114</v>
      </c>
      <c r="N1033" s="2" t="s">
        <v>3643</v>
      </c>
      <c r="O1033" s="2">
        <v>1.10751038E8</v>
      </c>
      <c r="Q1033" s="8">
        <v>2025.0</v>
      </c>
      <c r="R1033" s="8" t="s">
        <v>3038</v>
      </c>
    </row>
    <row r="1034">
      <c r="A1034" s="4" t="s">
        <v>18</v>
      </c>
      <c r="B1034" s="2" t="s">
        <v>3664</v>
      </c>
      <c r="C1034" s="5">
        <v>45948.0</v>
      </c>
      <c r="D1034" s="5">
        <v>45948.0</v>
      </c>
      <c r="E1034" s="24" t="s">
        <v>3665</v>
      </c>
      <c r="F1034" s="13"/>
      <c r="G1034" s="25">
        <v>2100.0</v>
      </c>
      <c r="H1034" s="26"/>
      <c r="I1034" s="25">
        <v>11456.58</v>
      </c>
      <c r="K1034" s="12" t="str">
        <f t="shared" si="140"/>
        <v>UN3668</v>
      </c>
      <c r="M1034" s="2" t="s">
        <v>114</v>
      </c>
      <c r="N1034" s="2" t="s">
        <v>3643</v>
      </c>
      <c r="O1034" s="2">
        <v>1.10751038E8</v>
      </c>
      <c r="Q1034" s="8">
        <v>2025.0</v>
      </c>
      <c r="R1034" s="8" t="s">
        <v>3038</v>
      </c>
    </row>
    <row r="1035">
      <c r="A1035" s="4" t="s">
        <v>18</v>
      </c>
      <c r="B1035" s="2" t="s">
        <v>3666</v>
      </c>
      <c r="C1035" s="5">
        <v>45948.0</v>
      </c>
      <c r="D1035" s="5">
        <v>45948.0</v>
      </c>
      <c r="E1035" s="24" t="s">
        <v>3667</v>
      </c>
      <c r="F1035" s="13"/>
      <c r="G1035" s="25">
        <v>2010.17</v>
      </c>
      <c r="H1035" s="26"/>
      <c r="I1035" s="25">
        <v>9446.41</v>
      </c>
      <c r="K1035" s="2" t="s">
        <v>127</v>
      </c>
      <c r="M1035" s="2" t="s">
        <v>114</v>
      </c>
      <c r="N1035" s="2" t="s">
        <v>275</v>
      </c>
      <c r="O1035" s="2">
        <v>1.10751038E8</v>
      </c>
      <c r="Q1035" s="8">
        <v>2025.0</v>
      </c>
      <c r="R1035" s="8" t="s">
        <v>3038</v>
      </c>
    </row>
    <row r="1036">
      <c r="A1036" s="4" t="s">
        <v>18</v>
      </c>
      <c r="B1036" s="2" t="s">
        <v>3668</v>
      </c>
      <c r="C1036" s="5">
        <v>45948.0</v>
      </c>
      <c r="D1036" s="5">
        <v>45948.0</v>
      </c>
      <c r="E1036" s="24" t="s">
        <v>3669</v>
      </c>
      <c r="F1036" s="13"/>
      <c r="G1036" s="25">
        <v>815.07</v>
      </c>
      <c r="H1036" s="26"/>
      <c r="I1036" s="25">
        <v>8631.34</v>
      </c>
      <c r="K1036" s="2" t="s">
        <v>119</v>
      </c>
      <c r="M1036" s="2" t="s">
        <v>114</v>
      </c>
      <c r="N1036" s="2" t="s">
        <v>275</v>
      </c>
      <c r="O1036" s="2">
        <v>1.10751038E8</v>
      </c>
      <c r="Q1036" s="8">
        <v>2025.0</v>
      </c>
      <c r="R1036" s="8" t="s">
        <v>3038</v>
      </c>
    </row>
    <row r="1037">
      <c r="A1037" s="4" t="s">
        <v>18</v>
      </c>
      <c r="B1037" s="2" t="s">
        <v>3670</v>
      </c>
      <c r="C1037" s="5">
        <v>45948.0</v>
      </c>
      <c r="D1037" s="5">
        <v>45948.0</v>
      </c>
      <c r="E1037" s="24" t="s">
        <v>3671</v>
      </c>
      <c r="F1037" s="13"/>
      <c r="G1037" s="26"/>
      <c r="H1037" s="25">
        <v>4100.0</v>
      </c>
      <c r="I1037" s="25">
        <v>12731.34</v>
      </c>
      <c r="K1037" s="2" t="s">
        <v>23</v>
      </c>
      <c r="M1037" s="2" t="s">
        <v>24</v>
      </c>
      <c r="N1037" s="2" t="s">
        <v>195</v>
      </c>
      <c r="O1037" s="2">
        <v>1.10751038E8</v>
      </c>
      <c r="Q1037" s="8">
        <v>2025.0</v>
      </c>
      <c r="R1037" s="8" t="s">
        <v>3038</v>
      </c>
    </row>
    <row r="1038">
      <c r="A1038" s="4" t="s">
        <v>18</v>
      </c>
      <c r="B1038" s="2" t="s">
        <v>3672</v>
      </c>
      <c r="C1038" s="5">
        <v>45948.0</v>
      </c>
      <c r="D1038" s="5">
        <v>45948.0</v>
      </c>
      <c r="E1038" s="24" t="s">
        <v>3673</v>
      </c>
      <c r="F1038" s="13"/>
      <c r="G1038" s="26"/>
      <c r="H1038" s="25">
        <v>2100.0</v>
      </c>
      <c r="I1038" s="25">
        <v>14831.34</v>
      </c>
      <c r="K1038" s="2" t="s">
        <v>23</v>
      </c>
      <c r="M1038" s="2" t="s">
        <v>24</v>
      </c>
      <c r="N1038" s="2" t="s">
        <v>195</v>
      </c>
      <c r="O1038" s="2">
        <v>1.10751038E8</v>
      </c>
      <c r="Q1038" s="8">
        <v>2025.0</v>
      </c>
      <c r="R1038" s="8" t="s">
        <v>3038</v>
      </c>
    </row>
    <row r="1039">
      <c r="A1039" s="4" t="s">
        <v>18</v>
      </c>
      <c r="B1039" s="2" t="s">
        <v>3674</v>
      </c>
      <c r="C1039" s="5">
        <v>45948.0</v>
      </c>
      <c r="D1039" s="5">
        <v>45948.0</v>
      </c>
      <c r="E1039" s="24" t="s">
        <v>3675</v>
      </c>
      <c r="F1039" s="13"/>
      <c r="G1039" s="26"/>
      <c r="H1039" s="25">
        <v>250.0</v>
      </c>
      <c r="I1039" s="25">
        <v>15081.34</v>
      </c>
      <c r="K1039" s="12" t="str">
        <f t="shared" ref="K1039:K1041" si="141">RIGHT(E1039,6)</f>
        <v>UN3668</v>
      </c>
      <c r="L1039" s="2" t="s">
        <v>3676</v>
      </c>
      <c r="M1039" s="2" t="s">
        <v>24</v>
      </c>
      <c r="N1039" s="2" t="s">
        <v>60</v>
      </c>
      <c r="O1039" s="2">
        <v>1.10751038E8</v>
      </c>
      <c r="P1039" s="15"/>
      <c r="Q1039" s="8">
        <v>2025.0</v>
      </c>
      <c r="R1039" s="8" t="s">
        <v>3038</v>
      </c>
    </row>
    <row r="1040">
      <c r="A1040" s="4" t="s">
        <v>18</v>
      </c>
      <c r="B1040" s="2" t="s">
        <v>3677</v>
      </c>
      <c r="C1040" s="5">
        <v>45948.0</v>
      </c>
      <c r="D1040" s="5">
        <v>45948.0</v>
      </c>
      <c r="E1040" s="24" t="s">
        <v>3678</v>
      </c>
      <c r="F1040" s="13"/>
      <c r="G1040" s="26"/>
      <c r="H1040" s="25">
        <v>2640.0</v>
      </c>
      <c r="I1040" s="25">
        <v>17721.34</v>
      </c>
      <c r="K1040" s="12" t="str">
        <f t="shared" si="141"/>
        <v>UN3668</v>
      </c>
      <c r="L1040" s="2" t="s">
        <v>3679</v>
      </c>
      <c r="M1040" s="2" t="s">
        <v>24</v>
      </c>
      <c r="N1040" s="2" t="s">
        <v>60</v>
      </c>
      <c r="O1040" s="2">
        <v>1.10751038E8</v>
      </c>
      <c r="P1040" s="15"/>
      <c r="Q1040" s="8">
        <v>2025.0</v>
      </c>
      <c r="R1040" s="8" t="s">
        <v>3038</v>
      </c>
    </row>
    <row r="1041">
      <c r="A1041" s="4" t="s">
        <v>18</v>
      </c>
      <c r="B1041" s="2" t="s">
        <v>3680</v>
      </c>
      <c r="C1041" s="5">
        <v>45948.0</v>
      </c>
      <c r="D1041" s="5">
        <v>45948.0</v>
      </c>
      <c r="E1041" s="24" t="s">
        <v>3681</v>
      </c>
      <c r="F1041" s="13"/>
      <c r="G1041" s="26"/>
      <c r="H1041" s="25">
        <v>1500.0</v>
      </c>
      <c r="I1041" s="25">
        <v>19221.34</v>
      </c>
      <c r="K1041" s="12" t="str">
        <f t="shared" si="141"/>
        <v>SL1610</v>
      </c>
      <c r="L1041" s="2" t="s">
        <v>3682</v>
      </c>
      <c r="M1041" s="2" t="s">
        <v>24</v>
      </c>
      <c r="N1041" s="2" t="s">
        <v>60</v>
      </c>
      <c r="O1041" s="2">
        <v>1.10751038E8</v>
      </c>
      <c r="P1041" s="15"/>
      <c r="Q1041" s="8">
        <v>2025.0</v>
      </c>
      <c r="R1041" s="8" t="s">
        <v>3038</v>
      </c>
    </row>
    <row r="1042">
      <c r="A1042" s="4" t="s">
        <v>18</v>
      </c>
      <c r="B1042" s="2" t="s">
        <v>3683</v>
      </c>
      <c r="C1042" s="5">
        <v>45948.0</v>
      </c>
      <c r="D1042" s="5">
        <v>45948.0</v>
      </c>
      <c r="E1042" s="24" t="s">
        <v>3684</v>
      </c>
      <c r="F1042" s="13"/>
      <c r="G1042" s="25">
        <v>2100.0</v>
      </c>
      <c r="H1042" s="26"/>
      <c r="I1042" s="25">
        <v>17121.34</v>
      </c>
      <c r="K1042" s="2" t="s">
        <v>113</v>
      </c>
      <c r="M1042" s="2" t="s">
        <v>114</v>
      </c>
      <c r="N1042" s="2" t="s">
        <v>3643</v>
      </c>
      <c r="O1042" s="2">
        <v>1.10751038E8</v>
      </c>
      <c r="Q1042" s="8">
        <v>2025.0</v>
      </c>
      <c r="R1042" s="8" t="s">
        <v>3038</v>
      </c>
    </row>
    <row r="1043">
      <c r="A1043" s="4" t="s">
        <v>18</v>
      </c>
      <c r="B1043" s="2" t="s">
        <v>3685</v>
      </c>
      <c r="C1043" s="5">
        <v>45948.0</v>
      </c>
      <c r="D1043" s="5">
        <v>45948.0</v>
      </c>
      <c r="E1043" s="24" t="s">
        <v>3686</v>
      </c>
      <c r="F1043" s="13"/>
      <c r="G1043" s="25">
        <v>4100.0</v>
      </c>
      <c r="H1043" s="26"/>
      <c r="I1043" s="25">
        <v>13021.34</v>
      </c>
      <c r="K1043" s="2" t="s">
        <v>119</v>
      </c>
      <c r="M1043" s="2" t="s">
        <v>114</v>
      </c>
      <c r="N1043" s="2" t="s">
        <v>3643</v>
      </c>
      <c r="O1043" s="2">
        <v>1.10751038E8</v>
      </c>
      <c r="Q1043" s="8">
        <v>2025.0</v>
      </c>
      <c r="R1043" s="8" t="s">
        <v>3038</v>
      </c>
    </row>
    <row r="1044">
      <c r="A1044" s="4" t="s">
        <v>18</v>
      </c>
      <c r="B1044" s="2" t="s">
        <v>3687</v>
      </c>
      <c r="C1044" s="5">
        <v>45948.0</v>
      </c>
      <c r="D1044" s="5">
        <v>45948.0</v>
      </c>
      <c r="E1044" s="24" t="s">
        <v>3688</v>
      </c>
      <c r="F1044" s="13"/>
      <c r="G1044" s="26"/>
      <c r="H1044" s="25">
        <v>1411.0</v>
      </c>
      <c r="I1044" s="25">
        <v>14432.34</v>
      </c>
      <c r="K1044" s="12" t="str">
        <f t="shared" ref="K1044:K1048" si="142">RIGHT(E1044,6)</f>
        <v>UN3668</v>
      </c>
      <c r="L1044" s="2" t="s">
        <v>3689</v>
      </c>
      <c r="M1044" s="2" t="s">
        <v>24</v>
      </c>
      <c r="N1044" s="2" t="s">
        <v>60</v>
      </c>
      <c r="O1044" s="2">
        <v>1.10751038E8</v>
      </c>
      <c r="P1044" s="15"/>
      <c r="Q1044" s="8">
        <v>2025.0</v>
      </c>
      <c r="R1044" s="8" t="s">
        <v>3038</v>
      </c>
    </row>
    <row r="1045">
      <c r="A1045" s="4" t="s">
        <v>18</v>
      </c>
      <c r="B1045" s="2" t="s">
        <v>3690</v>
      </c>
      <c r="C1045" s="5">
        <v>45949.0</v>
      </c>
      <c r="D1045" s="5">
        <v>45949.0</v>
      </c>
      <c r="E1045" s="24" t="s">
        <v>3691</v>
      </c>
      <c r="F1045" s="13"/>
      <c r="G1045" s="26"/>
      <c r="H1045" s="25">
        <v>354.0</v>
      </c>
      <c r="I1045" s="25">
        <v>14786.34</v>
      </c>
      <c r="K1045" s="12" t="str">
        <f t="shared" si="142"/>
        <v>SL1610</v>
      </c>
      <c r="L1045" s="2" t="s">
        <v>3692</v>
      </c>
      <c r="M1045" s="2" t="s">
        <v>24</v>
      </c>
      <c r="N1045" s="2" t="s">
        <v>60</v>
      </c>
      <c r="O1045" s="2">
        <v>1.10751038E8</v>
      </c>
      <c r="P1045" s="15"/>
      <c r="Q1045" s="8">
        <v>2025.0</v>
      </c>
      <c r="R1045" s="8" t="s">
        <v>3038</v>
      </c>
    </row>
    <row r="1046">
      <c r="A1046" s="4" t="s">
        <v>18</v>
      </c>
      <c r="B1046" s="2" t="s">
        <v>3693</v>
      </c>
      <c r="C1046" s="5">
        <v>45949.0</v>
      </c>
      <c r="D1046" s="5">
        <v>45949.0</v>
      </c>
      <c r="E1046" s="24" t="s">
        <v>3694</v>
      </c>
      <c r="F1046" s="13"/>
      <c r="G1046" s="26"/>
      <c r="H1046" s="25">
        <v>2092.0</v>
      </c>
      <c r="I1046" s="25">
        <v>16878.34</v>
      </c>
      <c r="K1046" s="12" t="str">
        <f t="shared" si="142"/>
        <v>UN3668</v>
      </c>
      <c r="L1046" s="2" t="s">
        <v>3695</v>
      </c>
      <c r="M1046" s="2" t="s">
        <v>24</v>
      </c>
      <c r="N1046" s="2" t="s">
        <v>60</v>
      </c>
      <c r="O1046" s="2">
        <v>1.10751038E8</v>
      </c>
      <c r="P1046" s="15"/>
      <c r="Q1046" s="8">
        <v>2025.0</v>
      </c>
      <c r="R1046" s="8" t="s">
        <v>3038</v>
      </c>
    </row>
    <row r="1047">
      <c r="A1047" s="4" t="s">
        <v>18</v>
      </c>
      <c r="B1047" s="2" t="s">
        <v>3696</v>
      </c>
      <c r="C1047" s="5">
        <v>45949.0</v>
      </c>
      <c r="D1047" s="5">
        <v>45949.0</v>
      </c>
      <c r="E1047" s="24" t="s">
        <v>3697</v>
      </c>
      <c r="F1047" s="13"/>
      <c r="G1047" s="26"/>
      <c r="H1047" s="7">
        <v>500.0</v>
      </c>
      <c r="I1047" s="25">
        <v>17378.34</v>
      </c>
      <c r="K1047" s="12" t="str">
        <f t="shared" si="142"/>
        <v>KN3817</v>
      </c>
      <c r="L1047" s="2" t="s">
        <v>743</v>
      </c>
      <c r="M1047" s="2" t="s">
        <v>24</v>
      </c>
      <c r="N1047" s="2" t="s">
        <v>60</v>
      </c>
      <c r="O1047" s="2">
        <v>1.10751038E8</v>
      </c>
      <c r="P1047" s="15"/>
      <c r="Q1047" s="8">
        <v>2025.0</v>
      </c>
      <c r="R1047" s="8" t="s">
        <v>3038</v>
      </c>
    </row>
    <row r="1048">
      <c r="A1048" s="4" t="s">
        <v>18</v>
      </c>
      <c r="B1048" s="2" t="s">
        <v>3698</v>
      </c>
      <c r="C1048" s="5">
        <v>45949.0</v>
      </c>
      <c r="D1048" s="5">
        <v>45949.0</v>
      </c>
      <c r="E1048" s="24" t="s">
        <v>3699</v>
      </c>
      <c r="F1048" s="13"/>
      <c r="G1048" s="26"/>
      <c r="H1048" s="25">
        <v>180.0</v>
      </c>
      <c r="I1048" s="25">
        <v>17558.34</v>
      </c>
      <c r="K1048" s="12" t="str">
        <f t="shared" si="142"/>
        <v>SC3567</v>
      </c>
      <c r="M1048" s="2" t="s">
        <v>24</v>
      </c>
      <c r="N1048" s="2" t="s">
        <v>60</v>
      </c>
      <c r="O1048" s="2">
        <v>1.10751038E8</v>
      </c>
      <c r="P1048" s="15" t="str">
        <f>IFERROR(__xludf.DUMMYFUNCTION("CONCATENATE(B1048,"", "", to_text(D1048),"", "", E1048,"", "", H1048)"),"TSV-10-0210, 19-Oct-2025, UPI/CR/699646320644/NIRANJAN/SBIN/9818328/SC3567, 180")</f>
        <v>TSV-10-0210, 19-Oct-2025, UPI/CR/699646320644/NIRANJAN/SBIN/9818328/SC3567, 180</v>
      </c>
      <c r="Q1048" s="8">
        <v>2025.0</v>
      </c>
      <c r="R1048" s="8" t="s">
        <v>3038</v>
      </c>
    </row>
    <row r="1049">
      <c r="A1049" s="4" t="s">
        <v>18</v>
      </c>
      <c r="B1049" s="2" t="s">
        <v>3700</v>
      </c>
      <c r="C1049" s="5">
        <v>45949.0</v>
      </c>
      <c r="D1049" s="5">
        <v>45949.0</v>
      </c>
      <c r="E1049" s="24" t="s">
        <v>3701</v>
      </c>
      <c r="F1049" s="13"/>
      <c r="G1049" s="26"/>
      <c r="H1049" s="25">
        <v>1072.0</v>
      </c>
      <c r="I1049" s="25">
        <v>18630.34</v>
      </c>
      <c r="K1049" s="2" t="s">
        <v>539</v>
      </c>
      <c r="M1049" s="2" t="s">
        <v>24</v>
      </c>
      <c r="N1049" s="2" t="s">
        <v>60</v>
      </c>
      <c r="O1049" s="2">
        <v>1.10751038E8</v>
      </c>
      <c r="P1049" s="15" t="str">
        <f>IFERROR(__xludf.DUMMYFUNCTION("CONCATENATE(B1049,"", "", to_text(D1049),"", "", E1049,"", "", H1049)"),"TSV-10-0211, 19-Oct-2025, UPI/CR/529221639799/Vineet S/IDFB/vineet./na, 1072")</f>
        <v>TSV-10-0211, 19-Oct-2025, UPI/CR/529221639799/Vineet S/IDFB/vineet./na, 1072</v>
      </c>
      <c r="Q1049" s="8">
        <v>2025.0</v>
      </c>
      <c r="R1049" s="8" t="s">
        <v>3038</v>
      </c>
    </row>
    <row r="1050">
      <c r="A1050" s="4" t="s">
        <v>18</v>
      </c>
      <c r="B1050" s="2" t="s">
        <v>3702</v>
      </c>
      <c r="C1050" s="5">
        <v>45949.0</v>
      </c>
      <c r="D1050" s="5">
        <v>45949.0</v>
      </c>
      <c r="E1050" s="24" t="s">
        <v>3703</v>
      </c>
      <c r="F1050" s="13"/>
      <c r="G1050" s="26"/>
      <c r="H1050" s="25">
        <v>853.0</v>
      </c>
      <c r="I1050" s="25">
        <v>19483.34</v>
      </c>
      <c r="K1050" s="12" t="str">
        <f t="shared" ref="K1050:K1053" si="143">RIGHT(E1050,6)</f>
        <v>UN3668</v>
      </c>
      <c r="L1050" s="2" t="s">
        <v>3704</v>
      </c>
      <c r="M1050" s="2" t="s">
        <v>24</v>
      </c>
      <c r="N1050" s="2" t="s">
        <v>60</v>
      </c>
      <c r="O1050" s="2">
        <v>1.10751038E8</v>
      </c>
      <c r="P1050" s="15"/>
      <c r="Q1050" s="8">
        <v>2025.0</v>
      </c>
      <c r="R1050" s="8" t="s">
        <v>3038</v>
      </c>
    </row>
    <row r="1051">
      <c r="A1051" s="4" t="s">
        <v>18</v>
      </c>
      <c r="B1051" s="2" t="s">
        <v>3705</v>
      </c>
      <c r="C1051" s="5">
        <v>45949.0</v>
      </c>
      <c r="D1051" s="5">
        <v>45949.0</v>
      </c>
      <c r="E1051" s="24" t="s">
        <v>3706</v>
      </c>
      <c r="F1051" s="13"/>
      <c r="G1051" s="26"/>
      <c r="H1051" s="25">
        <v>449.0</v>
      </c>
      <c r="I1051" s="25">
        <v>19932.34</v>
      </c>
      <c r="K1051" s="12" t="str">
        <f t="shared" si="143"/>
        <v>SC3567</v>
      </c>
      <c r="M1051" s="2" t="s">
        <v>24</v>
      </c>
      <c r="N1051" s="2" t="s">
        <v>60</v>
      </c>
      <c r="O1051" s="2">
        <v>1.10751038E8</v>
      </c>
      <c r="P1051" s="15" t="str">
        <f>IFERROR(__xludf.DUMMYFUNCTION("CONCATENATE(B1051,"", "", to_text(D1051),"", "", E1051,"", "", H1051)"),"TSV-10-0213, 19-Oct-2025, UPI/CR/203672622925/ABHISHEK/UTIB/8949775/SC3567, 449")</f>
        <v>TSV-10-0213, 19-Oct-2025, UPI/CR/203672622925/ABHISHEK/UTIB/8949775/SC3567, 449</v>
      </c>
      <c r="Q1051" s="8">
        <v>2025.0</v>
      </c>
      <c r="R1051" s="8" t="s">
        <v>3038</v>
      </c>
    </row>
    <row r="1052">
      <c r="A1052" s="4" t="s">
        <v>18</v>
      </c>
      <c r="B1052" s="2" t="s">
        <v>3707</v>
      </c>
      <c r="C1052" s="5">
        <v>45949.0</v>
      </c>
      <c r="D1052" s="5">
        <v>45949.0</v>
      </c>
      <c r="E1052" s="24" t="s">
        <v>3708</v>
      </c>
      <c r="F1052" s="13"/>
      <c r="G1052" s="26"/>
      <c r="H1052" s="25">
        <v>420.0</v>
      </c>
      <c r="I1052" s="25">
        <v>20352.34</v>
      </c>
      <c r="K1052" s="12" t="str">
        <f t="shared" si="143"/>
        <v>UN3668</v>
      </c>
      <c r="L1052" s="2" t="s">
        <v>3709</v>
      </c>
      <c r="M1052" s="2" t="s">
        <v>24</v>
      </c>
      <c r="N1052" s="2" t="s">
        <v>60</v>
      </c>
      <c r="O1052" s="2">
        <v>1.10751038E8</v>
      </c>
      <c r="P1052" s="15"/>
      <c r="Q1052" s="8">
        <v>2025.0</v>
      </c>
      <c r="R1052" s="8" t="s">
        <v>3038</v>
      </c>
    </row>
    <row r="1053">
      <c r="A1053" s="4" t="s">
        <v>18</v>
      </c>
      <c r="B1053" s="2" t="s">
        <v>3710</v>
      </c>
      <c r="C1053" s="5">
        <v>45949.0</v>
      </c>
      <c r="D1053" s="5">
        <v>45949.0</v>
      </c>
      <c r="E1053" s="24" t="s">
        <v>3711</v>
      </c>
      <c r="F1053" s="13"/>
      <c r="G1053" s="26"/>
      <c r="H1053" s="25">
        <v>760.0</v>
      </c>
      <c r="I1053" s="25">
        <v>21112.34</v>
      </c>
      <c r="K1053" s="12" t="str">
        <f t="shared" si="143"/>
        <v>UN3668</v>
      </c>
      <c r="L1053" s="2" t="s">
        <v>3712</v>
      </c>
      <c r="M1053" s="2" t="s">
        <v>24</v>
      </c>
      <c r="N1053" s="2" t="s">
        <v>60</v>
      </c>
      <c r="O1053" s="2">
        <v>1.10751038E8</v>
      </c>
      <c r="P1053" s="15"/>
      <c r="Q1053" s="8">
        <v>2025.0</v>
      </c>
      <c r="R1053" s="8" t="s">
        <v>3038</v>
      </c>
    </row>
    <row r="1054">
      <c r="A1054" s="4" t="s">
        <v>18</v>
      </c>
      <c r="B1054" s="2" t="s">
        <v>3713</v>
      </c>
      <c r="C1054" s="5">
        <v>45949.0</v>
      </c>
      <c r="D1054" s="5">
        <v>45949.0</v>
      </c>
      <c r="E1054" s="24" t="s">
        <v>3714</v>
      </c>
      <c r="F1054" s="13"/>
      <c r="G1054" s="25">
        <v>10455.0</v>
      </c>
      <c r="H1054" s="26"/>
      <c r="I1054" s="25">
        <v>10657.34</v>
      </c>
      <c r="K1054" s="2" t="s">
        <v>123</v>
      </c>
      <c r="M1054" s="2" t="s">
        <v>114</v>
      </c>
      <c r="N1054" s="2" t="s">
        <v>3715</v>
      </c>
      <c r="O1054" s="2">
        <v>1.10751038E8</v>
      </c>
      <c r="Q1054" s="8">
        <v>2025.0</v>
      </c>
      <c r="R1054" s="8" t="s">
        <v>3038</v>
      </c>
    </row>
    <row r="1055">
      <c r="A1055" s="4" t="s">
        <v>18</v>
      </c>
      <c r="B1055" s="2" t="s">
        <v>3716</v>
      </c>
      <c r="C1055" s="5">
        <v>45949.0</v>
      </c>
      <c r="D1055" s="5">
        <v>45949.0</v>
      </c>
      <c r="E1055" s="24" t="s">
        <v>3717</v>
      </c>
      <c r="F1055" s="13"/>
      <c r="G1055" s="26"/>
      <c r="H1055" s="25">
        <v>816.0</v>
      </c>
      <c r="I1055" s="25">
        <v>11473.34</v>
      </c>
      <c r="K1055" s="12" t="str">
        <f t="shared" ref="K1055:K1058" si="144">RIGHT(E1055,6)</f>
        <v>SL1610</v>
      </c>
      <c r="L1055" s="2" t="s">
        <v>3718</v>
      </c>
      <c r="M1055" s="2" t="s">
        <v>24</v>
      </c>
      <c r="N1055" s="2" t="s">
        <v>60</v>
      </c>
      <c r="O1055" s="2">
        <v>1.10751038E8</v>
      </c>
      <c r="P1055" s="15"/>
      <c r="Q1055" s="8">
        <v>2025.0</v>
      </c>
      <c r="R1055" s="8" t="s">
        <v>3038</v>
      </c>
    </row>
    <row r="1056">
      <c r="A1056" s="4" t="s">
        <v>18</v>
      </c>
      <c r="B1056" s="2" t="s">
        <v>3719</v>
      </c>
      <c r="C1056" s="5">
        <v>45950.0</v>
      </c>
      <c r="D1056" s="5">
        <v>45950.0</v>
      </c>
      <c r="E1056" s="24" t="s">
        <v>3720</v>
      </c>
      <c r="F1056" s="13"/>
      <c r="G1056" s="26"/>
      <c r="H1056" s="7">
        <v>870.0</v>
      </c>
      <c r="I1056" s="25">
        <v>12343.34</v>
      </c>
      <c r="K1056" s="12" t="str">
        <f t="shared" si="144"/>
        <v>SL1610</v>
      </c>
      <c r="L1056" s="2" t="s">
        <v>3619</v>
      </c>
      <c r="M1056" s="2" t="s">
        <v>24</v>
      </c>
      <c r="N1056" s="2" t="s">
        <v>60</v>
      </c>
      <c r="O1056" s="2">
        <v>1.10751038E8</v>
      </c>
      <c r="P1056" s="15"/>
      <c r="Q1056" s="8">
        <v>2025.0</v>
      </c>
      <c r="R1056" s="8" t="s">
        <v>3038</v>
      </c>
    </row>
    <row r="1057">
      <c r="A1057" s="4" t="s">
        <v>18</v>
      </c>
      <c r="B1057" s="2" t="s">
        <v>3721</v>
      </c>
      <c r="C1057" s="5">
        <v>45950.0</v>
      </c>
      <c r="D1057" s="5">
        <v>45950.0</v>
      </c>
      <c r="E1057" s="24" t="s">
        <v>3722</v>
      </c>
      <c r="F1057" s="13"/>
      <c r="G1057" s="26"/>
      <c r="H1057" s="25">
        <v>218.0</v>
      </c>
      <c r="I1057" s="25">
        <v>12561.34</v>
      </c>
      <c r="K1057" s="12" t="str">
        <f t="shared" si="144"/>
        <v>SC3567</v>
      </c>
      <c r="M1057" s="2" t="s">
        <v>24</v>
      </c>
      <c r="N1057" s="2" t="s">
        <v>60</v>
      </c>
      <c r="O1057" s="2">
        <v>1.10751038E8</v>
      </c>
      <c r="P1057" s="15" t="str">
        <f>IFERROR(__xludf.DUMMYFUNCTION("CONCATENATE(B1057,"", "", to_text(D1057),"", "", E1057,"", "", H1057)"),"TSV-10-0219, 20-Oct-2025, UPI/CR/391061597221/Sourab /SBIN/sourab./SC3567, 218")</f>
        <v>TSV-10-0219, 20-Oct-2025, UPI/CR/391061597221/Sourab /SBIN/sourab./SC3567, 218</v>
      </c>
      <c r="Q1057" s="8">
        <v>2025.0</v>
      </c>
      <c r="R1057" s="8" t="s">
        <v>3038</v>
      </c>
    </row>
    <row r="1058">
      <c r="A1058" s="4" t="s">
        <v>18</v>
      </c>
      <c r="B1058" s="2" t="s">
        <v>3723</v>
      </c>
      <c r="C1058" s="5">
        <v>45951.0</v>
      </c>
      <c r="D1058" s="5">
        <v>45951.0</v>
      </c>
      <c r="E1058" s="4" t="s">
        <v>3724</v>
      </c>
      <c r="F1058" s="9"/>
      <c r="G1058" s="6"/>
      <c r="H1058" s="11">
        <v>1095.0</v>
      </c>
      <c r="I1058" s="11">
        <v>13656.34</v>
      </c>
      <c r="K1058" s="12" t="str">
        <f t="shared" si="144"/>
        <v>UN3668</v>
      </c>
      <c r="L1058" s="2" t="s">
        <v>3725</v>
      </c>
      <c r="M1058" s="2" t="s">
        <v>24</v>
      </c>
      <c r="N1058" s="2" t="s">
        <v>60</v>
      </c>
      <c r="O1058" s="2">
        <v>1.10751038E8</v>
      </c>
      <c r="P1058" s="15"/>
      <c r="Q1058" s="8">
        <v>2025.0</v>
      </c>
      <c r="R1058" s="8" t="s">
        <v>3038</v>
      </c>
    </row>
    <row r="1059">
      <c r="A1059" s="4" t="s">
        <v>18</v>
      </c>
      <c r="B1059" s="2" t="s">
        <v>3726</v>
      </c>
      <c r="C1059" s="5">
        <v>45951.0</v>
      </c>
      <c r="D1059" s="5">
        <v>45951.0</v>
      </c>
      <c r="E1059" s="4" t="s">
        <v>3727</v>
      </c>
      <c r="F1059" s="9"/>
      <c r="G1059" s="7">
        <v>700.0</v>
      </c>
      <c r="H1059" s="6"/>
      <c r="I1059" s="11">
        <v>12956.34</v>
      </c>
      <c r="K1059" s="2" t="s">
        <v>127</v>
      </c>
      <c r="M1059" s="2" t="s">
        <v>114</v>
      </c>
      <c r="N1059" s="2" t="s">
        <v>1835</v>
      </c>
      <c r="O1059" s="2">
        <v>1.10751038E8</v>
      </c>
      <c r="Q1059" s="8">
        <v>2025.0</v>
      </c>
      <c r="R1059" s="8" t="s">
        <v>3038</v>
      </c>
    </row>
    <row r="1060">
      <c r="A1060" s="4" t="s">
        <v>18</v>
      </c>
      <c r="B1060" s="2" t="s">
        <v>3728</v>
      </c>
      <c r="C1060" s="5">
        <v>45951.0</v>
      </c>
      <c r="D1060" s="5">
        <v>45951.0</v>
      </c>
      <c r="E1060" s="4" t="s">
        <v>3729</v>
      </c>
      <c r="F1060" s="9"/>
      <c r="G1060" s="7">
        <v>800.0</v>
      </c>
      <c r="H1060" s="6"/>
      <c r="I1060" s="11">
        <v>12156.34</v>
      </c>
      <c r="K1060" s="2" t="s">
        <v>119</v>
      </c>
      <c r="M1060" s="2" t="s">
        <v>114</v>
      </c>
      <c r="N1060" s="2" t="s">
        <v>1835</v>
      </c>
      <c r="O1060" s="2">
        <v>1.10751038E8</v>
      </c>
      <c r="Q1060" s="8">
        <v>2025.0</v>
      </c>
      <c r="R1060" s="8" t="s">
        <v>3038</v>
      </c>
    </row>
    <row r="1061">
      <c r="A1061" s="4" t="s">
        <v>18</v>
      </c>
      <c r="B1061" s="2" t="s">
        <v>3730</v>
      </c>
      <c r="C1061" s="5">
        <v>45951.0</v>
      </c>
      <c r="D1061" s="5">
        <v>45951.0</v>
      </c>
      <c r="E1061" s="4" t="s">
        <v>3731</v>
      </c>
      <c r="F1061" s="9"/>
      <c r="G1061" s="7">
        <v>317.0</v>
      </c>
      <c r="H1061" s="6"/>
      <c r="I1061" s="11">
        <v>11839.34</v>
      </c>
      <c r="K1061" s="2" t="s">
        <v>113</v>
      </c>
      <c r="M1061" s="2" t="s">
        <v>114</v>
      </c>
      <c r="N1061" s="2" t="s">
        <v>2883</v>
      </c>
      <c r="O1061" s="2">
        <v>1.10751038E8</v>
      </c>
      <c r="Q1061" s="8">
        <v>2025.0</v>
      </c>
      <c r="R1061" s="8" t="s">
        <v>3038</v>
      </c>
    </row>
    <row r="1062">
      <c r="A1062" s="4" t="s">
        <v>18</v>
      </c>
      <c r="B1062" s="2" t="s">
        <v>3732</v>
      </c>
      <c r="C1062" s="5">
        <v>45952.0</v>
      </c>
      <c r="D1062" s="5">
        <v>45952.0</v>
      </c>
      <c r="E1062" s="4" t="s">
        <v>3733</v>
      </c>
      <c r="F1062" s="9"/>
      <c r="G1062" s="6"/>
      <c r="H1062" s="7">
        <v>250.0</v>
      </c>
      <c r="I1062" s="11">
        <v>12089.34</v>
      </c>
      <c r="K1062" s="12" t="str">
        <f t="shared" ref="K1062:K1072" si="145">RIGHT(E1062,6)</f>
        <v>UN3668</v>
      </c>
      <c r="L1062" s="2" t="s">
        <v>3734</v>
      </c>
      <c r="M1062" s="2" t="s">
        <v>24</v>
      </c>
      <c r="N1062" s="2" t="s">
        <v>60</v>
      </c>
      <c r="O1062" s="2">
        <v>1.10751038E8</v>
      </c>
      <c r="P1062" s="15"/>
      <c r="Q1062" s="8">
        <v>2025.0</v>
      </c>
      <c r="R1062" s="8" t="s">
        <v>3038</v>
      </c>
    </row>
    <row r="1063">
      <c r="A1063" s="4" t="s">
        <v>18</v>
      </c>
      <c r="B1063" s="2" t="s">
        <v>3735</v>
      </c>
      <c r="C1063" s="5">
        <v>45952.0</v>
      </c>
      <c r="D1063" s="5">
        <v>45952.0</v>
      </c>
      <c r="E1063" s="4" t="s">
        <v>3736</v>
      </c>
      <c r="F1063" s="9"/>
      <c r="G1063" s="6"/>
      <c r="H1063" s="7">
        <v>827.0</v>
      </c>
      <c r="I1063" s="11">
        <v>12916.34</v>
      </c>
      <c r="K1063" s="12" t="str">
        <f t="shared" si="145"/>
        <v>SC3567</v>
      </c>
      <c r="M1063" s="2" t="s">
        <v>24</v>
      </c>
      <c r="N1063" s="2" t="s">
        <v>60</v>
      </c>
      <c r="O1063" s="2">
        <v>1.10751038E8</v>
      </c>
      <c r="P1063" s="15" t="str">
        <f>IFERROR(__xludf.DUMMYFUNCTION("CONCATENATE(B1063,"", "", to_text(D1063),"", "", E1063,"", "", H1063)"),"TSV-10-0225, 22-Oct-2025, UPI/CR/038790068975/JPGAS SE/UBIN/9810076/SC3567, 827")</f>
        <v>TSV-10-0225, 22-Oct-2025, UPI/CR/038790068975/JPGAS SE/UBIN/9810076/SC3567, 827</v>
      </c>
      <c r="Q1063" s="8">
        <v>2025.0</v>
      </c>
      <c r="R1063" s="8" t="s">
        <v>3038</v>
      </c>
    </row>
    <row r="1064">
      <c r="A1064" s="4" t="s">
        <v>18</v>
      </c>
      <c r="B1064" s="2" t="s">
        <v>3737</v>
      </c>
      <c r="C1064" s="5">
        <v>45952.0</v>
      </c>
      <c r="D1064" s="5">
        <v>45952.0</v>
      </c>
      <c r="E1064" s="4" t="s">
        <v>3738</v>
      </c>
      <c r="F1064" s="9"/>
      <c r="G1064" s="6"/>
      <c r="H1064" s="7">
        <v>450.0</v>
      </c>
      <c r="I1064" s="11">
        <v>13366.34</v>
      </c>
      <c r="K1064" s="12" t="str">
        <f t="shared" si="145"/>
        <v>UN3668</v>
      </c>
      <c r="L1064" s="2" t="s">
        <v>3739</v>
      </c>
      <c r="M1064" s="2" t="s">
        <v>24</v>
      </c>
      <c r="N1064" s="2" t="s">
        <v>60</v>
      </c>
      <c r="O1064" s="2">
        <v>1.10751038E8</v>
      </c>
      <c r="P1064" s="15"/>
      <c r="Q1064" s="8">
        <v>2025.0</v>
      </c>
      <c r="R1064" s="8" t="s">
        <v>3038</v>
      </c>
    </row>
    <row r="1065">
      <c r="A1065" s="4" t="s">
        <v>18</v>
      </c>
      <c r="B1065" s="2" t="s">
        <v>3740</v>
      </c>
      <c r="C1065" s="5">
        <v>45952.0</v>
      </c>
      <c r="D1065" s="5">
        <v>45952.0</v>
      </c>
      <c r="E1065" s="4" t="s">
        <v>3741</v>
      </c>
      <c r="F1065" s="9"/>
      <c r="G1065" s="6"/>
      <c r="H1065" s="7">
        <v>792.0</v>
      </c>
      <c r="I1065" s="11">
        <v>14158.34</v>
      </c>
      <c r="K1065" s="12" t="str">
        <f t="shared" si="145"/>
        <v>UN3668</v>
      </c>
      <c r="L1065" s="2" t="s">
        <v>3742</v>
      </c>
      <c r="M1065" s="2" t="s">
        <v>24</v>
      </c>
      <c r="N1065" s="2" t="s">
        <v>60</v>
      </c>
      <c r="O1065" s="2">
        <v>1.10751038E8</v>
      </c>
      <c r="P1065" s="15"/>
      <c r="Q1065" s="8">
        <v>2025.0</v>
      </c>
      <c r="R1065" s="8" t="s">
        <v>3038</v>
      </c>
    </row>
    <row r="1066">
      <c r="A1066" s="4" t="s">
        <v>18</v>
      </c>
      <c r="B1066" s="2" t="s">
        <v>3743</v>
      </c>
      <c r="C1066" s="5">
        <v>45952.0</v>
      </c>
      <c r="D1066" s="5">
        <v>45952.0</v>
      </c>
      <c r="E1066" s="4" t="s">
        <v>3744</v>
      </c>
      <c r="F1066" s="9"/>
      <c r="G1066" s="6"/>
      <c r="H1066" s="7">
        <v>490.0</v>
      </c>
      <c r="I1066" s="11">
        <v>14648.34</v>
      </c>
      <c r="K1066" s="12" t="str">
        <f t="shared" si="145"/>
        <v>UN3668</v>
      </c>
      <c r="L1066" s="2" t="s">
        <v>3745</v>
      </c>
      <c r="M1066" s="2" t="s">
        <v>24</v>
      </c>
      <c r="N1066" s="2" t="s">
        <v>60</v>
      </c>
      <c r="O1066" s="2">
        <v>1.10751038E8</v>
      </c>
      <c r="P1066" s="15"/>
      <c r="Q1066" s="8">
        <v>2025.0</v>
      </c>
      <c r="R1066" s="8" t="s">
        <v>3038</v>
      </c>
    </row>
    <row r="1067">
      <c r="A1067" s="4" t="s">
        <v>18</v>
      </c>
      <c r="B1067" s="2" t="s">
        <v>3746</v>
      </c>
      <c r="C1067" s="5">
        <v>45952.0</v>
      </c>
      <c r="D1067" s="5">
        <v>45952.0</v>
      </c>
      <c r="E1067" s="4" t="s">
        <v>3747</v>
      </c>
      <c r="F1067" s="9"/>
      <c r="G1067" s="6"/>
      <c r="H1067" s="7">
        <v>495.0</v>
      </c>
      <c r="I1067" s="11">
        <v>15143.34</v>
      </c>
      <c r="K1067" s="12" t="str">
        <f t="shared" si="145"/>
        <v>UN3668</v>
      </c>
      <c r="L1067" s="2" t="s">
        <v>3748</v>
      </c>
      <c r="M1067" s="2" t="s">
        <v>24</v>
      </c>
      <c r="N1067" s="2" t="s">
        <v>60</v>
      </c>
      <c r="O1067" s="2">
        <v>1.10751038E8</v>
      </c>
      <c r="P1067" s="15"/>
      <c r="Q1067" s="8">
        <v>2025.0</v>
      </c>
      <c r="R1067" s="8" t="s">
        <v>3038</v>
      </c>
    </row>
    <row r="1068">
      <c r="A1068" s="4" t="s">
        <v>18</v>
      </c>
      <c r="B1068" s="2" t="s">
        <v>3749</v>
      </c>
      <c r="C1068" s="5">
        <v>45952.0</v>
      </c>
      <c r="D1068" s="5">
        <v>45952.0</v>
      </c>
      <c r="E1068" s="4" t="s">
        <v>3750</v>
      </c>
      <c r="F1068" s="9"/>
      <c r="G1068" s="6"/>
      <c r="H1068" s="7">
        <v>800.0</v>
      </c>
      <c r="I1068" s="11">
        <v>15943.34</v>
      </c>
      <c r="K1068" s="12" t="str">
        <f t="shared" si="145"/>
        <v>KN3817</v>
      </c>
      <c r="L1068" s="2" t="s">
        <v>3751</v>
      </c>
      <c r="M1068" s="2" t="s">
        <v>24</v>
      </c>
      <c r="N1068" s="2" t="s">
        <v>60</v>
      </c>
      <c r="O1068" s="2">
        <v>1.10751038E8</v>
      </c>
      <c r="P1068" s="15"/>
      <c r="Q1068" s="8">
        <v>2025.0</v>
      </c>
      <c r="R1068" s="8" t="s">
        <v>3038</v>
      </c>
    </row>
    <row r="1069">
      <c r="A1069" s="4" t="s">
        <v>18</v>
      </c>
      <c r="B1069" s="2" t="s">
        <v>3752</v>
      </c>
      <c r="C1069" s="5">
        <v>45953.0</v>
      </c>
      <c r="D1069" s="5">
        <v>45953.0</v>
      </c>
      <c r="E1069" s="4" t="s">
        <v>3753</v>
      </c>
      <c r="F1069" s="9"/>
      <c r="G1069" s="6"/>
      <c r="H1069" s="11">
        <v>2109.0</v>
      </c>
      <c r="I1069" s="11">
        <v>18052.34</v>
      </c>
      <c r="K1069" s="12" t="str">
        <f t="shared" si="145"/>
        <v>SC3567</v>
      </c>
      <c r="M1069" s="2" t="s">
        <v>24</v>
      </c>
      <c r="N1069" s="2" t="s">
        <v>60</v>
      </c>
      <c r="O1069" s="2">
        <v>1.10751038E8</v>
      </c>
      <c r="P1069" s="15" t="str">
        <f>IFERROR(__xludf.DUMMYFUNCTION("CONCATENATE(B1069,"", "", to_text(D1069),"", "", E1069,"", "", H1069)"),"TSV-10-0231, 23-Oct-2025, UPI/CR/529622708107/PRAVEEN/HDFC/9999072/SC3567, 2109")</f>
        <v>TSV-10-0231, 23-Oct-2025, UPI/CR/529622708107/PRAVEEN/HDFC/9999072/SC3567, 2109</v>
      </c>
      <c r="Q1069" s="8">
        <v>2025.0</v>
      </c>
      <c r="R1069" s="8" t="s">
        <v>3038</v>
      </c>
    </row>
    <row r="1070">
      <c r="A1070" s="4" t="s">
        <v>18</v>
      </c>
      <c r="B1070" s="2" t="s">
        <v>3754</v>
      </c>
      <c r="C1070" s="5">
        <v>45953.0</v>
      </c>
      <c r="D1070" s="5">
        <v>45953.0</v>
      </c>
      <c r="E1070" s="4" t="s">
        <v>3755</v>
      </c>
      <c r="F1070" s="9"/>
      <c r="G1070" s="6"/>
      <c r="H1070" s="7">
        <v>300.0</v>
      </c>
      <c r="I1070" s="11">
        <v>18352.34</v>
      </c>
      <c r="K1070" s="12" t="str">
        <f t="shared" si="145"/>
        <v>UN3668</v>
      </c>
      <c r="L1070" s="2" t="s">
        <v>3756</v>
      </c>
      <c r="M1070" s="2" t="s">
        <v>24</v>
      </c>
      <c r="N1070" s="2" t="s">
        <v>60</v>
      </c>
      <c r="O1070" s="2">
        <v>1.10751038E8</v>
      </c>
      <c r="P1070" s="15"/>
      <c r="Q1070" s="8">
        <v>2025.0</v>
      </c>
      <c r="R1070" s="8" t="s">
        <v>3038</v>
      </c>
    </row>
    <row r="1071">
      <c r="A1071" s="4" t="s">
        <v>18</v>
      </c>
      <c r="B1071" s="2" t="s">
        <v>3757</v>
      </c>
      <c r="C1071" s="5">
        <v>45953.0</v>
      </c>
      <c r="D1071" s="5">
        <v>45953.0</v>
      </c>
      <c r="E1071" s="4" t="s">
        <v>3758</v>
      </c>
      <c r="F1071" s="9"/>
      <c r="G1071" s="6"/>
      <c r="H1071" s="7">
        <v>240.0</v>
      </c>
      <c r="I1071" s="11">
        <v>18592.34</v>
      </c>
      <c r="K1071" s="12" t="str">
        <f t="shared" si="145"/>
        <v>UN3668</v>
      </c>
      <c r="L1071" s="2" t="s">
        <v>3759</v>
      </c>
      <c r="M1071" s="2" t="s">
        <v>24</v>
      </c>
      <c r="N1071" s="2" t="s">
        <v>60</v>
      </c>
      <c r="O1071" s="2">
        <v>1.10751038E8</v>
      </c>
      <c r="P1071" s="15"/>
      <c r="Q1071" s="8">
        <v>2025.0</v>
      </c>
      <c r="R1071" s="8" t="s">
        <v>3038</v>
      </c>
    </row>
    <row r="1072">
      <c r="A1072" s="4" t="s">
        <v>18</v>
      </c>
      <c r="B1072" s="2" t="s">
        <v>3760</v>
      </c>
      <c r="C1072" s="5">
        <v>45953.0</v>
      </c>
      <c r="D1072" s="5">
        <v>45953.0</v>
      </c>
      <c r="E1072" s="4" t="s">
        <v>3761</v>
      </c>
      <c r="F1072" s="9"/>
      <c r="G1072" s="6"/>
      <c r="H1072" s="7">
        <v>672.0</v>
      </c>
      <c r="I1072" s="11">
        <v>19264.34</v>
      </c>
      <c r="K1072" s="12" t="str">
        <f t="shared" si="145"/>
        <v>UN3668</v>
      </c>
      <c r="L1072" s="2" t="s">
        <v>3762</v>
      </c>
      <c r="M1072" s="2" t="s">
        <v>24</v>
      </c>
      <c r="N1072" s="2" t="s">
        <v>60</v>
      </c>
      <c r="O1072" s="2">
        <v>1.10751038E8</v>
      </c>
      <c r="P1072" s="15"/>
      <c r="Q1072" s="8">
        <v>2025.0</v>
      </c>
      <c r="R1072" s="8" t="s">
        <v>3038</v>
      </c>
    </row>
    <row r="1073">
      <c r="A1073" s="4" t="s">
        <v>18</v>
      </c>
      <c r="B1073" s="2" t="s">
        <v>3763</v>
      </c>
      <c r="C1073" s="5">
        <v>45953.0</v>
      </c>
      <c r="D1073" s="5">
        <v>45953.0</v>
      </c>
      <c r="E1073" s="4" t="s">
        <v>3764</v>
      </c>
      <c r="F1073" s="9"/>
      <c r="G1073" s="7">
        <v>500.0</v>
      </c>
      <c r="H1073" s="6"/>
      <c r="I1073" s="11">
        <v>18764.34</v>
      </c>
      <c r="J1073" s="2" t="s">
        <v>3765</v>
      </c>
      <c r="K1073" s="2" t="s">
        <v>127</v>
      </c>
      <c r="M1073" s="2" t="s">
        <v>114</v>
      </c>
      <c r="N1073" s="2" t="s">
        <v>169</v>
      </c>
      <c r="O1073" s="2">
        <v>1.10751038E8</v>
      </c>
      <c r="Q1073" s="8">
        <v>2025.0</v>
      </c>
      <c r="R1073" s="8" t="s">
        <v>3038</v>
      </c>
    </row>
    <row r="1074">
      <c r="A1074" s="4" t="s">
        <v>18</v>
      </c>
      <c r="B1074" s="2" t="s">
        <v>3766</v>
      </c>
      <c r="C1074" s="5">
        <v>45953.0</v>
      </c>
      <c r="D1074" s="5">
        <v>45953.0</v>
      </c>
      <c r="E1074" s="4" t="s">
        <v>3767</v>
      </c>
      <c r="F1074" s="9"/>
      <c r="G1074" s="6"/>
      <c r="H1074" s="7">
        <v>217.0</v>
      </c>
      <c r="I1074" s="11">
        <v>18981.34</v>
      </c>
      <c r="K1074" s="12" t="str">
        <f>RIGHT(E1074,6)</f>
        <v>SL1610</v>
      </c>
      <c r="L1074" s="2" t="s">
        <v>3768</v>
      </c>
      <c r="M1074" s="2" t="s">
        <v>24</v>
      </c>
      <c r="N1074" s="2" t="s">
        <v>60</v>
      </c>
      <c r="O1074" s="2">
        <v>1.10751038E8</v>
      </c>
      <c r="P1074" s="15"/>
      <c r="Q1074" s="8">
        <v>2025.0</v>
      </c>
      <c r="R1074" s="8" t="s">
        <v>3038</v>
      </c>
    </row>
    <row r="1075">
      <c r="A1075" s="4" t="s">
        <v>18</v>
      </c>
      <c r="B1075" s="2" t="s">
        <v>3769</v>
      </c>
      <c r="C1075" s="5">
        <v>45954.0</v>
      </c>
      <c r="D1075" s="5">
        <v>45954.0</v>
      </c>
      <c r="E1075" s="4" t="s">
        <v>3770</v>
      </c>
      <c r="F1075" s="9"/>
      <c r="G1075" s="11">
        <v>1635.0</v>
      </c>
      <c r="H1075" s="6"/>
      <c r="I1075" s="11">
        <v>17346.34</v>
      </c>
      <c r="K1075" s="2" t="s">
        <v>113</v>
      </c>
      <c r="M1075" s="2" t="s">
        <v>114</v>
      </c>
      <c r="N1075" s="2" t="s">
        <v>1800</v>
      </c>
      <c r="O1075" s="2">
        <v>1.10751038E8</v>
      </c>
      <c r="Q1075" s="8">
        <v>2025.0</v>
      </c>
      <c r="R1075" s="8" t="s">
        <v>3038</v>
      </c>
    </row>
    <row r="1076">
      <c r="A1076" s="4" t="s">
        <v>18</v>
      </c>
      <c r="B1076" s="2" t="s">
        <v>3771</v>
      </c>
      <c r="C1076" s="5">
        <v>45954.0</v>
      </c>
      <c r="D1076" s="5">
        <v>45954.0</v>
      </c>
      <c r="E1076" s="4" t="s">
        <v>3772</v>
      </c>
      <c r="F1076" s="9"/>
      <c r="G1076" s="6"/>
      <c r="H1076" s="7">
        <v>109.0</v>
      </c>
      <c r="I1076" s="11">
        <v>17455.34</v>
      </c>
      <c r="K1076" s="12" t="str">
        <f>RIGHT(E1076,6)</f>
        <v>SC3567</v>
      </c>
      <c r="M1076" s="2" t="s">
        <v>24</v>
      </c>
      <c r="N1076" s="2" t="s">
        <v>60</v>
      </c>
      <c r="O1076" s="2">
        <v>1.10751038E8</v>
      </c>
      <c r="P1076" s="15" t="str">
        <f>IFERROR(__xludf.DUMMYFUNCTION("CONCATENATE(B1076,"", "", to_text(D1076),"", "", E1076,"", "", H1076)"),"TSV-10-0238, 24-Oct-2025, UPI/CR/586873830311/SANJEEV /HDFC/9971870/SC3567, 109")</f>
        <v>TSV-10-0238, 24-Oct-2025, UPI/CR/586873830311/SANJEEV /HDFC/9971870/SC3567, 109</v>
      </c>
      <c r="Q1076" s="8">
        <v>2025.0</v>
      </c>
      <c r="R1076" s="8" t="s">
        <v>3038</v>
      </c>
    </row>
    <row r="1077">
      <c r="A1077" s="4" t="s">
        <v>18</v>
      </c>
      <c r="B1077" s="2" t="s">
        <v>3773</v>
      </c>
      <c r="C1077" s="5">
        <v>45954.0</v>
      </c>
      <c r="D1077" s="5">
        <v>45954.0</v>
      </c>
      <c r="E1077" s="4" t="s">
        <v>3774</v>
      </c>
      <c r="F1077" s="9"/>
      <c r="G1077" s="7">
        <v>772.2</v>
      </c>
      <c r="H1077" s="6"/>
      <c r="I1077" s="11">
        <v>16683.14</v>
      </c>
      <c r="K1077" s="2" t="s">
        <v>123</v>
      </c>
      <c r="M1077" s="2" t="s">
        <v>114</v>
      </c>
      <c r="N1077" s="2" t="s">
        <v>478</v>
      </c>
      <c r="O1077" s="2">
        <v>1.10751038E8</v>
      </c>
      <c r="Q1077" s="8">
        <v>2025.0</v>
      </c>
      <c r="R1077" s="8" t="s">
        <v>3038</v>
      </c>
    </row>
    <row r="1078">
      <c r="A1078" s="4" t="s">
        <v>18</v>
      </c>
      <c r="B1078" s="2" t="s">
        <v>3775</v>
      </c>
      <c r="C1078" s="5">
        <v>45954.0</v>
      </c>
      <c r="D1078" s="5">
        <v>45954.0</v>
      </c>
      <c r="E1078" s="4" t="s">
        <v>3776</v>
      </c>
      <c r="F1078" s="9"/>
      <c r="G1078" s="7">
        <v>577.0</v>
      </c>
      <c r="H1078" s="6"/>
      <c r="I1078" s="11">
        <v>16106.14</v>
      </c>
      <c r="K1078" s="2" t="s">
        <v>123</v>
      </c>
      <c r="M1078" s="2" t="s">
        <v>114</v>
      </c>
      <c r="N1078" s="2" t="s">
        <v>1835</v>
      </c>
      <c r="O1078" s="2">
        <v>1.10751038E8</v>
      </c>
      <c r="Q1078" s="8">
        <v>2025.0</v>
      </c>
      <c r="R1078" s="8" t="s">
        <v>3038</v>
      </c>
    </row>
    <row r="1079">
      <c r="A1079" s="4" t="s">
        <v>18</v>
      </c>
      <c r="B1079" s="2" t="s">
        <v>3777</v>
      </c>
      <c r="C1079" s="5">
        <v>45954.0</v>
      </c>
      <c r="D1079" s="5">
        <v>45954.0</v>
      </c>
      <c r="E1079" s="4" t="s">
        <v>3778</v>
      </c>
      <c r="F1079" s="9"/>
      <c r="G1079" s="7">
        <v>772.2</v>
      </c>
      <c r="H1079" s="6"/>
      <c r="I1079" s="11">
        <v>15333.94</v>
      </c>
      <c r="K1079" s="2" t="s">
        <v>127</v>
      </c>
      <c r="M1079" s="2" t="s">
        <v>114</v>
      </c>
      <c r="N1079" s="2" t="s">
        <v>478</v>
      </c>
      <c r="O1079" s="2">
        <v>1.10751038E8</v>
      </c>
      <c r="Q1079" s="8">
        <v>2025.0</v>
      </c>
      <c r="R1079" s="8" t="s">
        <v>3038</v>
      </c>
    </row>
    <row r="1080">
      <c r="A1080" s="4" t="s">
        <v>18</v>
      </c>
      <c r="B1080" s="2" t="s">
        <v>3779</v>
      </c>
      <c r="C1080" s="5">
        <v>45954.0</v>
      </c>
      <c r="D1080" s="5">
        <v>45954.0</v>
      </c>
      <c r="E1080" s="4" t="s">
        <v>3780</v>
      </c>
      <c r="F1080" s="9"/>
      <c r="G1080" s="6"/>
      <c r="H1080" s="7">
        <v>816.0</v>
      </c>
      <c r="I1080" s="11">
        <v>16149.94</v>
      </c>
      <c r="K1080" s="12" t="str">
        <f t="shared" ref="K1080:K1081" si="146">RIGHT(E1080,6)</f>
        <v>SL1610</v>
      </c>
      <c r="L1080" s="2" t="s">
        <v>3781</v>
      </c>
      <c r="M1080" s="2" t="s">
        <v>24</v>
      </c>
      <c r="N1080" s="2" t="s">
        <v>60</v>
      </c>
      <c r="O1080" s="2">
        <v>1.10751038E8</v>
      </c>
      <c r="P1080" s="15"/>
      <c r="Q1080" s="8">
        <v>2025.0</v>
      </c>
      <c r="R1080" s="8" t="s">
        <v>3038</v>
      </c>
    </row>
    <row r="1081">
      <c r="A1081" s="4" t="s">
        <v>18</v>
      </c>
      <c r="B1081" s="2" t="s">
        <v>3782</v>
      </c>
      <c r="C1081" s="5">
        <v>45954.0</v>
      </c>
      <c r="D1081" s="5">
        <v>45954.0</v>
      </c>
      <c r="E1081" s="4" t="s">
        <v>3783</v>
      </c>
      <c r="F1081" s="9"/>
      <c r="G1081" s="6"/>
      <c r="H1081" s="11">
        <v>2000.0</v>
      </c>
      <c r="I1081" s="11">
        <v>18149.94</v>
      </c>
      <c r="K1081" s="12" t="str">
        <f t="shared" si="146"/>
        <v>SL1610</v>
      </c>
      <c r="L1081" s="2" t="s">
        <v>3784</v>
      </c>
      <c r="M1081" s="2" t="s">
        <v>24</v>
      </c>
      <c r="N1081" s="2" t="s">
        <v>60</v>
      </c>
      <c r="O1081" s="2">
        <v>1.10751038E8</v>
      </c>
      <c r="P1081" s="15"/>
      <c r="Q1081" s="8">
        <v>2025.0</v>
      </c>
      <c r="R1081" s="8" t="s">
        <v>3038</v>
      </c>
    </row>
    <row r="1082">
      <c r="A1082" s="4" t="s">
        <v>18</v>
      </c>
      <c r="B1082" s="2" t="s">
        <v>3785</v>
      </c>
      <c r="C1082" s="5">
        <v>45954.0</v>
      </c>
      <c r="D1082" s="5">
        <v>45954.0</v>
      </c>
      <c r="E1082" s="4" t="s">
        <v>3786</v>
      </c>
      <c r="F1082" s="9"/>
      <c r="G1082" s="6"/>
      <c r="H1082" s="7">
        <v>30.0</v>
      </c>
      <c r="I1082" s="11">
        <v>18179.94</v>
      </c>
      <c r="K1082" s="2" t="s">
        <v>113</v>
      </c>
      <c r="L1082" s="2" t="s">
        <v>3784</v>
      </c>
      <c r="M1082" s="2" t="s">
        <v>24</v>
      </c>
      <c r="N1082" s="2" t="s">
        <v>60</v>
      </c>
      <c r="O1082" s="2">
        <v>1.10751038E8</v>
      </c>
      <c r="P1082" s="15"/>
      <c r="Q1082" s="8">
        <v>2025.0</v>
      </c>
      <c r="R1082" s="8" t="s">
        <v>3038</v>
      </c>
    </row>
    <row r="1083">
      <c r="A1083" s="4" t="s">
        <v>18</v>
      </c>
      <c r="B1083" s="2" t="s">
        <v>3787</v>
      </c>
      <c r="C1083" s="5">
        <v>45954.0</v>
      </c>
      <c r="D1083" s="5">
        <v>45954.0</v>
      </c>
      <c r="E1083" s="4" t="s">
        <v>3788</v>
      </c>
      <c r="F1083" s="9"/>
      <c r="G1083" s="6"/>
      <c r="H1083" s="7">
        <v>470.0</v>
      </c>
      <c r="I1083" s="11">
        <v>18649.94</v>
      </c>
      <c r="K1083" s="12" t="str">
        <f>RIGHT(E1083,6)</f>
        <v>SL1610</v>
      </c>
      <c r="L1083" s="2" t="s">
        <v>3789</v>
      </c>
      <c r="M1083" s="2" t="s">
        <v>24</v>
      </c>
      <c r="N1083" s="2" t="s">
        <v>60</v>
      </c>
      <c r="O1083" s="2">
        <v>1.10751038E8</v>
      </c>
      <c r="P1083" s="15"/>
      <c r="Q1083" s="8">
        <v>2025.0</v>
      </c>
      <c r="R1083" s="8" t="s">
        <v>3038</v>
      </c>
    </row>
    <row r="1084">
      <c r="A1084" s="4" t="s">
        <v>18</v>
      </c>
      <c r="B1084" s="2" t="s">
        <v>3790</v>
      </c>
      <c r="C1084" s="5">
        <v>45954.0</v>
      </c>
      <c r="D1084" s="5">
        <v>45954.0</v>
      </c>
      <c r="E1084" s="4" t="s">
        <v>3791</v>
      </c>
      <c r="F1084" s="9"/>
      <c r="G1084" s="6"/>
      <c r="H1084" s="7">
        <v>772.2</v>
      </c>
      <c r="I1084" s="11">
        <v>19422.14</v>
      </c>
      <c r="K1084" s="2" t="s">
        <v>23</v>
      </c>
      <c r="M1084" s="2" t="s">
        <v>24</v>
      </c>
      <c r="N1084" s="2" t="s">
        <v>195</v>
      </c>
      <c r="O1084" s="2">
        <v>1.10751038E8</v>
      </c>
      <c r="Q1084" s="8">
        <v>2025.0</v>
      </c>
      <c r="R1084" s="8" t="s">
        <v>3038</v>
      </c>
    </row>
    <row r="1085">
      <c r="A1085" s="4" t="s">
        <v>18</v>
      </c>
      <c r="B1085" s="2" t="s">
        <v>3792</v>
      </c>
      <c r="C1085" s="5">
        <v>45954.0</v>
      </c>
      <c r="D1085" s="5">
        <v>45954.0</v>
      </c>
      <c r="E1085" s="4" t="s">
        <v>3793</v>
      </c>
      <c r="F1085" s="9"/>
      <c r="G1085" s="6"/>
      <c r="H1085" s="7">
        <v>220.0</v>
      </c>
      <c r="I1085" s="11">
        <v>19642.14</v>
      </c>
      <c r="K1085" s="12" t="str">
        <f>RIGHT(E1085,6)</f>
        <v>UN3668</v>
      </c>
      <c r="L1085" s="2" t="s">
        <v>3794</v>
      </c>
      <c r="M1085" s="2" t="s">
        <v>24</v>
      </c>
      <c r="N1085" s="2" t="s">
        <v>60</v>
      </c>
      <c r="O1085" s="2">
        <v>1.10751038E8</v>
      </c>
      <c r="P1085" s="15"/>
      <c r="Q1085" s="8">
        <v>2025.0</v>
      </c>
      <c r="R1085" s="8" t="s">
        <v>3038</v>
      </c>
    </row>
    <row r="1086">
      <c r="A1086" s="4" t="s">
        <v>18</v>
      </c>
      <c r="B1086" s="2" t="s">
        <v>3795</v>
      </c>
      <c r="C1086" s="5">
        <v>45954.0</v>
      </c>
      <c r="D1086" s="5">
        <v>45954.0</v>
      </c>
      <c r="E1086" s="4" t="s">
        <v>3796</v>
      </c>
      <c r="F1086" s="9"/>
      <c r="G1086" s="6"/>
      <c r="H1086" s="7">
        <v>772.2</v>
      </c>
      <c r="I1086" s="11">
        <v>20414.34</v>
      </c>
      <c r="K1086" s="2" t="s">
        <v>23</v>
      </c>
      <c r="M1086" s="2" t="s">
        <v>24</v>
      </c>
      <c r="N1086" s="2" t="s">
        <v>195</v>
      </c>
      <c r="O1086" s="2">
        <v>1.10751038E8</v>
      </c>
      <c r="Q1086" s="8">
        <v>2025.0</v>
      </c>
      <c r="R1086" s="8" t="s">
        <v>3038</v>
      </c>
    </row>
    <row r="1087">
      <c r="A1087" s="4" t="s">
        <v>18</v>
      </c>
      <c r="B1087" s="2" t="s">
        <v>3797</v>
      </c>
      <c r="C1087" s="5">
        <v>45954.0</v>
      </c>
      <c r="D1087" s="5">
        <v>45954.0</v>
      </c>
      <c r="E1087" s="4" t="s">
        <v>3798</v>
      </c>
      <c r="F1087" s="9"/>
      <c r="G1087" s="11">
        <v>2000.0</v>
      </c>
      <c r="H1087" s="6"/>
      <c r="I1087" s="11">
        <v>18414.34</v>
      </c>
      <c r="J1087" s="2" t="s">
        <v>3799</v>
      </c>
      <c r="K1087" s="2" t="s">
        <v>113</v>
      </c>
      <c r="M1087" s="2" t="s">
        <v>114</v>
      </c>
      <c r="N1087" s="2" t="s">
        <v>169</v>
      </c>
      <c r="O1087" s="2">
        <v>1.10751038E8</v>
      </c>
      <c r="Q1087" s="8">
        <v>2025.0</v>
      </c>
      <c r="R1087" s="8" t="s">
        <v>3038</v>
      </c>
    </row>
    <row r="1088">
      <c r="A1088" s="4" t="s">
        <v>18</v>
      </c>
      <c r="B1088" s="2" t="s">
        <v>3800</v>
      </c>
      <c r="C1088" s="5">
        <v>45955.0</v>
      </c>
      <c r="D1088" s="5">
        <v>45955.0</v>
      </c>
      <c r="E1088" s="4" t="s">
        <v>3801</v>
      </c>
      <c r="F1088" s="9"/>
      <c r="G1088" s="11">
        <v>1635.0</v>
      </c>
      <c r="H1088" s="6"/>
      <c r="I1088" s="11">
        <v>16779.34</v>
      </c>
      <c r="K1088" s="2" t="s">
        <v>123</v>
      </c>
      <c r="M1088" s="2" t="s">
        <v>114</v>
      </c>
      <c r="N1088" s="2" t="s">
        <v>1800</v>
      </c>
      <c r="O1088" s="2">
        <v>1.10751038E8</v>
      </c>
      <c r="Q1088" s="8">
        <v>2025.0</v>
      </c>
      <c r="R1088" s="8" t="s">
        <v>3038</v>
      </c>
    </row>
    <row r="1089">
      <c r="A1089" s="4" t="s">
        <v>18</v>
      </c>
      <c r="B1089" s="2" t="s">
        <v>3802</v>
      </c>
      <c r="C1089" s="5">
        <v>45955.0</v>
      </c>
      <c r="D1089" s="5">
        <v>45955.0</v>
      </c>
      <c r="E1089" s="4" t="s">
        <v>3803</v>
      </c>
      <c r="F1089" s="9"/>
      <c r="G1089" s="11">
        <v>1635.0</v>
      </c>
      <c r="H1089" s="6"/>
      <c r="I1089" s="11">
        <v>15144.34</v>
      </c>
      <c r="K1089" s="2" t="s">
        <v>123</v>
      </c>
      <c r="M1089" s="2" t="s">
        <v>114</v>
      </c>
      <c r="N1089" s="2" t="s">
        <v>1800</v>
      </c>
      <c r="O1089" s="2">
        <v>1.10751038E8</v>
      </c>
      <c r="Q1089" s="8">
        <v>2025.0</v>
      </c>
      <c r="R1089" s="8" t="s">
        <v>3038</v>
      </c>
    </row>
    <row r="1090">
      <c r="A1090" s="4" t="s">
        <v>18</v>
      </c>
      <c r="B1090" s="2" t="s">
        <v>3804</v>
      </c>
      <c r="C1090" s="5">
        <v>45955.0</v>
      </c>
      <c r="D1090" s="5">
        <v>45955.0</v>
      </c>
      <c r="E1090" s="4" t="s">
        <v>3805</v>
      </c>
      <c r="F1090" s="9"/>
      <c r="G1090" s="6"/>
      <c r="H1090" s="7">
        <v>150.0</v>
      </c>
      <c r="I1090" s="11">
        <v>15294.34</v>
      </c>
      <c r="K1090" s="12" t="str">
        <f t="shared" ref="K1090:K1099" si="147">RIGHT(E1090,6)</f>
        <v>SC3567</v>
      </c>
      <c r="M1090" s="2" t="s">
        <v>24</v>
      </c>
      <c r="N1090" s="2" t="s">
        <v>60</v>
      </c>
      <c r="O1090" s="2">
        <v>1.10751038E8</v>
      </c>
      <c r="P1090" s="15" t="str">
        <f>IFERROR(__xludf.DUMMYFUNCTION("CONCATENATE(B1090,"", "", to_text(D1090),"", "", E1090,"", "", H1090)"),"TSV-10-0252, 25-Oct-2025, UPI/CR/692820445062/BABU RAM/ICIC/9811372/SC3567, 150")</f>
        <v>TSV-10-0252, 25-Oct-2025, UPI/CR/692820445062/BABU RAM/ICIC/9811372/SC3567, 150</v>
      </c>
      <c r="Q1090" s="8">
        <v>2025.0</v>
      </c>
      <c r="R1090" s="8" t="s">
        <v>3038</v>
      </c>
    </row>
    <row r="1091">
      <c r="A1091" s="4" t="s">
        <v>18</v>
      </c>
      <c r="B1091" s="2" t="s">
        <v>3806</v>
      </c>
      <c r="C1091" s="5">
        <v>45955.0</v>
      </c>
      <c r="D1091" s="5">
        <v>45955.0</v>
      </c>
      <c r="E1091" s="4" t="s">
        <v>3807</v>
      </c>
      <c r="F1091" s="9"/>
      <c r="G1091" s="6"/>
      <c r="H1091" s="7">
        <v>377.0</v>
      </c>
      <c r="I1091" s="11">
        <v>15671.34</v>
      </c>
      <c r="K1091" s="12" t="str">
        <f t="shared" si="147"/>
        <v>UN3668</v>
      </c>
      <c r="L1091" s="2" t="s">
        <v>3808</v>
      </c>
      <c r="M1091" s="2" t="s">
        <v>24</v>
      </c>
      <c r="N1091" s="2" t="s">
        <v>60</v>
      </c>
      <c r="O1091" s="2">
        <v>1.10751038E8</v>
      </c>
      <c r="P1091" s="15"/>
      <c r="Q1091" s="8">
        <v>2025.0</v>
      </c>
      <c r="R1091" s="8" t="s">
        <v>3038</v>
      </c>
    </row>
    <row r="1092">
      <c r="A1092" s="4" t="s">
        <v>18</v>
      </c>
      <c r="B1092" s="2" t="s">
        <v>3809</v>
      </c>
      <c r="C1092" s="5">
        <v>45955.0</v>
      </c>
      <c r="D1092" s="5">
        <v>45955.0</v>
      </c>
      <c r="E1092" s="4" t="s">
        <v>3810</v>
      </c>
      <c r="F1092" s="9"/>
      <c r="G1092" s="6"/>
      <c r="H1092" s="7">
        <v>600.0</v>
      </c>
      <c r="I1092" s="11">
        <v>16271.34</v>
      </c>
      <c r="K1092" s="12" t="str">
        <f t="shared" si="147"/>
        <v>UN3668</v>
      </c>
      <c r="L1092" s="2" t="s">
        <v>3811</v>
      </c>
      <c r="M1092" s="2" t="s">
        <v>24</v>
      </c>
      <c r="N1092" s="2" t="s">
        <v>60</v>
      </c>
      <c r="O1092" s="2">
        <v>1.10751038E8</v>
      </c>
      <c r="P1092" s="15"/>
      <c r="Q1092" s="8">
        <v>2025.0</v>
      </c>
      <c r="R1092" s="8" t="s">
        <v>3038</v>
      </c>
    </row>
    <row r="1093">
      <c r="A1093" s="4" t="s">
        <v>18</v>
      </c>
      <c r="B1093" s="2" t="s">
        <v>3812</v>
      </c>
      <c r="C1093" s="5">
        <v>45955.0</v>
      </c>
      <c r="D1093" s="5">
        <v>45955.0</v>
      </c>
      <c r="E1093" s="4" t="s">
        <v>3813</v>
      </c>
      <c r="F1093" s="9"/>
      <c r="G1093" s="6"/>
      <c r="H1093" s="7">
        <v>600.0</v>
      </c>
      <c r="I1093" s="11">
        <v>16871.34</v>
      </c>
      <c r="K1093" s="12" t="str">
        <f t="shared" si="147"/>
        <v>KN3817</v>
      </c>
      <c r="L1093" s="2" t="s">
        <v>3814</v>
      </c>
      <c r="M1093" s="2" t="s">
        <v>24</v>
      </c>
      <c r="N1093" s="2" t="s">
        <v>60</v>
      </c>
      <c r="O1093" s="2">
        <v>1.10751038E8</v>
      </c>
      <c r="P1093" s="15"/>
      <c r="Q1093" s="8">
        <v>2025.0</v>
      </c>
      <c r="R1093" s="8" t="s">
        <v>3038</v>
      </c>
    </row>
    <row r="1094">
      <c r="A1094" s="4" t="s">
        <v>18</v>
      </c>
      <c r="B1094" s="2" t="s">
        <v>3815</v>
      </c>
      <c r="C1094" s="5">
        <v>45955.0</v>
      </c>
      <c r="D1094" s="5">
        <v>45955.0</v>
      </c>
      <c r="E1094" s="4" t="s">
        <v>3816</v>
      </c>
      <c r="F1094" s="9"/>
      <c r="G1094" s="6"/>
      <c r="H1094" s="11">
        <v>1515.0</v>
      </c>
      <c r="I1094" s="11">
        <v>18386.34</v>
      </c>
      <c r="K1094" s="12" t="str">
        <f t="shared" si="147"/>
        <v>SC3567</v>
      </c>
      <c r="M1094" s="2" t="s">
        <v>24</v>
      </c>
      <c r="N1094" s="2" t="s">
        <v>60</v>
      </c>
      <c r="O1094" s="2">
        <v>1.10751038E8</v>
      </c>
      <c r="P1094" s="15" t="str">
        <f>IFERROR(__xludf.DUMMYFUNCTION("CONCATENATE(B1094,"", "", to_text(D1094),"", "", E1094,"", "", H1094)"),"TSV-10-0256, 25-Oct-2025, UPI/CR/529832576664/R MATHAN/UTIB/mathang/SC3567, 1515")</f>
        <v>TSV-10-0256, 25-Oct-2025, UPI/CR/529832576664/R MATHAN/UTIB/mathang/SC3567, 1515</v>
      </c>
      <c r="Q1094" s="8">
        <v>2025.0</v>
      </c>
      <c r="R1094" s="8" t="s">
        <v>3038</v>
      </c>
    </row>
    <row r="1095">
      <c r="A1095" s="4" t="s">
        <v>18</v>
      </c>
      <c r="B1095" s="2" t="s">
        <v>3817</v>
      </c>
      <c r="C1095" s="5">
        <v>45956.0</v>
      </c>
      <c r="D1095" s="5">
        <v>45956.0</v>
      </c>
      <c r="E1095" s="4" t="s">
        <v>3818</v>
      </c>
      <c r="F1095" s="9"/>
      <c r="G1095" s="6"/>
      <c r="H1095" s="7">
        <v>396.0</v>
      </c>
      <c r="I1095" s="11">
        <v>18782.34</v>
      </c>
      <c r="K1095" s="12" t="str">
        <f t="shared" si="147"/>
        <v>UN3668</v>
      </c>
      <c r="L1095" s="2" t="s">
        <v>3819</v>
      </c>
      <c r="M1095" s="2" t="s">
        <v>24</v>
      </c>
      <c r="N1095" s="2" t="s">
        <v>60</v>
      </c>
      <c r="O1095" s="2">
        <v>1.10751038E8</v>
      </c>
      <c r="P1095" s="15"/>
      <c r="Q1095" s="8">
        <v>2025.0</v>
      </c>
      <c r="R1095" s="8" t="s">
        <v>3038</v>
      </c>
    </row>
    <row r="1096">
      <c r="A1096" s="4" t="s">
        <v>18</v>
      </c>
      <c r="B1096" s="2" t="s">
        <v>3820</v>
      </c>
      <c r="C1096" s="5">
        <v>45956.0</v>
      </c>
      <c r="D1096" s="5">
        <v>45956.0</v>
      </c>
      <c r="E1096" s="4" t="s">
        <v>3821</v>
      </c>
      <c r="F1096" s="9"/>
      <c r="G1096" s="6"/>
      <c r="H1096" s="7">
        <v>250.0</v>
      </c>
      <c r="I1096" s="11">
        <v>19032.34</v>
      </c>
      <c r="K1096" s="12" t="str">
        <f t="shared" si="147"/>
        <v>UN3668</v>
      </c>
      <c r="M1096" s="2" t="s">
        <v>24</v>
      </c>
      <c r="N1096" s="2" t="s">
        <v>60</v>
      </c>
      <c r="O1096" s="2">
        <v>1.10751038E8</v>
      </c>
      <c r="P1096" s="15" t="str">
        <f>IFERROR(__xludf.DUMMYFUNCTION("CONCATENATE(B1096,"", "", to_text(D1096),"", "", E1096,"", "", H1096)"),"TSV-10-0258, 26-Oct-2025, UPI/CR/529956692922/SRISHTI /HDFC/9811084/UN3668, 250")</f>
        <v>TSV-10-0258, 26-Oct-2025, UPI/CR/529956692922/SRISHTI /HDFC/9811084/UN3668, 250</v>
      </c>
      <c r="Q1096" s="8">
        <v>2025.0</v>
      </c>
      <c r="R1096" s="8" t="s">
        <v>3038</v>
      </c>
    </row>
    <row r="1097">
      <c r="A1097" s="4" t="s">
        <v>18</v>
      </c>
      <c r="B1097" s="2" t="s">
        <v>3822</v>
      </c>
      <c r="C1097" s="5">
        <v>45956.0</v>
      </c>
      <c r="D1097" s="5">
        <v>45956.0</v>
      </c>
      <c r="E1097" s="4" t="s">
        <v>3823</v>
      </c>
      <c r="F1097" s="9"/>
      <c r="G1097" s="6"/>
      <c r="H1097" s="7">
        <v>947.0</v>
      </c>
      <c r="I1097" s="11">
        <v>19979.34</v>
      </c>
      <c r="K1097" s="12" t="str">
        <f t="shared" si="147"/>
        <v>SC3567</v>
      </c>
      <c r="M1097" s="2" t="s">
        <v>24</v>
      </c>
      <c r="N1097" s="2" t="s">
        <v>60</v>
      </c>
      <c r="O1097" s="2">
        <v>1.10751038E8</v>
      </c>
      <c r="P1097" s="15" t="str">
        <f>IFERROR(__xludf.DUMMYFUNCTION("CONCATENATE(B1097,"", "", to_text(D1097),"", "", E1097,"", "", H1097)"),"TSV-10-0259, 26-Oct-2025, UPI/CR/529937137710/VIKAS ME/HDFC/vikasme/SC3567, 947")</f>
        <v>TSV-10-0259, 26-Oct-2025, UPI/CR/529937137710/VIKAS ME/HDFC/vikasme/SC3567, 947</v>
      </c>
      <c r="Q1097" s="8">
        <v>2025.0</v>
      </c>
      <c r="R1097" s="8" t="s">
        <v>3038</v>
      </c>
    </row>
    <row r="1098">
      <c r="A1098" s="4" t="s">
        <v>18</v>
      </c>
      <c r="B1098" s="2" t="s">
        <v>3824</v>
      </c>
      <c r="C1098" s="5">
        <v>45956.0</v>
      </c>
      <c r="D1098" s="5">
        <v>45956.0</v>
      </c>
      <c r="E1098" s="4" t="s">
        <v>3825</v>
      </c>
      <c r="F1098" s="9"/>
      <c r="G1098" s="6"/>
      <c r="H1098" s="7">
        <v>130.0</v>
      </c>
      <c r="I1098" s="11">
        <v>20109.34</v>
      </c>
      <c r="K1098" s="12" t="str">
        <f t="shared" si="147"/>
        <v>UN3668</v>
      </c>
      <c r="L1098" s="2" t="s">
        <v>3826</v>
      </c>
      <c r="M1098" s="2" t="s">
        <v>24</v>
      </c>
      <c r="N1098" s="2" t="s">
        <v>60</v>
      </c>
      <c r="O1098" s="2">
        <v>1.10751038E8</v>
      </c>
      <c r="P1098" s="15"/>
      <c r="Q1098" s="8">
        <v>2025.0</v>
      </c>
      <c r="R1098" s="8" t="s">
        <v>3038</v>
      </c>
    </row>
    <row r="1099">
      <c r="A1099" s="4" t="s">
        <v>18</v>
      </c>
      <c r="B1099" s="2" t="s">
        <v>3827</v>
      </c>
      <c r="C1099" s="5">
        <v>45957.0</v>
      </c>
      <c r="D1099" s="5">
        <v>45957.0</v>
      </c>
      <c r="E1099" s="4" t="s">
        <v>3828</v>
      </c>
      <c r="F1099" s="9"/>
      <c r="G1099" s="6"/>
      <c r="H1099" s="7">
        <v>445.0</v>
      </c>
      <c r="I1099" s="11">
        <v>20554.34</v>
      </c>
      <c r="K1099" s="12" t="str">
        <f t="shared" si="147"/>
        <v>SL1610</v>
      </c>
      <c r="L1099" s="2" t="s">
        <v>3829</v>
      </c>
      <c r="M1099" s="2" t="s">
        <v>24</v>
      </c>
      <c r="N1099" s="2" t="s">
        <v>60</v>
      </c>
      <c r="O1099" s="2">
        <v>1.10751038E8</v>
      </c>
      <c r="P1099" s="15"/>
      <c r="Q1099" s="8">
        <v>2025.0</v>
      </c>
      <c r="R1099" s="8" t="s">
        <v>3038</v>
      </c>
    </row>
    <row r="1100">
      <c r="A1100" s="4" t="s">
        <v>18</v>
      </c>
      <c r="B1100" s="2" t="s">
        <v>3830</v>
      </c>
      <c r="C1100" s="5">
        <v>45957.0</v>
      </c>
      <c r="D1100" s="5">
        <v>45957.0</v>
      </c>
      <c r="E1100" s="4" t="s">
        <v>3831</v>
      </c>
      <c r="F1100" s="9"/>
      <c r="G1100" s="6"/>
      <c r="H1100" s="7" t="s">
        <v>3832</v>
      </c>
      <c r="I1100" s="7" t="s">
        <v>3833</v>
      </c>
      <c r="K1100" s="2" t="s">
        <v>23</v>
      </c>
      <c r="M1100" s="2" t="s">
        <v>24</v>
      </c>
      <c r="N1100" s="2" t="s">
        <v>25</v>
      </c>
      <c r="O1100" s="2">
        <v>1.10751038E8</v>
      </c>
      <c r="Q1100" s="8">
        <v>2025.0</v>
      </c>
      <c r="R1100" s="8" t="s">
        <v>3038</v>
      </c>
    </row>
    <row r="1101">
      <c r="A1101" s="4" t="s">
        <v>18</v>
      </c>
      <c r="B1101" s="2" t="s">
        <v>3834</v>
      </c>
      <c r="C1101" s="5">
        <v>45957.0</v>
      </c>
      <c r="D1101" s="5">
        <v>45957.0</v>
      </c>
      <c r="E1101" s="4" t="s">
        <v>3835</v>
      </c>
      <c r="F1101" s="9"/>
      <c r="G1101" s="11">
        <v>9499.0</v>
      </c>
      <c r="H1101" s="6"/>
      <c r="I1101" s="7" t="s">
        <v>3836</v>
      </c>
      <c r="K1101" s="2" t="s">
        <v>119</v>
      </c>
      <c r="M1101" s="2" t="s">
        <v>114</v>
      </c>
      <c r="N1101" s="2" t="s">
        <v>478</v>
      </c>
      <c r="O1101" s="2">
        <v>1.10751038E8</v>
      </c>
      <c r="Q1101" s="8">
        <v>2025.0</v>
      </c>
      <c r="R1101" s="8" t="s">
        <v>3038</v>
      </c>
    </row>
    <row r="1102">
      <c r="A1102" s="4" t="s">
        <v>18</v>
      </c>
      <c r="B1102" s="2" t="s">
        <v>3837</v>
      </c>
      <c r="C1102" s="5">
        <v>45957.0</v>
      </c>
      <c r="D1102" s="5">
        <v>45957.0</v>
      </c>
      <c r="E1102" s="4" t="s">
        <v>3838</v>
      </c>
      <c r="F1102" s="9"/>
      <c r="G1102" s="11">
        <v>36755.64</v>
      </c>
      <c r="H1102" s="6"/>
      <c r="I1102" s="11">
        <v>74299.7</v>
      </c>
      <c r="K1102" s="2" t="s">
        <v>127</v>
      </c>
      <c r="M1102" s="2" t="s">
        <v>114</v>
      </c>
      <c r="N1102" s="2" t="s">
        <v>478</v>
      </c>
      <c r="O1102" s="2">
        <v>1.10751038E8</v>
      </c>
      <c r="Q1102" s="8">
        <v>2025.0</v>
      </c>
      <c r="R1102" s="8" t="s">
        <v>3038</v>
      </c>
    </row>
    <row r="1103">
      <c r="A1103" s="4" t="s">
        <v>18</v>
      </c>
      <c r="B1103" s="2" t="s">
        <v>3839</v>
      </c>
      <c r="C1103" s="5">
        <v>45957.0</v>
      </c>
      <c r="D1103" s="5">
        <v>45957.0</v>
      </c>
      <c r="E1103" s="4" t="s">
        <v>3840</v>
      </c>
      <c r="F1103" s="9"/>
      <c r="G1103" s="6"/>
      <c r="H1103" s="11">
        <v>1607.0</v>
      </c>
      <c r="I1103" s="11">
        <v>75906.7</v>
      </c>
      <c r="K1103" s="2" t="s">
        <v>113</v>
      </c>
      <c r="L1103" s="2" t="s">
        <v>3841</v>
      </c>
      <c r="M1103" s="2" t="s">
        <v>24</v>
      </c>
      <c r="N1103" s="2" t="s">
        <v>60</v>
      </c>
      <c r="O1103" s="2">
        <v>1.10751038E8</v>
      </c>
      <c r="P1103" s="15"/>
      <c r="Q1103" s="8">
        <v>2025.0</v>
      </c>
      <c r="R1103" s="8" t="s">
        <v>3038</v>
      </c>
    </row>
    <row r="1104">
      <c r="A1104" s="4" t="s">
        <v>18</v>
      </c>
      <c r="B1104" s="2" t="s">
        <v>3842</v>
      </c>
      <c r="C1104" s="5">
        <v>45957.0</v>
      </c>
      <c r="D1104" s="5">
        <v>45957.0</v>
      </c>
      <c r="E1104" s="4" t="s">
        <v>3843</v>
      </c>
      <c r="F1104" s="9"/>
      <c r="G1104" s="11">
        <v>1765.28</v>
      </c>
      <c r="H1104" s="6"/>
      <c r="I1104" s="11">
        <v>74141.42</v>
      </c>
      <c r="K1104" s="2" t="s">
        <v>23</v>
      </c>
      <c r="M1104" s="2" t="s">
        <v>114</v>
      </c>
      <c r="N1104" s="2" t="s">
        <v>1351</v>
      </c>
      <c r="O1104" s="2">
        <v>1.10751038E8</v>
      </c>
      <c r="Q1104" s="8">
        <v>2025.0</v>
      </c>
      <c r="R1104" s="8" t="s">
        <v>3038</v>
      </c>
    </row>
    <row r="1105">
      <c r="A1105" s="4" t="s">
        <v>18</v>
      </c>
      <c r="B1105" s="2" t="s">
        <v>3844</v>
      </c>
      <c r="C1105" s="5">
        <v>45957.0</v>
      </c>
      <c r="D1105" s="5">
        <v>45957.0</v>
      </c>
      <c r="E1105" s="4" t="s">
        <v>3845</v>
      </c>
      <c r="F1105" s="9"/>
      <c r="G1105" s="11">
        <v>13040.0</v>
      </c>
      <c r="H1105" s="6"/>
      <c r="I1105" s="11">
        <v>61101.42</v>
      </c>
      <c r="K1105" s="2" t="s">
        <v>119</v>
      </c>
      <c r="M1105" s="2" t="s">
        <v>114</v>
      </c>
      <c r="N1105" s="2" t="s">
        <v>220</v>
      </c>
      <c r="O1105" s="2">
        <v>1.10751038E8</v>
      </c>
      <c r="Q1105" s="8">
        <v>2025.0</v>
      </c>
      <c r="R1105" s="8" t="s">
        <v>3038</v>
      </c>
    </row>
    <row r="1106">
      <c r="A1106" s="4" t="s">
        <v>18</v>
      </c>
      <c r="B1106" s="2" t="s">
        <v>3846</v>
      </c>
      <c r="C1106" s="5">
        <v>45957.0</v>
      </c>
      <c r="D1106" s="5">
        <v>45957.0</v>
      </c>
      <c r="E1106" s="4" t="s">
        <v>3847</v>
      </c>
      <c r="F1106" s="9"/>
      <c r="G1106" s="11">
        <v>17723.0</v>
      </c>
      <c r="H1106" s="6"/>
      <c r="I1106" s="11">
        <v>43378.42</v>
      </c>
      <c r="K1106" s="2" t="s">
        <v>113</v>
      </c>
      <c r="M1106" s="2" t="s">
        <v>114</v>
      </c>
      <c r="N1106" s="2" t="s">
        <v>220</v>
      </c>
      <c r="O1106" s="2">
        <v>1.10751038E8</v>
      </c>
      <c r="Q1106" s="8">
        <v>2025.0</v>
      </c>
      <c r="R1106" s="8" t="s">
        <v>3038</v>
      </c>
    </row>
    <row r="1107">
      <c r="A1107" s="4" t="s">
        <v>18</v>
      </c>
      <c r="B1107" s="2" t="s">
        <v>3848</v>
      </c>
      <c r="C1107" s="5">
        <v>45957.0</v>
      </c>
      <c r="D1107" s="5">
        <v>45957.0</v>
      </c>
      <c r="E1107" s="4" t="s">
        <v>3849</v>
      </c>
      <c r="F1107" s="9"/>
      <c r="G1107" s="6"/>
      <c r="H1107" s="7">
        <v>380.0</v>
      </c>
      <c r="I1107" s="11">
        <v>43758.42</v>
      </c>
      <c r="K1107" s="12" t="str">
        <f t="shared" ref="K1107:K1115" si="148">RIGHT(E1107,6)</f>
        <v>UN3668</v>
      </c>
      <c r="L1107" s="2" t="s">
        <v>3850</v>
      </c>
      <c r="M1107" s="2" t="s">
        <v>24</v>
      </c>
      <c r="N1107" s="2" t="s">
        <v>60</v>
      </c>
      <c r="O1107" s="2">
        <v>1.10751038E8</v>
      </c>
      <c r="P1107" s="15"/>
      <c r="Q1107" s="8">
        <v>2025.0</v>
      </c>
      <c r="R1107" s="8" t="s">
        <v>3038</v>
      </c>
    </row>
    <row r="1108">
      <c r="A1108" s="4" t="s">
        <v>18</v>
      </c>
      <c r="B1108" s="2" t="s">
        <v>3851</v>
      </c>
      <c r="C1108" s="5">
        <v>45957.0</v>
      </c>
      <c r="D1108" s="5">
        <v>45957.0</v>
      </c>
      <c r="E1108" s="4" t="s">
        <v>3852</v>
      </c>
      <c r="F1108" s="9"/>
      <c r="G1108" s="6"/>
      <c r="H1108" s="7">
        <v>182.0</v>
      </c>
      <c r="I1108" s="11">
        <v>43940.42</v>
      </c>
      <c r="K1108" s="12" t="str">
        <f t="shared" si="148"/>
        <v>UN3668</v>
      </c>
      <c r="L1108" s="2" t="s">
        <v>3853</v>
      </c>
      <c r="M1108" s="2" t="s">
        <v>24</v>
      </c>
      <c r="N1108" s="2" t="s">
        <v>60</v>
      </c>
      <c r="O1108" s="2">
        <v>1.10751038E8</v>
      </c>
      <c r="P1108" s="15"/>
      <c r="Q1108" s="8">
        <v>2025.0</v>
      </c>
      <c r="R1108" s="8" t="s">
        <v>3038</v>
      </c>
    </row>
    <row r="1109">
      <c r="A1109" s="4" t="s">
        <v>18</v>
      </c>
      <c r="B1109" s="2" t="s">
        <v>3854</v>
      </c>
      <c r="C1109" s="5">
        <v>45958.0</v>
      </c>
      <c r="D1109" s="5">
        <v>45958.0</v>
      </c>
      <c r="E1109" s="4" t="s">
        <v>3855</v>
      </c>
      <c r="F1109" s="9"/>
      <c r="G1109" s="6"/>
      <c r="H1109" s="7">
        <v>428.0</v>
      </c>
      <c r="I1109" s="11">
        <v>44368.42</v>
      </c>
      <c r="K1109" s="12" t="str">
        <f t="shared" si="148"/>
        <v>SC3567</v>
      </c>
      <c r="M1109" s="2" t="s">
        <v>24</v>
      </c>
      <c r="N1109" s="2" t="s">
        <v>60</v>
      </c>
      <c r="O1109" s="2">
        <v>1.10751038E8</v>
      </c>
      <c r="P1109" s="15" t="str">
        <f>IFERROR(__xludf.DUMMYFUNCTION("CONCATENATE(B1109,"", "", to_text(D1109),"", "", E1109,"", "", H1109)"),"TSV-10-0271, 28-Oct-2025, UPI/CR/530115518148/ANAMIKA /KKBK/7604089/SC3567, 428")</f>
        <v>TSV-10-0271, 28-Oct-2025, UPI/CR/530115518148/ANAMIKA /KKBK/7604089/SC3567, 428</v>
      </c>
      <c r="Q1109" s="8">
        <v>2025.0</v>
      </c>
      <c r="R1109" s="8" t="s">
        <v>3038</v>
      </c>
    </row>
    <row r="1110">
      <c r="A1110" s="4" t="s">
        <v>18</v>
      </c>
      <c r="B1110" s="2" t="s">
        <v>3856</v>
      </c>
      <c r="C1110" s="5">
        <v>45958.0</v>
      </c>
      <c r="D1110" s="5">
        <v>45958.0</v>
      </c>
      <c r="E1110" s="4" t="s">
        <v>3857</v>
      </c>
      <c r="F1110" s="9"/>
      <c r="G1110" s="6"/>
      <c r="H1110" s="7">
        <v>349.0</v>
      </c>
      <c r="I1110" s="11">
        <v>44717.42</v>
      </c>
      <c r="K1110" s="12" t="str">
        <f t="shared" si="148"/>
        <v>SL1610</v>
      </c>
      <c r="L1110" s="2" t="s">
        <v>3858</v>
      </c>
      <c r="M1110" s="2" t="s">
        <v>24</v>
      </c>
      <c r="N1110" s="2" t="s">
        <v>60</v>
      </c>
      <c r="O1110" s="2">
        <v>1.10751038E8</v>
      </c>
      <c r="P1110" s="15"/>
      <c r="Q1110" s="8">
        <v>2025.0</v>
      </c>
      <c r="R1110" s="8" t="s">
        <v>3038</v>
      </c>
    </row>
    <row r="1111">
      <c r="A1111" s="4" t="s">
        <v>18</v>
      </c>
      <c r="B1111" s="2" t="s">
        <v>3859</v>
      </c>
      <c r="C1111" s="5">
        <v>45958.0</v>
      </c>
      <c r="D1111" s="5">
        <v>45958.0</v>
      </c>
      <c r="E1111" s="4" t="s">
        <v>3860</v>
      </c>
      <c r="F1111" s="9"/>
      <c r="G1111" s="6"/>
      <c r="H1111" s="7">
        <v>300.0</v>
      </c>
      <c r="I1111" s="11">
        <v>45017.42</v>
      </c>
      <c r="K1111" s="12" t="str">
        <f t="shared" si="148"/>
        <v>SC3567</v>
      </c>
      <c r="M1111" s="2" t="s">
        <v>24</v>
      </c>
      <c r="N1111" s="2" t="s">
        <v>60</v>
      </c>
      <c r="O1111" s="2">
        <v>1.10751038E8</v>
      </c>
      <c r="P1111" s="15" t="str">
        <f>IFERROR(__xludf.DUMMYFUNCTION("CONCATENATE(B1111,"", "", to_text(D1111),"", "", E1111,"", "", H1111)"),"TSV-10-0273, 28-Oct-2025, UPI/CR/566785506239/SUMIT KU/INDB/sumit.k/SC3567, 300")</f>
        <v>TSV-10-0273, 28-Oct-2025, UPI/CR/566785506239/SUMIT KU/INDB/sumit.k/SC3567, 300</v>
      </c>
      <c r="Q1111" s="8">
        <v>2025.0</v>
      </c>
      <c r="R1111" s="8" t="s">
        <v>3038</v>
      </c>
    </row>
    <row r="1112">
      <c r="A1112" s="4" t="s">
        <v>18</v>
      </c>
      <c r="B1112" s="2" t="s">
        <v>3861</v>
      </c>
      <c r="C1112" s="5">
        <v>45959.0</v>
      </c>
      <c r="D1112" s="5">
        <v>45959.0</v>
      </c>
      <c r="E1112" s="4" t="s">
        <v>3862</v>
      </c>
      <c r="F1112" s="9"/>
      <c r="G1112" s="6"/>
      <c r="H1112" s="11">
        <v>1500.0</v>
      </c>
      <c r="I1112" s="11">
        <v>46517.42</v>
      </c>
      <c r="K1112" s="12" t="str">
        <f t="shared" si="148"/>
        <v>UN3668</v>
      </c>
      <c r="L1112" s="2" t="s">
        <v>3863</v>
      </c>
      <c r="M1112" s="2" t="s">
        <v>24</v>
      </c>
      <c r="N1112" s="2" t="s">
        <v>60</v>
      </c>
      <c r="O1112" s="2">
        <v>1.10751038E8</v>
      </c>
      <c r="P1112" s="15"/>
      <c r="Q1112" s="8">
        <v>2025.0</v>
      </c>
      <c r="R1112" s="8" t="s">
        <v>3038</v>
      </c>
    </row>
    <row r="1113">
      <c r="A1113" s="4" t="s">
        <v>18</v>
      </c>
      <c r="B1113" s="2" t="s">
        <v>3864</v>
      </c>
      <c r="C1113" s="5">
        <v>45959.0</v>
      </c>
      <c r="D1113" s="5">
        <v>45959.0</v>
      </c>
      <c r="E1113" s="4" t="s">
        <v>3865</v>
      </c>
      <c r="F1113" s="9"/>
      <c r="G1113" s="6"/>
      <c r="H1113" s="7">
        <v>849.0</v>
      </c>
      <c r="I1113" s="11">
        <v>47366.42</v>
      </c>
      <c r="K1113" s="12" t="str">
        <f t="shared" si="148"/>
        <v>SC3567</v>
      </c>
      <c r="M1113" s="2" t="s">
        <v>24</v>
      </c>
      <c r="N1113" s="2" t="s">
        <v>60</v>
      </c>
      <c r="O1113" s="2">
        <v>1.10751038E8</v>
      </c>
      <c r="P1113" s="15" t="str">
        <f>IFERROR(__xludf.DUMMYFUNCTION("CONCATENATE(B1113,"", "", to_text(D1113),"", "", E1113,"", "", H1113)"),"TSV-10-0275, 29-Oct-2025, UPI/CR/566816968994/ADITYA B/HDFC/9716787/SC3567, 849")</f>
        <v>TSV-10-0275, 29-Oct-2025, UPI/CR/566816968994/ADITYA B/HDFC/9716787/SC3567, 849</v>
      </c>
      <c r="Q1113" s="8">
        <v>2025.0</v>
      </c>
      <c r="R1113" s="8" t="s">
        <v>3038</v>
      </c>
    </row>
    <row r="1114">
      <c r="A1114" s="4" t="s">
        <v>18</v>
      </c>
      <c r="B1114" s="2" t="s">
        <v>3866</v>
      </c>
      <c r="C1114" s="5">
        <v>45959.0</v>
      </c>
      <c r="D1114" s="5">
        <v>45959.0</v>
      </c>
      <c r="E1114" s="4" t="s">
        <v>3867</v>
      </c>
      <c r="F1114" s="9"/>
      <c r="G1114" s="6"/>
      <c r="H1114" s="7">
        <v>431.0</v>
      </c>
      <c r="I1114" s="11">
        <v>47797.42</v>
      </c>
      <c r="K1114" s="12" t="str">
        <f t="shared" si="148"/>
        <v>SC3567</v>
      </c>
      <c r="M1114" s="2" t="s">
        <v>24</v>
      </c>
      <c r="N1114" s="2" t="s">
        <v>60</v>
      </c>
      <c r="O1114" s="2">
        <v>1.10751038E8</v>
      </c>
      <c r="P1114" s="15" t="str">
        <f>IFERROR(__xludf.DUMMYFUNCTION("CONCATENATE(B1114,"", "", to_text(D1114),"", "", E1114,"", "", H1114)"),"TSV-10-0276, 29-Oct-2025, UPI/CR/530218276045/Mr MUKES/IDIB/mukeshp/SC3567, 431")</f>
        <v>TSV-10-0276, 29-Oct-2025, UPI/CR/530218276045/Mr MUKES/IDIB/mukeshp/SC3567, 431</v>
      </c>
      <c r="Q1114" s="8">
        <v>2025.0</v>
      </c>
      <c r="R1114" s="8" t="s">
        <v>3038</v>
      </c>
    </row>
    <row r="1115">
      <c r="A1115" s="4" t="s">
        <v>18</v>
      </c>
      <c r="B1115" s="2" t="s">
        <v>3868</v>
      </c>
      <c r="C1115" s="5">
        <v>45959.0</v>
      </c>
      <c r="D1115" s="5">
        <v>45959.0</v>
      </c>
      <c r="E1115" s="4" t="s">
        <v>3869</v>
      </c>
      <c r="F1115" s="9"/>
      <c r="G1115" s="6"/>
      <c r="H1115" s="7">
        <v>149.0</v>
      </c>
      <c r="I1115" s="11">
        <v>47946.42</v>
      </c>
      <c r="K1115" s="12" t="str">
        <f t="shared" si="148"/>
        <v>SL1610</v>
      </c>
      <c r="L1115" s="2" t="s">
        <v>3870</v>
      </c>
      <c r="M1115" s="2" t="s">
        <v>24</v>
      </c>
      <c r="N1115" s="2" t="s">
        <v>60</v>
      </c>
      <c r="O1115" s="2">
        <v>1.10751038E8</v>
      </c>
      <c r="P1115" s="15"/>
      <c r="Q1115" s="8">
        <v>2025.0</v>
      </c>
      <c r="R1115" s="8" t="s">
        <v>3038</v>
      </c>
    </row>
    <row r="1116">
      <c r="A1116" s="4" t="s">
        <v>18</v>
      </c>
      <c r="B1116" s="2" t="s">
        <v>3871</v>
      </c>
      <c r="C1116" s="5">
        <v>45959.0</v>
      </c>
      <c r="D1116" s="5">
        <v>45959.0</v>
      </c>
      <c r="E1116" s="4" t="s">
        <v>3872</v>
      </c>
      <c r="F1116" s="9"/>
      <c r="G1116" s="11">
        <v>2000.0</v>
      </c>
      <c r="H1116" s="6"/>
      <c r="I1116" s="11">
        <v>45946.42</v>
      </c>
      <c r="J1116" s="2" t="s">
        <v>3873</v>
      </c>
      <c r="K1116" s="2" t="s">
        <v>23</v>
      </c>
      <c r="M1116" s="2" t="s">
        <v>114</v>
      </c>
      <c r="N1116" s="2" t="s">
        <v>1835</v>
      </c>
      <c r="O1116" s="2">
        <v>1.10751038E8</v>
      </c>
      <c r="Q1116" s="8">
        <v>2025.0</v>
      </c>
      <c r="R1116" s="8" t="s">
        <v>3038</v>
      </c>
    </row>
    <row r="1117">
      <c r="A1117" s="4" t="s">
        <v>18</v>
      </c>
      <c r="B1117" s="2" t="s">
        <v>3874</v>
      </c>
      <c r="C1117" s="5">
        <v>45959.0</v>
      </c>
      <c r="D1117" s="5">
        <v>45959.0</v>
      </c>
      <c r="E1117" s="4" t="s">
        <v>3875</v>
      </c>
      <c r="F1117" s="9"/>
      <c r="G1117" s="6"/>
      <c r="H1117" s="7">
        <v>344.0</v>
      </c>
      <c r="I1117" s="11">
        <v>46290.42</v>
      </c>
      <c r="K1117" s="12" t="str">
        <f>RIGHT(E1117,6)</f>
        <v>UN3668</v>
      </c>
      <c r="L1117" s="2" t="s">
        <v>3876</v>
      </c>
      <c r="M1117" s="2" t="s">
        <v>24</v>
      </c>
      <c r="N1117" s="2" t="s">
        <v>60</v>
      </c>
      <c r="O1117" s="2">
        <v>1.10751038E8</v>
      </c>
      <c r="P1117" s="15"/>
      <c r="Q1117" s="8">
        <v>2025.0</v>
      </c>
      <c r="R1117" s="8" t="s">
        <v>3038</v>
      </c>
    </row>
    <row r="1118">
      <c r="A1118" s="4" t="s">
        <v>18</v>
      </c>
      <c r="B1118" s="2" t="s">
        <v>3877</v>
      </c>
      <c r="C1118" s="5">
        <v>45959.0</v>
      </c>
      <c r="D1118" s="5">
        <v>45959.0</v>
      </c>
      <c r="E1118" s="4" t="s">
        <v>3878</v>
      </c>
      <c r="F1118" s="9"/>
      <c r="G1118" s="11">
        <v>10000.0</v>
      </c>
      <c r="H1118" s="6"/>
      <c r="I1118" s="11">
        <v>36290.42</v>
      </c>
      <c r="K1118" s="2" t="s">
        <v>123</v>
      </c>
      <c r="M1118" s="2" t="s">
        <v>114</v>
      </c>
      <c r="N1118" s="2" t="s">
        <v>169</v>
      </c>
      <c r="O1118" s="2">
        <v>1.10751038E8</v>
      </c>
      <c r="Q1118" s="8">
        <v>2025.0</v>
      </c>
      <c r="R1118" s="8" t="s">
        <v>3038</v>
      </c>
    </row>
    <row r="1119">
      <c r="A1119" s="4" t="s">
        <v>18</v>
      </c>
      <c r="B1119" s="2" t="s">
        <v>3879</v>
      </c>
      <c r="C1119" s="5">
        <v>45959.0</v>
      </c>
      <c r="D1119" s="5">
        <v>45959.0</v>
      </c>
      <c r="E1119" s="4" t="s">
        <v>3880</v>
      </c>
      <c r="F1119" s="9"/>
      <c r="G1119" s="6"/>
      <c r="H1119" s="11">
        <v>7000.0</v>
      </c>
      <c r="I1119" s="11">
        <v>43290.42</v>
      </c>
      <c r="K1119" s="12" t="str">
        <f t="shared" ref="K1119:K1122" si="149">RIGHT(E1119,6)</f>
        <v>SC3567</v>
      </c>
      <c r="M1119" s="2" t="s">
        <v>24</v>
      </c>
      <c r="N1119" s="2" t="s">
        <v>60</v>
      </c>
      <c r="O1119" s="2">
        <v>1.10751038E8</v>
      </c>
      <c r="P1119" s="15" t="str">
        <f>IFERROR(__xludf.DUMMYFUNCTION("CONCATENATE(B1119,"", "", to_text(D1119),"", "", E1119,"", "", H1119)"),"TSV-10-0281, 29-Oct-2025, UPI/CR/530228041306/VIVEK G/KKBK/vivek1g/SC3567, 7000")</f>
        <v>TSV-10-0281, 29-Oct-2025, UPI/CR/530228041306/VIVEK G/KKBK/vivek1g/SC3567, 7000</v>
      </c>
      <c r="Q1119" s="8">
        <v>2025.0</v>
      </c>
      <c r="R1119" s="8" t="s">
        <v>3038</v>
      </c>
    </row>
    <row r="1120">
      <c r="A1120" s="4" t="s">
        <v>18</v>
      </c>
      <c r="B1120" s="2" t="s">
        <v>3881</v>
      </c>
      <c r="C1120" s="5">
        <v>45959.0</v>
      </c>
      <c r="D1120" s="5">
        <v>45959.0</v>
      </c>
      <c r="E1120" s="4" t="s">
        <v>3882</v>
      </c>
      <c r="F1120" s="9"/>
      <c r="G1120" s="6"/>
      <c r="H1120" s="7">
        <v>320.0</v>
      </c>
      <c r="I1120" s="11">
        <v>43610.42</v>
      </c>
      <c r="K1120" s="12" t="str">
        <f t="shared" si="149"/>
        <v>UN3668</v>
      </c>
      <c r="L1120" s="2" t="s">
        <v>3883</v>
      </c>
      <c r="M1120" s="2" t="s">
        <v>24</v>
      </c>
      <c r="N1120" s="2" t="s">
        <v>60</v>
      </c>
      <c r="O1120" s="2">
        <v>1.10751038E8</v>
      </c>
      <c r="P1120" s="15"/>
      <c r="Q1120" s="8">
        <v>2025.0</v>
      </c>
      <c r="R1120" s="8" t="s">
        <v>3038</v>
      </c>
    </row>
    <row r="1121">
      <c r="A1121" s="4" t="s">
        <v>18</v>
      </c>
      <c r="B1121" s="2" t="s">
        <v>3884</v>
      </c>
      <c r="C1121" s="5">
        <v>45959.0</v>
      </c>
      <c r="D1121" s="5">
        <v>45959.0</v>
      </c>
      <c r="E1121" s="4" t="s">
        <v>3885</v>
      </c>
      <c r="F1121" s="9"/>
      <c r="G1121" s="6"/>
      <c r="H1121" s="7">
        <v>109.0</v>
      </c>
      <c r="I1121" s="11">
        <v>43719.42</v>
      </c>
      <c r="K1121" s="12" t="str">
        <f t="shared" si="149"/>
        <v>SL1610</v>
      </c>
      <c r="L1121" s="2" t="s">
        <v>3886</v>
      </c>
      <c r="M1121" s="2" t="s">
        <v>24</v>
      </c>
      <c r="N1121" s="2" t="s">
        <v>60</v>
      </c>
      <c r="O1121" s="2">
        <v>1.10751038E8</v>
      </c>
      <c r="P1121" s="15"/>
      <c r="Q1121" s="8">
        <v>2025.0</v>
      </c>
      <c r="R1121" s="8" t="s">
        <v>3038</v>
      </c>
    </row>
    <row r="1122">
      <c r="A1122" s="4" t="s">
        <v>18</v>
      </c>
      <c r="B1122" s="2" t="s">
        <v>3887</v>
      </c>
      <c r="C1122" s="5">
        <v>45959.0</v>
      </c>
      <c r="D1122" s="5">
        <v>45959.0</v>
      </c>
      <c r="E1122" s="4" t="s">
        <v>3888</v>
      </c>
      <c r="F1122" s="9"/>
      <c r="G1122" s="6"/>
      <c r="H1122" s="11">
        <v>2810.0</v>
      </c>
      <c r="I1122" s="11">
        <v>46529.42</v>
      </c>
      <c r="K1122" s="12" t="str">
        <f t="shared" si="149"/>
        <v>UN3668</v>
      </c>
      <c r="L1122" s="2" t="s">
        <v>3889</v>
      </c>
      <c r="M1122" s="2" t="s">
        <v>24</v>
      </c>
      <c r="N1122" s="2" t="s">
        <v>60</v>
      </c>
      <c r="O1122" s="2">
        <v>1.10751038E8</v>
      </c>
      <c r="P1122" s="15"/>
      <c r="Q1122" s="8">
        <v>2025.0</v>
      </c>
      <c r="R1122" s="8" t="s">
        <v>3038</v>
      </c>
    </row>
    <row r="1123">
      <c r="A1123" s="4" t="s">
        <v>18</v>
      </c>
      <c r="B1123" s="2" t="s">
        <v>3890</v>
      </c>
      <c r="C1123" s="5">
        <v>45959.0</v>
      </c>
      <c r="D1123" s="5">
        <v>45959.0</v>
      </c>
      <c r="E1123" s="4" t="s">
        <v>3891</v>
      </c>
      <c r="F1123" s="9"/>
      <c r="G1123" s="6"/>
      <c r="H1123" s="7">
        <v>670.0</v>
      </c>
      <c r="I1123" s="11">
        <v>47199.42</v>
      </c>
      <c r="K1123" s="2" t="s">
        <v>539</v>
      </c>
      <c r="M1123" s="2" t="s">
        <v>24</v>
      </c>
      <c r="N1123" s="2" t="s">
        <v>60</v>
      </c>
      <c r="O1123" s="2">
        <v>1.10751038E8</v>
      </c>
      <c r="P1123" s="15" t="str">
        <f>IFERROR(__xludf.DUMMYFUNCTION("CONCATENATE(B1123,"", "", to_text(D1123),"", "", E1123,"", "", H1123)"),"TSV-10-0285, 29-Oct-2025, UPI/CR/655727061548/AYAN ARI/BARB/9208811/Payment, 670")</f>
        <v>TSV-10-0285, 29-Oct-2025, UPI/CR/655727061548/AYAN ARI/BARB/9208811/Payment, 670</v>
      </c>
      <c r="Q1123" s="8">
        <v>2025.0</v>
      </c>
      <c r="R1123" s="8" t="s">
        <v>3038</v>
      </c>
    </row>
    <row r="1124">
      <c r="A1124" s="4" t="s">
        <v>18</v>
      </c>
      <c r="B1124" s="2" t="s">
        <v>3892</v>
      </c>
      <c r="C1124" s="5">
        <v>45959.0</v>
      </c>
      <c r="D1124" s="5">
        <v>45959.0</v>
      </c>
      <c r="E1124" s="4" t="s">
        <v>3893</v>
      </c>
      <c r="F1124" s="9"/>
      <c r="G1124" s="6"/>
      <c r="H1124" s="7">
        <v>864.0</v>
      </c>
      <c r="I1124" s="11">
        <v>48063.42</v>
      </c>
      <c r="K1124" s="12" t="str">
        <f t="shared" ref="K1124:K1132" si="150">RIGHT(E1124,6)</f>
        <v>UN3668</v>
      </c>
      <c r="L1124" s="2" t="s">
        <v>3894</v>
      </c>
      <c r="M1124" s="2" t="s">
        <v>24</v>
      </c>
      <c r="N1124" s="2" t="s">
        <v>60</v>
      </c>
      <c r="O1124" s="2">
        <v>1.10751038E8</v>
      </c>
      <c r="P1124" s="15"/>
      <c r="Q1124" s="8">
        <v>2025.0</v>
      </c>
      <c r="R1124" s="8" t="s">
        <v>3038</v>
      </c>
    </row>
    <row r="1125">
      <c r="A1125" s="4" t="s">
        <v>18</v>
      </c>
      <c r="B1125" s="2" t="s">
        <v>3895</v>
      </c>
      <c r="C1125" s="5">
        <v>45959.0</v>
      </c>
      <c r="D1125" s="5">
        <v>45959.0</v>
      </c>
      <c r="E1125" s="4" t="s">
        <v>3896</v>
      </c>
      <c r="F1125" s="9"/>
      <c r="G1125" s="6"/>
      <c r="H1125" s="7">
        <v>280.0</v>
      </c>
      <c r="I1125" s="11">
        <v>48343.42</v>
      </c>
      <c r="K1125" s="12" t="str">
        <f t="shared" si="150"/>
        <v>UN3668</v>
      </c>
      <c r="M1125" s="2" t="s">
        <v>24</v>
      </c>
      <c r="N1125" s="2" t="s">
        <v>60</v>
      </c>
      <c r="O1125" s="2">
        <v>1.10751038E8</v>
      </c>
      <c r="P1125" s="15" t="str">
        <f>IFERROR(__xludf.DUMMYFUNCTION("CONCATENATE(B1125,"", "", to_text(D1125),"", "", E1125,"", "", H1125)"),"TSV-10-0287, 29-Oct-2025, UPI/CR/530259337109/MOHSIN /SBIN/8920759/UN3668, 280")</f>
        <v>TSV-10-0287, 29-Oct-2025, UPI/CR/530259337109/MOHSIN /SBIN/8920759/UN3668, 280</v>
      </c>
      <c r="Q1125" s="8">
        <v>2025.0</v>
      </c>
      <c r="R1125" s="8" t="s">
        <v>3038</v>
      </c>
    </row>
    <row r="1126">
      <c r="A1126" s="4" t="s">
        <v>18</v>
      </c>
      <c r="B1126" s="2" t="s">
        <v>3897</v>
      </c>
      <c r="C1126" s="5">
        <v>45959.0</v>
      </c>
      <c r="D1126" s="5">
        <v>45959.0</v>
      </c>
      <c r="E1126" s="4" t="s">
        <v>3898</v>
      </c>
      <c r="F1126" s="9"/>
      <c r="G1126" s="6"/>
      <c r="H1126" s="7">
        <v>924.0</v>
      </c>
      <c r="I1126" s="11">
        <v>49267.42</v>
      </c>
      <c r="K1126" s="12" t="str">
        <f t="shared" si="150"/>
        <v>SL1610</v>
      </c>
      <c r="L1126" s="2" t="s">
        <v>3899</v>
      </c>
      <c r="M1126" s="2" t="s">
        <v>24</v>
      </c>
      <c r="N1126" s="2" t="s">
        <v>60</v>
      </c>
      <c r="O1126" s="2">
        <v>1.10751038E8</v>
      </c>
      <c r="P1126" s="15"/>
      <c r="Q1126" s="8">
        <v>2025.0</v>
      </c>
      <c r="R1126" s="8" t="s">
        <v>3038</v>
      </c>
    </row>
    <row r="1127">
      <c r="A1127" s="4" t="s">
        <v>18</v>
      </c>
      <c r="B1127" s="2" t="s">
        <v>3900</v>
      </c>
      <c r="C1127" s="5">
        <v>45959.0</v>
      </c>
      <c r="D1127" s="5">
        <v>45959.0</v>
      </c>
      <c r="E1127" s="4" t="s">
        <v>3901</v>
      </c>
      <c r="F1127" s="9"/>
      <c r="G1127" s="6"/>
      <c r="H1127" s="7">
        <v>1326.0</v>
      </c>
      <c r="I1127" s="11">
        <v>50593.42</v>
      </c>
      <c r="K1127" s="12" t="str">
        <f t="shared" si="150"/>
        <v>SL1610</v>
      </c>
      <c r="L1127" s="2" t="s">
        <v>3902</v>
      </c>
      <c r="M1127" s="2" t="s">
        <v>24</v>
      </c>
      <c r="N1127" s="2" t="s">
        <v>60</v>
      </c>
      <c r="O1127" s="2">
        <v>1.10751038E8</v>
      </c>
      <c r="P1127" s="15"/>
      <c r="Q1127" s="8">
        <v>2025.0</v>
      </c>
      <c r="R1127" s="8" t="s">
        <v>3038</v>
      </c>
    </row>
    <row r="1128">
      <c r="A1128" s="4" t="s">
        <v>18</v>
      </c>
      <c r="B1128" s="2" t="s">
        <v>3903</v>
      </c>
      <c r="C1128" s="5">
        <v>45959.0</v>
      </c>
      <c r="D1128" s="5">
        <v>45959.0</v>
      </c>
      <c r="E1128" s="4" t="s">
        <v>3904</v>
      </c>
      <c r="F1128" s="9"/>
      <c r="G1128" s="6"/>
      <c r="H1128" s="7">
        <v>218.0</v>
      </c>
      <c r="I1128" s="11">
        <v>50811.42</v>
      </c>
      <c r="K1128" s="12" t="str">
        <f t="shared" si="150"/>
        <v>SC3567</v>
      </c>
      <c r="M1128" s="2" t="s">
        <v>24</v>
      </c>
      <c r="N1128" s="2" t="s">
        <v>60</v>
      </c>
      <c r="O1128" s="2">
        <v>1.10751038E8</v>
      </c>
      <c r="P1128" s="15" t="str">
        <f>IFERROR(__xludf.DUMMYFUNCTION("CONCATENATE(B1128,"", "", to_text(D1128),"", "", E1128,"", "", H1128)"),"TSV-10-0290, 29-Oct-2025, UPI/CR/693046309722/AMEY PRA/KKBK/9244316/SC3567, 218")</f>
        <v>TSV-10-0290, 29-Oct-2025, UPI/CR/693046309722/AMEY PRA/KKBK/9244316/SC3567, 218</v>
      </c>
      <c r="Q1128" s="8">
        <v>2025.0</v>
      </c>
      <c r="R1128" s="8" t="s">
        <v>3038</v>
      </c>
    </row>
    <row r="1129">
      <c r="A1129" s="4" t="s">
        <v>18</v>
      </c>
      <c r="B1129" s="2" t="s">
        <v>3905</v>
      </c>
      <c r="C1129" s="5">
        <v>45960.0</v>
      </c>
      <c r="D1129" s="5">
        <v>45960.0</v>
      </c>
      <c r="E1129" s="4" t="s">
        <v>3906</v>
      </c>
      <c r="F1129" s="9"/>
      <c r="G1129" s="6"/>
      <c r="H1129" s="7">
        <v>200.0</v>
      </c>
      <c r="I1129" s="11">
        <v>51011.42</v>
      </c>
      <c r="K1129" s="12" t="str">
        <f t="shared" si="150"/>
        <v>SC3567</v>
      </c>
      <c r="M1129" s="2" t="s">
        <v>24</v>
      </c>
      <c r="N1129" s="2" t="s">
        <v>60</v>
      </c>
      <c r="O1129" s="2">
        <v>1.10751038E8</v>
      </c>
      <c r="P1129" s="15" t="str">
        <f>IFERROR(__xludf.DUMMYFUNCTION("CONCATENATE(B1129,"", "", to_text(D1129),"", "", E1129,"", "", H1129)"),"TSV-10-0291, 30-Oct-2025, UPI/CR/113386740197/OM RAGHA/HDFC/raghavj/SC3567, 200")</f>
        <v>TSV-10-0291, 30-Oct-2025, UPI/CR/113386740197/OM RAGHA/HDFC/raghavj/SC3567, 200</v>
      </c>
      <c r="Q1129" s="8">
        <v>2025.0</v>
      </c>
      <c r="R1129" s="8" t="s">
        <v>3038</v>
      </c>
    </row>
    <row r="1130">
      <c r="A1130" s="4" t="s">
        <v>18</v>
      </c>
      <c r="B1130" s="2" t="s">
        <v>3907</v>
      </c>
      <c r="C1130" s="5">
        <v>45960.0</v>
      </c>
      <c r="D1130" s="5">
        <v>45960.0</v>
      </c>
      <c r="E1130" s="4" t="s">
        <v>3908</v>
      </c>
      <c r="F1130" s="9"/>
      <c r="G1130" s="6"/>
      <c r="H1130" s="7">
        <v>250.0</v>
      </c>
      <c r="I1130" s="11">
        <v>51261.42</v>
      </c>
      <c r="K1130" s="12" t="str">
        <f t="shared" si="150"/>
        <v>SC3567</v>
      </c>
      <c r="M1130" s="2" t="s">
        <v>24</v>
      </c>
      <c r="N1130" s="2" t="s">
        <v>60</v>
      </c>
      <c r="O1130" s="2">
        <v>1.10751038E8</v>
      </c>
      <c r="P1130" s="15" t="str">
        <f>IFERROR(__xludf.DUMMYFUNCTION("CONCATENATE(B1130,"", "", to_text(D1130),"", "", E1130,"", "", H1130)"),"TSV-10-0292, 30-Oct-2025, UPI/CR/530301334501/AVINASH /HDFC/9818733/SC3567, 250")</f>
        <v>TSV-10-0292, 30-Oct-2025, UPI/CR/530301334501/AVINASH /HDFC/9818733/SC3567, 250</v>
      </c>
      <c r="Q1130" s="8">
        <v>2025.0</v>
      </c>
      <c r="R1130" s="8" t="s">
        <v>3038</v>
      </c>
    </row>
    <row r="1131">
      <c r="A1131" s="4" t="s">
        <v>18</v>
      </c>
      <c r="B1131" s="2" t="s">
        <v>3909</v>
      </c>
      <c r="C1131" s="5">
        <v>45960.0</v>
      </c>
      <c r="D1131" s="5">
        <v>45960.0</v>
      </c>
      <c r="E1131" s="4" t="s">
        <v>3910</v>
      </c>
      <c r="F1131" s="9"/>
      <c r="G1131" s="6"/>
      <c r="H1131" s="7">
        <v>300.0</v>
      </c>
      <c r="I1131" s="11">
        <v>51561.42</v>
      </c>
      <c r="K1131" s="12" t="str">
        <f t="shared" si="150"/>
        <v>UN3668</v>
      </c>
      <c r="L1131" s="2" t="s">
        <v>3911</v>
      </c>
      <c r="M1131" s="2" t="s">
        <v>24</v>
      </c>
      <c r="N1131" s="2" t="s">
        <v>60</v>
      </c>
      <c r="O1131" s="2">
        <v>1.10751038E8</v>
      </c>
      <c r="P1131" s="15"/>
      <c r="Q1131" s="8">
        <v>2025.0</v>
      </c>
      <c r="R1131" s="8" t="s">
        <v>3038</v>
      </c>
    </row>
    <row r="1132">
      <c r="A1132" s="4" t="s">
        <v>18</v>
      </c>
      <c r="B1132" s="2" t="s">
        <v>3912</v>
      </c>
      <c r="C1132" s="5">
        <v>45960.0</v>
      </c>
      <c r="D1132" s="5">
        <v>45960.0</v>
      </c>
      <c r="E1132" s="4" t="s">
        <v>3913</v>
      </c>
      <c r="F1132" s="9"/>
      <c r="G1132" s="6"/>
      <c r="H1132" s="7">
        <v>200.0</v>
      </c>
      <c r="I1132" s="11">
        <v>51761.42</v>
      </c>
      <c r="K1132" s="12" t="str">
        <f t="shared" si="150"/>
        <v>SC3567</v>
      </c>
      <c r="M1132" s="2" t="s">
        <v>24</v>
      </c>
      <c r="N1132" s="2" t="s">
        <v>60</v>
      </c>
      <c r="O1132" s="2">
        <v>1.10751038E8</v>
      </c>
      <c r="P1132" s="15" t="str">
        <f>IFERROR(__xludf.DUMMYFUNCTION("CONCATENATE(B1132,"", "", to_text(D1132),"", "", E1132,"", "", H1132)"),"TSV-10-0294, 30-Oct-2025, UPI/CR/566998260436/AAYUSH G/HDFC/agarg04/SC3567, 200")</f>
        <v>TSV-10-0294, 30-Oct-2025, UPI/CR/566998260436/AAYUSH G/HDFC/agarg04/SC3567, 200</v>
      </c>
      <c r="Q1132" s="8">
        <v>2025.0</v>
      </c>
      <c r="R1132" s="8" t="s">
        <v>3038</v>
      </c>
    </row>
    <row r="1133">
      <c r="A1133" s="4" t="s">
        <v>18</v>
      </c>
      <c r="B1133" s="2" t="s">
        <v>3914</v>
      </c>
      <c r="C1133" s="5">
        <v>45961.0</v>
      </c>
      <c r="D1133" s="5">
        <v>45961.0</v>
      </c>
      <c r="E1133" s="4" t="s">
        <v>3915</v>
      </c>
      <c r="F1133" s="9"/>
      <c r="G1133" s="6"/>
      <c r="H1133" s="11">
        <v>1264.0</v>
      </c>
      <c r="I1133" s="11">
        <v>53025.42</v>
      </c>
      <c r="K1133" s="2" t="s">
        <v>539</v>
      </c>
      <c r="M1133" s="2" t="s">
        <v>24</v>
      </c>
      <c r="N1133" s="2" t="s">
        <v>60</v>
      </c>
      <c r="O1133" s="2">
        <v>1.10751038E8</v>
      </c>
      <c r="P1133" s="15" t="str">
        <f>IFERROR(__xludf.DUMMYFUNCTION("CONCATENATE(B1133,"", "", to_text(D1133),"", "", E1133,"", "", H1133)"),"TSV-10-0295, 31-Oct-2025, UPI/CR/113425008552/ARPENDU /HDFC/arpendu/UPI, 1264")</f>
        <v>TSV-10-0295, 31-Oct-2025, UPI/CR/113425008552/ARPENDU /HDFC/arpendu/UPI, 1264</v>
      </c>
      <c r="Q1133" s="8">
        <v>2025.0</v>
      </c>
      <c r="R1133" s="8" t="s">
        <v>3038</v>
      </c>
    </row>
    <row r="1134">
      <c r="A1134" s="4" t="s">
        <v>18</v>
      </c>
      <c r="B1134" s="2" t="s">
        <v>3916</v>
      </c>
      <c r="C1134" s="5">
        <v>45961.0</v>
      </c>
      <c r="D1134" s="5">
        <v>45961.0</v>
      </c>
      <c r="E1134" s="4" t="s">
        <v>3917</v>
      </c>
      <c r="F1134" s="9"/>
      <c r="G1134" s="11">
        <v>1050.0</v>
      </c>
      <c r="H1134" s="6"/>
      <c r="I1134" s="11">
        <v>51975.42</v>
      </c>
      <c r="K1134" s="2" t="s">
        <v>127</v>
      </c>
      <c r="M1134" s="2" t="s">
        <v>114</v>
      </c>
      <c r="N1134" s="2" t="s">
        <v>3918</v>
      </c>
      <c r="O1134" s="2">
        <v>1.10751038E8</v>
      </c>
      <c r="Q1134" s="8">
        <v>2025.0</v>
      </c>
      <c r="R1134" s="8" t="s">
        <v>3038</v>
      </c>
    </row>
    <row r="1135">
      <c r="A1135" s="4" t="s">
        <v>18</v>
      </c>
      <c r="B1135" s="2" t="s">
        <v>3919</v>
      </c>
      <c r="C1135" s="5">
        <v>45961.0</v>
      </c>
      <c r="D1135" s="5">
        <v>45961.0</v>
      </c>
      <c r="E1135" s="4" t="s">
        <v>3920</v>
      </c>
      <c r="F1135" s="9"/>
      <c r="G1135" s="6"/>
      <c r="H1135" s="7">
        <v>349.0</v>
      </c>
      <c r="I1135" s="11">
        <v>52324.42</v>
      </c>
      <c r="K1135" s="12" t="str">
        <f>RIGHT(E1135,6)</f>
        <v>SC3567</v>
      </c>
      <c r="M1135" s="2" t="s">
        <v>24</v>
      </c>
      <c r="N1135" s="2" t="s">
        <v>60</v>
      </c>
      <c r="O1135" s="2">
        <v>1.10751038E8</v>
      </c>
      <c r="P1135" s="15" t="str">
        <f>IFERROR(__xludf.DUMMYFUNCTION("CONCATENATE(B1135,"", "", to_text(D1135),"", "", E1135,"", "", H1135)"),"TSV-10-0297, 31-Oct-2025, UPI/CR/391549204601/RAJENDRA/SBIN/9312336/SC3567, 349")</f>
        <v>TSV-10-0297, 31-Oct-2025, UPI/CR/391549204601/RAJENDRA/SBIN/9312336/SC3567, 349</v>
      </c>
      <c r="Q1135" s="8">
        <v>2025.0</v>
      </c>
      <c r="R1135" s="8" t="s">
        <v>3038</v>
      </c>
    </row>
    <row r="1136">
      <c r="A1136" s="4" t="s">
        <v>18</v>
      </c>
      <c r="B1136" s="2" t="s">
        <v>3921</v>
      </c>
      <c r="C1136" s="5">
        <v>45961.0</v>
      </c>
      <c r="D1136" s="5">
        <v>45961.0</v>
      </c>
      <c r="E1136" s="4" t="s">
        <v>3922</v>
      </c>
      <c r="F1136" s="9"/>
      <c r="G1136" s="11">
        <v>1649.64</v>
      </c>
      <c r="H1136" s="6"/>
      <c r="I1136" s="11">
        <v>50674.78</v>
      </c>
      <c r="K1136" s="2" t="s">
        <v>23</v>
      </c>
      <c r="M1136" s="2" t="s">
        <v>114</v>
      </c>
      <c r="N1136" s="2" t="s">
        <v>1351</v>
      </c>
      <c r="O1136" s="2">
        <v>1.10751038E8</v>
      </c>
      <c r="Q1136" s="8">
        <v>2025.0</v>
      </c>
      <c r="R1136" s="8" t="s">
        <v>3038</v>
      </c>
    </row>
    <row r="1137">
      <c r="A1137" s="4" t="s">
        <v>18</v>
      </c>
      <c r="B1137" s="2" t="s">
        <v>3923</v>
      </c>
      <c r="C1137" s="5">
        <v>45961.0</v>
      </c>
      <c r="D1137" s="5">
        <v>45961.0</v>
      </c>
      <c r="E1137" s="4" t="s">
        <v>3924</v>
      </c>
      <c r="F1137" s="9"/>
      <c r="G1137" s="7">
        <v>100.0</v>
      </c>
      <c r="H1137" s="6"/>
      <c r="I1137" s="11">
        <v>50574.78</v>
      </c>
      <c r="K1137" s="2" t="s">
        <v>113</v>
      </c>
      <c r="M1137" s="2" t="s">
        <v>114</v>
      </c>
      <c r="N1137" s="2" t="s">
        <v>3925</v>
      </c>
      <c r="O1137" s="2">
        <v>1.10751038E8</v>
      </c>
      <c r="Q1137" s="8">
        <v>2025.0</v>
      </c>
      <c r="R1137" s="8" t="s">
        <v>3038</v>
      </c>
    </row>
    <row r="1138">
      <c r="A1138" s="4" t="s">
        <v>18</v>
      </c>
      <c r="B1138" s="2" t="s">
        <v>3926</v>
      </c>
      <c r="C1138" s="5">
        <v>45961.0</v>
      </c>
      <c r="D1138" s="5">
        <v>45961.0</v>
      </c>
      <c r="E1138" s="4" t="s">
        <v>3927</v>
      </c>
      <c r="F1138" s="9"/>
      <c r="G1138" s="6"/>
      <c r="H1138" s="11">
        <v>1016.0</v>
      </c>
      <c r="I1138" s="11">
        <v>51590.78</v>
      </c>
      <c r="K1138" s="12" t="str">
        <f t="shared" ref="K1138:K1139" si="151">RIGHT(E1138,6)</f>
        <v>KN3817</v>
      </c>
      <c r="L1138" s="21" t="s">
        <v>3928</v>
      </c>
      <c r="M1138" s="2" t="s">
        <v>24</v>
      </c>
      <c r="N1138" s="2" t="s">
        <v>60</v>
      </c>
      <c r="O1138" s="2">
        <v>1.10751038E8</v>
      </c>
      <c r="P1138" s="15"/>
      <c r="Q1138" s="8">
        <v>2025.0</v>
      </c>
      <c r="R1138" s="8" t="s">
        <v>3038</v>
      </c>
    </row>
    <row r="1139">
      <c r="A1139" s="4" t="s">
        <v>18</v>
      </c>
      <c r="B1139" s="2" t="s">
        <v>3929</v>
      </c>
      <c r="C1139" s="5">
        <v>45961.0</v>
      </c>
      <c r="D1139" s="5">
        <v>45961.0</v>
      </c>
      <c r="E1139" s="4" t="s">
        <v>3930</v>
      </c>
      <c r="F1139" s="9"/>
      <c r="G1139" s="6"/>
      <c r="H1139" s="7">
        <v>132.05</v>
      </c>
      <c r="I1139" s="11">
        <v>51722.83</v>
      </c>
      <c r="K1139" s="12" t="str">
        <f t="shared" si="151"/>
        <v>SC3567</v>
      </c>
      <c r="M1139" s="2" t="s">
        <v>24</v>
      </c>
      <c r="N1139" s="2" t="s">
        <v>60</v>
      </c>
      <c r="O1139" s="2">
        <v>1.10751038E8</v>
      </c>
      <c r="P1139" s="15" t="str">
        <f>IFERROR(__xludf.DUMMYFUNCTION("CONCATENATE(B1139,"", "", to_text(D1139),"", "", E1139,"", "", H1139)"),"TSV-10-0301, 31-Oct-2025, UPI/CR/181619303589/ANKITMOH/HDFC/7489821/SC3567, 132.05")</f>
        <v>TSV-10-0301, 31-Oct-2025, UPI/CR/181619303589/ANKITMOH/HDFC/7489821/SC3567, 132.05</v>
      </c>
      <c r="Q1139" s="8">
        <v>2025.0</v>
      </c>
      <c r="R1139" s="8" t="s">
        <v>3038</v>
      </c>
    </row>
    <row r="1140">
      <c r="A1140" s="4" t="s">
        <v>18</v>
      </c>
      <c r="B1140" s="2" t="s">
        <v>3931</v>
      </c>
      <c r="C1140" s="5">
        <v>45961.0</v>
      </c>
      <c r="D1140" s="5">
        <v>45961.0</v>
      </c>
      <c r="E1140" s="4" t="s">
        <v>3932</v>
      </c>
      <c r="F1140" s="9"/>
      <c r="G1140" s="11">
        <v>2000.0</v>
      </c>
      <c r="H1140" s="6"/>
      <c r="I1140" s="11">
        <v>49722.83</v>
      </c>
      <c r="K1140" s="2" t="s">
        <v>113</v>
      </c>
      <c r="M1140" s="2" t="s">
        <v>114</v>
      </c>
      <c r="N1140" s="2" t="s">
        <v>3519</v>
      </c>
      <c r="O1140" s="2">
        <v>1.10751038E8</v>
      </c>
      <c r="Q1140" s="8">
        <v>2025.0</v>
      </c>
      <c r="R1140" s="8" t="s">
        <v>3038</v>
      </c>
    </row>
    <row r="1141">
      <c r="A1141" s="4" t="s">
        <v>18</v>
      </c>
      <c r="B1141" s="2" t="s">
        <v>3933</v>
      </c>
      <c r="C1141" s="5">
        <v>45961.0</v>
      </c>
      <c r="D1141" s="5">
        <v>45961.0</v>
      </c>
      <c r="E1141" s="4" t="s">
        <v>3934</v>
      </c>
      <c r="F1141" s="9"/>
      <c r="G1141" s="6"/>
      <c r="H1141" s="11">
        <v>2070.0</v>
      </c>
      <c r="I1141" s="11">
        <v>51792.83</v>
      </c>
      <c r="K1141" s="12" t="str">
        <f t="shared" ref="K1141:K1151" si="152">RIGHT(E1141,6)</f>
        <v>KN3817</v>
      </c>
      <c r="L1141" s="21" t="s">
        <v>898</v>
      </c>
      <c r="M1141" s="2" t="s">
        <v>24</v>
      </c>
      <c r="N1141" s="2" t="s">
        <v>60</v>
      </c>
      <c r="O1141" s="2">
        <v>1.10751038E8</v>
      </c>
      <c r="P1141" s="15"/>
      <c r="Q1141" s="8">
        <v>2025.0</v>
      </c>
      <c r="R1141" s="8" t="s">
        <v>3038</v>
      </c>
    </row>
    <row r="1142">
      <c r="A1142" s="4" t="s">
        <v>18</v>
      </c>
      <c r="B1142" s="2" t="s">
        <v>3935</v>
      </c>
      <c r="C1142" s="5">
        <v>45961.0</v>
      </c>
      <c r="D1142" s="5">
        <v>45961.0</v>
      </c>
      <c r="E1142" s="4" t="s">
        <v>3936</v>
      </c>
      <c r="F1142" s="9"/>
      <c r="G1142" s="6"/>
      <c r="H1142" s="7">
        <v>200.0</v>
      </c>
      <c r="I1142" s="11">
        <v>51992.83</v>
      </c>
      <c r="K1142" s="12" t="str">
        <f t="shared" si="152"/>
        <v>UN3668</v>
      </c>
      <c r="L1142" s="2" t="s">
        <v>3937</v>
      </c>
      <c r="M1142" s="2" t="s">
        <v>24</v>
      </c>
      <c r="N1142" s="2" t="s">
        <v>60</v>
      </c>
      <c r="O1142" s="2">
        <v>1.10751038E8</v>
      </c>
      <c r="P1142" s="15"/>
      <c r="Q1142" s="8">
        <v>2025.0</v>
      </c>
      <c r="R1142" s="8" t="s">
        <v>3038</v>
      </c>
    </row>
    <row r="1143">
      <c r="A1143" s="4" t="s">
        <v>18</v>
      </c>
      <c r="B1143" s="2" t="s">
        <v>3938</v>
      </c>
      <c r="C1143" s="5">
        <v>45961.0</v>
      </c>
      <c r="D1143" s="5">
        <v>45961.0</v>
      </c>
      <c r="E1143" s="4" t="s">
        <v>3939</v>
      </c>
      <c r="F1143" s="9"/>
      <c r="G1143" s="6"/>
      <c r="H1143" s="7">
        <v>484.0</v>
      </c>
      <c r="I1143" s="11">
        <v>52476.83</v>
      </c>
      <c r="K1143" s="12" t="str">
        <f t="shared" si="152"/>
        <v>SL1610</v>
      </c>
      <c r="L1143" s="2" t="s">
        <v>3940</v>
      </c>
      <c r="M1143" s="2" t="s">
        <v>24</v>
      </c>
      <c r="N1143" s="2" t="s">
        <v>60</v>
      </c>
      <c r="O1143" s="2">
        <v>1.10751038E8</v>
      </c>
      <c r="P1143" s="15"/>
      <c r="Q1143" s="8">
        <v>2025.0</v>
      </c>
      <c r="R1143" s="8" t="s">
        <v>3038</v>
      </c>
    </row>
    <row r="1144">
      <c r="A1144" s="4" t="s">
        <v>18</v>
      </c>
      <c r="B1144" s="2" t="s">
        <v>3941</v>
      </c>
      <c r="C1144" s="5">
        <v>45961.0</v>
      </c>
      <c r="D1144" s="5">
        <v>45961.0</v>
      </c>
      <c r="E1144" s="4" t="s">
        <v>3942</v>
      </c>
      <c r="F1144" s="9"/>
      <c r="G1144" s="6"/>
      <c r="H1144" s="7">
        <v>270.0</v>
      </c>
      <c r="I1144" s="11">
        <v>52746.83</v>
      </c>
      <c r="K1144" s="12" t="str">
        <f t="shared" si="152"/>
        <v>UN3668</v>
      </c>
      <c r="L1144" s="2" t="s">
        <v>3943</v>
      </c>
      <c r="M1144" s="2" t="s">
        <v>24</v>
      </c>
      <c r="N1144" s="2" t="s">
        <v>60</v>
      </c>
      <c r="O1144" s="2">
        <v>1.10751038E8</v>
      </c>
      <c r="P1144" s="15"/>
      <c r="Q1144" s="8">
        <v>2025.0</v>
      </c>
      <c r="R1144" s="8" t="s">
        <v>3038</v>
      </c>
    </row>
    <row r="1145">
      <c r="A1145" s="4" t="s">
        <v>18</v>
      </c>
      <c r="B1145" s="2" t="s">
        <v>3944</v>
      </c>
      <c r="C1145" s="10">
        <v>45962.0</v>
      </c>
      <c r="D1145" s="10">
        <v>45962.0</v>
      </c>
      <c r="E1145" s="4" t="s">
        <v>3945</v>
      </c>
      <c r="F1145" s="9"/>
      <c r="G1145" s="6"/>
      <c r="H1145" s="7">
        <v>150.0</v>
      </c>
      <c r="I1145" s="11">
        <v>52896.83</v>
      </c>
      <c r="K1145" s="12" t="str">
        <f t="shared" si="152"/>
        <v>SC3567</v>
      </c>
      <c r="M1145" s="2" t="s">
        <v>24</v>
      </c>
      <c r="N1145" s="2" t="s">
        <v>60</v>
      </c>
      <c r="O1145" s="2">
        <v>1.10751038E8</v>
      </c>
      <c r="P1145" s="15" t="str">
        <f>IFERROR(__xludf.DUMMYFUNCTION("CONCATENATE(B1145,"", "", to_text(D1145),"", "", E1145,"", "", H1145)"),"TSV-11-0001, 01-Nov-2025, UPI/CR/391597834689/MR RAJ /BDBL/7701945/SC3567, 150")</f>
        <v>TSV-11-0001, 01-Nov-2025, UPI/CR/391597834689/MR RAJ /BDBL/7701945/SC3567, 150</v>
      </c>
      <c r="Q1145" s="8">
        <v>2025.0</v>
      </c>
      <c r="R1145" s="8" t="s">
        <v>3946</v>
      </c>
    </row>
    <row r="1146">
      <c r="A1146" s="4" t="s">
        <v>18</v>
      </c>
      <c r="B1146" s="2" t="s">
        <v>3947</v>
      </c>
      <c r="C1146" s="10">
        <v>45962.0</v>
      </c>
      <c r="D1146" s="10">
        <v>45962.0</v>
      </c>
      <c r="E1146" s="4" t="s">
        <v>3948</v>
      </c>
      <c r="F1146" s="9"/>
      <c r="G1146" s="6"/>
      <c r="H1146" s="7">
        <v>480.0</v>
      </c>
      <c r="I1146" s="11">
        <v>53376.83</v>
      </c>
      <c r="K1146" s="12" t="str">
        <f t="shared" si="152"/>
        <v>UN3668</v>
      </c>
      <c r="L1146" s="2" t="s">
        <v>3949</v>
      </c>
      <c r="M1146" s="2" t="s">
        <v>24</v>
      </c>
      <c r="N1146" s="2" t="s">
        <v>60</v>
      </c>
      <c r="O1146" s="2">
        <v>1.10751038E8</v>
      </c>
      <c r="P1146" s="15"/>
      <c r="Q1146" s="8">
        <v>2025.0</v>
      </c>
      <c r="R1146" s="8" t="s">
        <v>3946</v>
      </c>
    </row>
    <row r="1147">
      <c r="A1147" s="4" t="s">
        <v>18</v>
      </c>
      <c r="B1147" s="2" t="s">
        <v>3950</v>
      </c>
      <c r="C1147" s="10">
        <v>45962.0</v>
      </c>
      <c r="D1147" s="10">
        <v>45962.0</v>
      </c>
      <c r="E1147" s="4" t="s">
        <v>3951</v>
      </c>
      <c r="F1147" s="9"/>
      <c r="G1147" s="6"/>
      <c r="H1147" s="7">
        <v>300.0</v>
      </c>
      <c r="I1147" s="11">
        <v>53676.83</v>
      </c>
      <c r="K1147" s="12" t="str">
        <f t="shared" si="152"/>
        <v>UN3668</v>
      </c>
      <c r="L1147" s="2" t="s">
        <v>3952</v>
      </c>
      <c r="M1147" s="2" t="s">
        <v>24</v>
      </c>
      <c r="N1147" s="2" t="s">
        <v>60</v>
      </c>
      <c r="O1147" s="2">
        <v>1.10751038E8</v>
      </c>
      <c r="P1147" s="15"/>
      <c r="Q1147" s="8">
        <v>2025.0</v>
      </c>
      <c r="R1147" s="8" t="s">
        <v>3946</v>
      </c>
    </row>
    <row r="1148">
      <c r="A1148" s="4" t="s">
        <v>18</v>
      </c>
      <c r="B1148" s="2" t="s">
        <v>3953</v>
      </c>
      <c r="C1148" s="10">
        <v>45962.0</v>
      </c>
      <c r="D1148" s="10">
        <v>45962.0</v>
      </c>
      <c r="E1148" s="4" t="s">
        <v>3954</v>
      </c>
      <c r="F1148" s="9"/>
      <c r="G1148" s="6"/>
      <c r="H1148" s="7">
        <v>210.0</v>
      </c>
      <c r="I1148" s="11">
        <v>53886.83</v>
      </c>
      <c r="K1148" s="12" t="str">
        <f t="shared" si="152"/>
        <v>UN3668</v>
      </c>
      <c r="L1148" s="2" t="s">
        <v>3955</v>
      </c>
      <c r="M1148" s="2" t="s">
        <v>24</v>
      </c>
      <c r="N1148" s="2" t="s">
        <v>60</v>
      </c>
      <c r="O1148" s="2">
        <v>1.10751038E8</v>
      </c>
      <c r="P1148" s="15"/>
      <c r="Q1148" s="8">
        <v>2025.0</v>
      </c>
      <c r="R1148" s="8" t="s">
        <v>3946</v>
      </c>
    </row>
    <row r="1149">
      <c r="A1149" s="4" t="s">
        <v>18</v>
      </c>
      <c r="B1149" s="2" t="s">
        <v>3956</v>
      </c>
      <c r="C1149" s="10">
        <v>45962.0</v>
      </c>
      <c r="D1149" s="10">
        <v>45962.0</v>
      </c>
      <c r="E1149" s="4" t="s">
        <v>3957</v>
      </c>
      <c r="F1149" s="9"/>
      <c r="G1149" s="6"/>
      <c r="H1149" s="7">
        <v>240.0</v>
      </c>
      <c r="I1149" s="11">
        <v>54126.83</v>
      </c>
      <c r="K1149" s="12" t="str">
        <f t="shared" si="152"/>
        <v>SC3567</v>
      </c>
      <c r="L1149" s="2" t="s">
        <v>3958</v>
      </c>
      <c r="M1149" s="2" t="s">
        <v>24</v>
      </c>
      <c r="N1149" s="2" t="s">
        <v>60</v>
      </c>
      <c r="O1149" s="2">
        <v>1.10751038E8</v>
      </c>
      <c r="P1149" s="15"/>
      <c r="Q1149" s="8">
        <v>2025.0</v>
      </c>
      <c r="R1149" s="8" t="s">
        <v>3946</v>
      </c>
    </row>
    <row r="1150">
      <c r="A1150" s="4" t="s">
        <v>18</v>
      </c>
      <c r="B1150" s="2" t="s">
        <v>3959</v>
      </c>
      <c r="C1150" s="10">
        <v>45962.0</v>
      </c>
      <c r="D1150" s="10">
        <v>45962.0</v>
      </c>
      <c r="E1150" s="4" t="s">
        <v>3960</v>
      </c>
      <c r="F1150" s="9"/>
      <c r="G1150" s="6"/>
      <c r="H1150" s="7">
        <v>890.0</v>
      </c>
      <c r="I1150" s="11">
        <v>55016.83</v>
      </c>
      <c r="K1150" s="12" t="str">
        <f t="shared" si="152"/>
        <v>SL1610</v>
      </c>
      <c r="L1150" s="2" t="s">
        <v>3961</v>
      </c>
      <c r="M1150" s="2" t="s">
        <v>24</v>
      </c>
      <c r="N1150" s="2" t="s">
        <v>60</v>
      </c>
      <c r="O1150" s="2">
        <v>1.10751038E8</v>
      </c>
      <c r="P1150" s="15"/>
      <c r="Q1150" s="8">
        <v>2025.0</v>
      </c>
      <c r="R1150" s="8" t="s">
        <v>3946</v>
      </c>
    </row>
    <row r="1151">
      <c r="A1151" s="4" t="s">
        <v>18</v>
      </c>
      <c r="B1151" s="2" t="s">
        <v>3962</v>
      </c>
      <c r="C1151" s="10">
        <v>45962.0</v>
      </c>
      <c r="D1151" s="10">
        <v>45962.0</v>
      </c>
      <c r="E1151" s="4" t="s">
        <v>3963</v>
      </c>
      <c r="F1151" s="9"/>
      <c r="G1151" s="6"/>
      <c r="H1151" s="7">
        <v>481.0</v>
      </c>
      <c r="I1151" s="11">
        <v>55497.83</v>
      </c>
      <c r="K1151" s="12" t="str">
        <f t="shared" si="152"/>
        <v>UN3668</v>
      </c>
      <c r="L1151" s="2" t="s">
        <v>3964</v>
      </c>
      <c r="M1151" s="2" t="s">
        <v>24</v>
      </c>
      <c r="N1151" s="2" t="s">
        <v>60</v>
      </c>
      <c r="O1151" s="2">
        <v>1.10751038E8</v>
      </c>
      <c r="P1151" s="15"/>
      <c r="Q1151" s="8">
        <v>2025.0</v>
      </c>
      <c r="R1151" s="8" t="s">
        <v>3946</v>
      </c>
    </row>
    <row r="1152">
      <c r="A1152" s="4" t="s">
        <v>18</v>
      </c>
      <c r="B1152" s="2" t="s">
        <v>3965</v>
      </c>
      <c r="C1152" s="10">
        <v>45963.0</v>
      </c>
      <c r="D1152" s="10">
        <v>45963.0</v>
      </c>
      <c r="E1152" s="4" t="s">
        <v>3966</v>
      </c>
      <c r="F1152" s="9"/>
      <c r="G1152" s="11">
        <v>3000.0</v>
      </c>
      <c r="H1152" s="6"/>
      <c r="I1152" s="11">
        <v>52497.83</v>
      </c>
      <c r="K1152" s="2" t="s">
        <v>23</v>
      </c>
      <c r="M1152" s="2" t="s">
        <v>114</v>
      </c>
      <c r="N1152" s="2" t="s">
        <v>1835</v>
      </c>
      <c r="O1152" s="2">
        <v>1.10751038E8</v>
      </c>
      <c r="Q1152" s="8">
        <v>2025.0</v>
      </c>
      <c r="R1152" s="8" t="s">
        <v>3946</v>
      </c>
    </row>
    <row r="1153">
      <c r="A1153" s="4" t="s">
        <v>18</v>
      </c>
      <c r="B1153" s="2" t="s">
        <v>3967</v>
      </c>
      <c r="C1153" s="10">
        <v>45963.0</v>
      </c>
      <c r="D1153" s="10">
        <v>45963.0</v>
      </c>
      <c r="E1153" s="4" t="s">
        <v>3968</v>
      </c>
      <c r="F1153" s="9"/>
      <c r="G1153" s="6"/>
      <c r="H1153" s="7">
        <v>110.0</v>
      </c>
      <c r="I1153" s="11">
        <v>52607.83</v>
      </c>
      <c r="K1153" s="12" t="str">
        <f t="shared" ref="K1153:K1156" si="153">RIGHT(E1153,6)</f>
        <v>SC3567</v>
      </c>
      <c r="L1153" s="2" t="s">
        <v>3969</v>
      </c>
      <c r="M1153" s="2" t="s">
        <v>24</v>
      </c>
      <c r="N1153" s="2" t="s">
        <v>60</v>
      </c>
      <c r="O1153" s="2">
        <v>1.10751038E8</v>
      </c>
      <c r="P1153" s="15"/>
      <c r="Q1153" s="8">
        <v>2025.0</v>
      </c>
      <c r="R1153" s="8" t="s">
        <v>3946</v>
      </c>
    </row>
    <row r="1154">
      <c r="A1154" s="4" t="s">
        <v>18</v>
      </c>
      <c r="B1154" s="2" t="s">
        <v>3970</v>
      </c>
      <c r="C1154" s="10">
        <v>45963.0</v>
      </c>
      <c r="D1154" s="10">
        <v>45963.0</v>
      </c>
      <c r="E1154" s="4" t="s">
        <v>3971</v>
      </c>
      <c r="F1154" s="9"/>
      <c r="G1154" s="6"/>
      <c r="H1154" s="7">
        <v>323.0</v>
      </c>
      <c r="I1154" s="11">
        <v>52930.83</v>
      </c>
      <c r="K1154" s="12" t="str">
        <f t="shared" si="153"/>
        <v>UN3668</v>
      </c>
      <c r="L1154" s="2" t="s">
        <v>3972</v>
      </c>
      <c r="M1154" s="2" t="s">
        <v>24</v>
      </c>
      <c r="N1154" s="2" t="s">
        <v>60</v>
      </c>
      <c r="O1154" s="2">
        <v>1.10751038E8</v>
      </c>
      <c r="P1154" s="15"/>
      <c r="Q1154" s="8">
        <v>2025.0</v>
      </c>
      <c r="R1154" s="8" t="s">
        <v>3946</v>
      </c>
    </row>
    <row r="1155">
      <c r="A1155" s="4" t="s">
        <v>18</v>
      </c>
      <c r="B1155" s="2" t="s">
        <v>3973</v>
      </c>
      <c r="C1155" s="10">
        <v>45963.0</v>
      </c>
      <c r="D1155" s="10">
        <v>45963.0</v>
      </c>
      <c r="E1155" s="4" t="s">
        <v>3974</v>
      </c>
      <c r="F1155" s="9"/>
      <c r="G1155" s="6"/>
      <c r="H1155" s="7">
        <v>544.0</v>
      </c>
      <c r="I1155" s="11">
        <v>53474.83</v>
      </c>
      <c r="K1155" s="12" t="str">
        <f t="shared" si="153"/>
        <v>SL1610</v>
      </c>
      <c r="L1155" s="2" t="s">
        <v>3975</v>
      </c>
      <c r="M1155" s="2" t="s">
        <v>24</v>
      </c>
      <c r="N1155" s="2" t="s">
        <v>60</v>
      </c>
      <c r="O1155" s="2">
        <v>1.10751038E8</v>
      </c>
      <c r="P1155" s="15"/>
      <c r="Q1155" s="8">
        <v>2025.0</v>
      </c>
      <c r="R1155" s="8" t="s">
        <v>3946</v>
      </c>
    </row>
    <row r="1156">
      <c r="A1156" s="4" t="s">
        <v>18</v>
      </c>
      <c r="B1156" s="2" t="s">
        <v>3976</v>
      </c>
      <c r="C1156" s="10">
        <v>45963.0</v>
      </c>
      <c r="D1156" s="10">
        <v>45963.0</v>
      </c>
      <c r="E1156" s="4" t="s">
        <v>3977</v>
      </c>
      <c r="F1156" s="9"/>
      <c r="G1156" s="6"/>
      <c r="H1156" s="7">
        <v>290.0</v>
      </c>
      <c r="I1156" s="11">
        <v>53764.83</v>
      </c>
      <c r="K1156" s="12" t="str">
        <f t="shared" si="153"/>
        <v>UN3668</v>
      </c>
      <c r="L1156" s="2" t="s">
        <v>3978</v>
      </c>
      <c r="M1156" s="2" t="s">
        <v>24</v>
      </c>
      <c r="N1156" s="2" t="s">
        <v>60</v>
      </c>
      <c r="O1156" s="2">
        <v>1.10751038E8</v>
      </c>
      <c r="P1156" s="15"/>
      <c r="Q1156" s="8">
        <v>2025.0</v>
      </c>
      <c r="R1156" s="8" t="s">
        <v>3946</v>
      </c>
    </row>
    <row r="1157">
      <c r="A1157" s="4" t="s">
        <v>18</v>
      </c>
      <c r="B1157" s="2" t="s">
        <v>3979</v>
      </c>
      <c r="C1157" s="10">
        <v>45963.0</v>
      </c>
      <c r="D1157" s="10">
        <v>45963.0</v>
      </c>
      <c r="E1157" s="4" t="s">
        <v>3980</v>
      </c>
      <c r="F1157" s="9"/>
      <c r="G1157" s="6"/>
      <c r="H1157" s="7">
        <v>120.0</v>
      </c>
      <c r="I1157" s="11">
        <v>53884.83</v>
      </c>
      <c r="K1157" s="2" t="s">
        <v>539</v>
      </c>
      <c r="M1157" s="2" t="s">
        <v>24</v>
      </c>
      <c r="N1157" s="2" t="s">
        <v>60</v>
      </c>
      <c r="O1157" s="2">
        <v>1.10751038E8</v>
      </c>
      <c r="P1157" s="15" t="str">
        <f>IFERROR(__xludf.DUMMYFUNCTION("CONCATENATE(B1157,"", "", to_text(D1157),"", "", E1157,"", "", H1157)"),"TSV-11-0013, 02-Nov-2025, UPI/CR/530637601400/Parv Go/SBIN/9729944/Sent us, 120")</f>
        <v>TSV-11-0013, 02-Nov-2025, UPI/CR/530637601400/Parv Go/SBIN/9729944/Sent us, 120</v>
      </c>
      <c r="Q1157" s="8">
        <v>2025.0</v>
      </c>
      <c r="R1157" s="8" t="s">
        <v>3946</v>
      </c>
    </row>
    <row r="1158">
      <c r="A1158" s="4" t="s">
        <v>18</v>
      </c>
      <c r="B1158" s="2" t="s">
        <v>3981</v>
      </c>
      <c r="C1158" s="10">
        <v>45963.0</v>
      </c>
      <c r="D1158" s="10">
        <v>45963.0</v>
      </c>
      <c r="E1158" s="4" t="s">
        <v>3982</v>
      </c>
      <c r="F1158" s="9"/>
      <c r="G1158" s="6"/>
      <c r="H1158" s="7">
        <v>400.0</v>
      </c>
      <c r="I1158" s="11">
        <v>54284.83</v>
      </c>
      <c r="K1158" s="12" t="str">
        <f t="shared" ref="K1158:K1159" si="154">RIGHT(E1158,6)</f>
        <v>UN3668</v>
      </c>
      <c r="L1158" s="2" t="s">
        <v>3983</v>
      </c>
      <c r="M1158" s="2" t="s">
        <v>24</v>
      </c>
      <c r="N1158" s="2" t="s">
        <v>60</v>
      </c>
      <c r="O1158" s="2">
        <v>1.10751038E8</v>
      </c>
      <c r="P1158" s="15"/>
      <c r="Q1158" s="8">
        <v>2025.0</v>
      </c>
      <c r="R1158" s="8" t="s">
        <v>3946</v>
      </c>
    </row>
    <row r="1159">
      <c r="A1159" s="4" t="s">
        <v>18</v>
      </c>
      <c r="B1159" s="2" t="s">
        <v>3984</v>
      </c>
      <c r="C1159" s="10">
        <v>45963.0</v>
      </c>
      <c r="D1159" s="10">
        <v>45963.0</v>
      </c>
      <c r="E1159" s="4" t="s">
        <v>3985</v>
      </c>
      <c r="F1159" s="9"/>
      <c r="G1159" s="6"/>
      <c r="H1159" s="7">
        <v>712.0</v>
      </c>
      <c r="I1159" s="11">
        <v>54996.83</v>
      </c>
      <c r="K1159" s="12" t="str">
        <f t="shared" si="154"/>
        <v>UN3668</v>
      </c>
      <c r="L1159" s="2" t="s">
        <v>3986</v>
      </c>
      <c r="M1159" s="2" t="s">
        <v>24</v>
      </c>
      <c r="N1159" s="2" t="s">
        <v>60</v>
      </c>
      <c r="O1159" s="2">
        <v>1.10751038E8</v>
      </c>
      <c r="P1159" s="15"/>
      <c r="Q1159" s="8">
        <v>2025.0</v>
      </c>
      <c r="R1159" s="8" t="s">
        <v>3946</v>
      </c>
    </row>
    <row r="1160">
      <c r="A1160" s="4" t="s">
        <v>18</v>
      </c>
      <c r="B1160" s="2" t="s">
        <v>3987</v>
      </c>
      <c r="C1160" s="10">
        <v>45963.0</v>
      </c>
      <c r="D1160" s="10">
        <v>45963.0</v>
      </c>
      <c r="E1160" s="4" t="s">
        <v>3988</v>
      </c>
      <c r="F1160" s="9"/>
      <c r="G1160" s="6"/>
      <c r="H1160" s="7">
        <v>299.0</v>
      </c>
      <c r="I1160" s="11">
        <v>55295.83</v>
      </c>
      <c r="K1160" s="2" t="s">
        <v>539</v>
      </c>
      <c r="M1160" s="2" t="s">
        <v>24</v>
      </c>
      <c r="N1160" s="2" t="s">
        <v>60</v>
      </c>
      <c r="O1160" s="2">
        <v>1.10751038E8</v>
      </c>
      <c r="P1160" s="15" t="str">
        <f>IFERROR(__xludf.DUMMYFUNCTION("CONCATENATE(B1160,"", "", to_text(D1160),"", "", E1160,"", "", H1160)"),"TSV-11-0016, 02-Nov-2025, UPI/CR/113555792487/RINTU /CNRB/rintu.4/PAY BY, 299")</f>
        <v>TSV-11-0016, 02-Nov-2025, UPI/CR/113555792487/RINTU /CNRB/rintu.4/PAY BY, 299</v>
      </c>
      <c r="Q1160" s="8">
        <v>2025.0</v>
      </c>
      <c r="R1160" s="8" t="s">
        <v>3946</v>
      </c>
    </row>
    <row r="1161">
      <c r="A1161" s="4" t="s">
        <v>18</v>
      </c>
      <c r="B1161" s="2" t="s">
        <v>3989</v>
      </c>
      <c r="C1161" s="10">
        <v>45964.0</v>
      </c>
      <c r="D1161" s="10">
        <v>45964.0</v>
      </c>
      <c r="E1161" s="4" t="s">
        <v>3990</v>
      </c>
      <c r="F1161" s="9"/>
      <c r="G1161" s="6"/>
      <c r="H1161" s="7">
        <v>611.0</v>
      </c>
      <c r="I1161" s="11">
        <v>55906.83</v>
      </c>
      <c r="K1161" s="12" t="str">
        <f t="shared" ref="K1161:K1167" si="155">RIGHT(E1161,6)</f>
        <v>UN3668</v>
      </c>
      <c r="L1161" s="2" t="s">
        <v>3991</v>
      </c>
      <c r="M1161" s="2" t="s">
        <v>24</v>
      </c>
      <c r="N1161" s="2" t="s">
        <v>60</v>
      </c>
      <c r="O1161" s="2">
        <v>1.10751038E8</v>
      </c>
      <c r="P1161" s="15"/>
      <c r="Q1161" s="8">
        <v>2025.0</v>
      </c>
      <c r="R1161" s="8" t="s">
        <v>3946</v>
      </c>
    </row>
    <row r="1162">
      <c r="A1162" s="4" t="s">
        <v>18</v>
      </c>
      <c r="B1162" s="2" t="s">
        <v>3992</v>
      </c>
      <c r="C1162" s="10">
        <v>45964.0</v>
      </c>
      <c r="D1162" s="10">
        <v>45964.0</v>
      </c>
      <c r="E1162" s="4" t="s">
        <v>3993</v>
      </c>
      <c r="F1162" s="9"/>
      <c r="G1162" s="6"/>
      <c r="H1162" s="7">
        <v>643.0</v>
      </c>
      <c r="I1162" s="11">
        <v>56549.83</v>
      </c>
      <c r="K1162" s="12" t="str">
        <f t="shared" si="155"/>
        <v>SC3567</v>
      </c>
      <c r="L1162" s="2" t="s">
        <v>3994</v>
      </c>
      <c r="M1162" s="2" t="s">
        <v>24</v>
      </c>
      <c r="N1162" s="2" t="s">
        <v>60</v>
      </c>
      <c r="O1162" s="2">
        <v>1.10751038E8</v>
      </c>
      <c r="P1162" s="15"/>
      <c r="Q1162" s="8">
        <v>2025.0</v>
      </c>
      <c r="R1162" s="8" t="s">
        <v>3946</v>
      </c>
    </row>
    <row r="1163">
      <c r="A1163" s="4" t="s">
        <v>18</v>
      </c>
      <c r="B1163" s="2" t="s">
        <v>3995</v>
      </c>
      <c r="C1163" s="10">
        <v>45964.0</v>
      </c>
      <c r="D1163" s="10">
        <v>45964.0</v>
      </c>
      <c r="E1163" s="4" t="s">
        <v>3996</v>
      </c>
      <c r="F1163" s="9"/>
      <c r="G1163" s="6"/>
      <c r="H1163" s="7">
        <v>950.0</v>
      </c>
      <c r="I1163" s="11">
        <v>57499.83</v>
      </c>
      <c r="K1163" s="12" t="str">
        <f t="shared" si="155"/>
        <v>SC3567</v>
      </c>
      <c r="L1163" s="2" t="s">
        <v>3997</v>
      </c>
      <c r="M1163" s="2" t="s">
        <v>24</v>
      </c>
      <c r="N1163" s="2" t="s">
        <v>60</v>
      </c>
      <c r="O1163" s="2">
        <v>1.10751038E8</v>
      </c>
      <c r="P1163" s="15"/>
      <c r="Q1163" s="8">
        <v>2025.0</v>
      </c>
      <c r="R1163" s="8" t="s">
        <v>3946</v>
      </c>
    </row>
    <row r="1164">
      <c r="A1164" s="4" t="s">
        <v>18</v>
      </c>
      <c r="B1164" s="2" t="s">
        <v>3998</v>
      </c>
      <c r="C1164" s="10">
        <v>45964.0</v>
      </c>
      <c r="D1164" s="10">
        <v>45964.0</v>
      </c>
      <c r="E1164" s="4" t="s">
        <v>3999</v>
      </c>
      <c r="F1164" s="9"/>
      <c r="G1164" s="6"/>
      <c r="H1164" s="7">
        <v>640.0</v>
      </c>
      <c r="I1164" s="11">
        <v>58139.83</v>
      </c>
      <c r="K1164" s="12" t="str">
        <f t="shared" si="155"/>
        <v>UN3668</v>
      </c>
      <c r="L1164" s="2" t="s">
        <v>4000</v>
      </c>
      <c r="M1164" s="2" t="s">
        <v>24</v>
      </c>
      <c r="N1164" s="2" t="s">
        <v>60</v>
      </c>
      <c r="O1164" s="2">
        <v>1.10751038E8</v>
      </c>
      <c r="P1164" s="15"/>
      <c r="Q1164" s="8">
        <v>2025.0</v>
      </c>
      <c r="R1164" s="8" t="s">
        <v>3946</v>
      </c>
    </row>
    <row r="1165">
      <c r="A1165" s="4" t="s">
        <v>18</v>
      </c>
      <c r="B1165" s="2" t="s">
        <v>4001</v>
      </c>
      <c r="C1165" s="10">
        <v>45964.0</v>
      </c>
      <c r="D1165" s="10">
        <v>45964.0</v>
      </c>
      <c r="E1165" s="4" t="s">
        <v>4002</v>
      </c>
      <c r="F1165" s="9"/>
      <c r="G1165" s="6"/>
      <c r="H1165" s="7">
        <v>841.0</v>
      </c>
      <c r="I1165" s="11">
        <v>58980.83</v>
      </c>
      <c r="K1165" s="12" t="str">
        <f t="shared" si="155"/>
        <v>SC3567</v>
      </c>
      <c r="L1165" s="2" t="s">
        <v>4003</v>
      </c>
      <c r="M1165" s="2" t="s">
        <v>24</v>
      </c>
      <c r="N1165" s="2" t="s">
        <v>60</v>
      </c>
      <c r="O1165" s="2">
        <v>1.10751038E8</v>
      </c>
      <c r="P1165" s="15"/>
      <c r="Q1165" s="8">
        <v>2025.0</v>
      </c>
      <c r="R1165" s="8" t="s">
        <v>3946</v>
      </c>
    </row>
    <row r="1166">
      <c r="A1166" s="4" t="s">
        <v>18</v>
      </c>
      <c r="B1166" s="2" t="s">
        <v>4004</v>
      </c>
      <c r="C1166" s="10">
        <v>45964.0</v>
      </c>
      <c r="D1166" s="10">
        <v>45964.0</v>
      </c>
      <c r="E1166" s="4" t="s">
        <v>4005</v>
      </c>
      <c r="F1166" s="9"/>
      <c r="G1166" s="6"/>
      <c r="H1166" s="7">
        <v>149.0</v>
      </c>
      <c r="I1166" s="11">
        <v>59129.83</v>
      </c>
      <c r="K1166" s="12" t="str">
        <f t="shared" si="155"/>
        <v>SC3567</v>
      </c>
      <c r="L1166" s="2" t="s">
        <v>4006</v>
      </c>
      <c r="M1166" s="2" t="s">
        <v>24</v>
      </c>
      <c r="N1166" s="2" t="s">
        <v>60</v>
      </c>
      <c r="O1166" s="2">
        <v>1.10751038E8</v>
      </c>
      <c r="P1166" s="15"/>
      <c r="Q1166" s="8">
        <v>2025.0</v>
      </c>
      <c r="R1166" s="8" t="s">
        <v>3946</v>
      </c>
    </row>
    <row r="1167">
      <c r="A1167" s="4" t="s">
        <v>18</v>
      </c>
      <c r="B1167" s="2" t="s">
        <v>4007</v>
      </c>
      <c r="C1167" s="10">
        <v>45964.0</v>
      </c>
      <c r="D1167" s="10">
        <v>45964.0</v>
      </c>
      <c r="E1167" s="4" t="s">
        <v>4008</v>
      </c>
      <c r="F1167" s="9"/>
      <c r="G1167" s="6"/>
      <c r="H1167" s="7">
        <v>247.0</v>
      </c>
      <c r="I1167" s="11">
        <v>59376.83</v>
      </c>
      <c r="K1167" s="12" t="str">
        <f t="shared" si="155"/>
        <v>UN3668</v>
      </c>
      <c r="L1167" s="2" t="s">
        <v>4009</v>
      </c>
      <c r="M1167" s="2" t="s">
        <v>24</v>
      </c>
      <c r="N1167" s="2" t="s">
        <v>60</v>
      </c>
      <c r="O1167" s="2">
        <v>1.10751038E8</v>
      </c>
      <c r="P1167" s="15"/>
      <c r="Q1167" s="8">
        <v>2025.0</v>
      </c>
      <c r="R1167" s="8" t="s">
        <v>3946</v>
      </c>
    </row>
    <row r="1168">
      <c r="A1168" s="4" t="s">
        <v>18</v>
      </c>
      <c r="B1168" s="2" t="s">
        <v>4010</v>
      </c>
      <c r="C1168" s="10">
        <v>45964.0</v>
      </c>
      <c r="D1168" s="10">
        <v>45964.0</v>
      </c>
      <c r="E1168" s="4" t="s">
        <v>4011</v>
      </c>
      <c r="F1168" s="9"/>
      <c r="G1168" s="7">
        <v>200.0</v>
      </c>
      <c r="H1168" s="6"/>
      <c r="I1168" s="11">
        <v>59176.83</v>
      </c>
      <c r="K1168" s="2" t="s">
        <v>113</v>
      </c>
      <c r="M1168" s="2" t="s">
        <v>114</v>
      </c>
      <c r="N1168" s="2" t="s">
        <v>1835</v>
      </c>
      <c r="O1168" s="2">
        <v>1.10751038E8</v>
      </c>
      <c r="Q1168" s="8">
        <v>2025.0</v>
      </c>
      <c r="R1168" s="8" t="s">
        <v>3946</v>
      </c>
    </row>
    <row r="1169">
      <c r="A1169" s="4" t="s">
        <v>18</v>
      </c>
      <c r="B1169" s="2" t="s">
        <v>4012</v>
      </c>
      <c r="C1169" s="10">
        <v>45964.0</v>
      </c>
      <c r="D1169" s="10">
        <v>45964.0</v>
      </c>
      <c r="E1169" s="4" t="s">
        <v>4013</v>
      </c>
      <c r="F1169" s="9"/>
      <c r="G1169" s="6"/>
      <c r="H1169" s="7">
        <v>1122.0</v>
      </c>
      <c r="I1169" s="11">
        <v>60298.83</v>
      </c>
      <c r="K1169" s="12" t="str">
        <f>RIGHT(E1169,6)</f>
        <v>SL1610</v>
      </c>
      <c r="L1169" s="2" t="s">
        <v>4014</v>
      </c>
      <c r="M1169" s="2" t="s">
        <v>24</v>
      </c>
      <c r="N1169" s="2" t="s">
        <v>60</v>
      </c>
      <c r="O1169" s="2">
        <v>1.10751038E8</v>
      </c>
      <c r="P1169" s="15"/>
      <c r="Q1169" s="8">
        <v>2025.0</v>
      </c>
      <c r="R1169" s="8" t="s">
        <v>3946</v>
      </c>
    </row>
    <row r="1170">
      <c r="A1170" s="4" t="s">
        <v>18</v>
      </c>
      <c r="B1170" s="2" t="s">
        <v>4015</v>
      </c>
      <c r="C1170" s="10">
        <v>45964.0</v>
      </c>
      <c r="D1170" s="10">
        <v>45964.0</v>
      </c>
      <c r="E1170" s="4" t="s">
        <v>4016</v>
      </c>
      <c r="F1170" s="9"/>
      <c r="G1170" s="7">
        <v>89.0</v>
      </c>
      <c r="H1170" s="6"/>
      <c r="I1170" s="11">
        <v>60209.83</v>
      </c>
      <c r="K1170" s="2" t="s">
        <v>123</v>
      </c>
      <c r="M1170" s="2" t="s">
        <v>114</v>
      </c>
      <c r="N1170" s="2" t="s">
        <v>1835</v>
      </c>
      <c r="O1170" s="2">
        <v>1.10751038E8</v>
      </c>
      <c r="Q1170" s="8">
        <v>2025.0</v>
      </c>
      <c r="R1170" s="8" t="s">
        <v>3946</v>
      </c>
    </row>
    <row r="1171">
      <c r="A1171" s="4" t="s">
        <v>18</v>
      </c>
      <c r="B1171" s="2" t="s">
        <v>4017</v>
      </c>
      <c r="C1171" s="10">
        <v>45965.0</v>
      </c>
      <c r="D1171" s="10">
        <v>45965.0</v>
      </c>
      <c r="E1171" s="4" t="s">
        <v>4018</v>
      </c>
      <c r="F1171" s="9"/>
      <c r="G1171" s="11">
        <v>1613.0</v>
      </c>
      <c r="H1171" s="6"/>
      <c r="I1171" s="11">
        <v>58596.83</v>
      </c>
      <c r="K1171" s="2" t="s">
        <v>119</v>
      </c>
      <c r="M1171" s="2" t="s">
        <v>114</v>
      </c>
      <c r="N1171" s="2" t="s">
        <v>1800</v>
      </c>
      <c r="O1171" s="2">
        <v>1.10751038E8</v>
      </c>
      <c r="Q1171" s="8">
        <v>2025.0</v>
      </c>
      <c r="R1171" s="8" t="s">
        <v>3946</v>
      </c>
    </row>
    <row r="1172">
      <c r="A1172" s="4" t="s">
        <v>18</v>
      </c>
      <c r="B1172" s="2" t="s">
        <v>4019</v>
      </c>
      <c r="C1172" s="10">
        <v>45965.0</v>
      </c>
      <c r="D1172" s="10">
        <v>45965.0</v>
      </c>
      <c r="E1172" s="4" t="s">
        <v>4020</v>
      </c>
      <c r="F1172" s="9"/>
      <c r="G1172" s="11">
        <v>1630.0</v>
      </c>
      <c r="H1172" s="6"/>
      <c r="I1172" s="11">
        <v>56966.83</v>
      </c>
      <c r="K1172" s="2" t="s">
        <v>113</v>
      </c>
      <c r="M1172" s="2" t="s">
        <v>114</v>
      </c>
      <c r="N1172" s="2" t="s">
        <v>1800</v>
      </c>
      <c r="O1172" s="2">
        <v>1.10751038E8</v>
      </c>
      <c r="Q1172" s="8">
        <v>2025.0</v>
      </c>
      <c r="R1172" s="8" t="s">
        <v>3946</v>
      </c>
    </row>
    <row r="1173">
      <c r="A1173" s="4" t="s">
        <v>18</v>
      </c>
      <c r="B1173" s="2" t="s">
        <v>4021</v>
      </c>
      <c r="C1173" s="10">
        <v>45965.0</v>
      </c>
      <c r="D1173" s="10">
        <v>45965.0</v>
      </c>
      <c r="E1173" s="4" t="s">
        <v>4022</v>
      </c>
      <c r="F1173" s="9"/>
      <c r="G1173" s="7">
        <v>800.0</v>
      </c>
      <c r="H1173" s="6"/>
      <c r="I1173" s="11">
        <v>56166.83</v>
      </c>
      <c r="K1173" s="2" t="s">
        <v>113</v>
      </c>
      <c r="M1173" s="2" t="s">
        <v>114</v>
      </c>
      <c r="N1173" s="2" t="s">
        <v>4023</v>
      </c>
      <c r="O1173" s="2">
        <v>1.10751038E8</v>
      </c>
      <c r="Q1173" s="8">
        <v>2025.0</v>
      </c>
      <c r="R1173" s="8" t="s">
        <v>3946</v>
      </c>
    </row>
    <row r="1174">
      <c r="A1174" s="4" t="s">
        <v>18</v>
      </c>
      <c r="B1174" s="2" t="s">
        <v>4024</v>
      </c>
      <c r="C1174" s="10">
        <v>45965.0</v>
      </c>
      <c r="D1174" s="10">
        <v>45965.0</v>
      </c>
      <c r="E1174" s="4" t="s">
        <v>4025</v>
      </c>
      <c r="F1174" s="9"/>
      <c r="G1174" s="6"/>
      <c r="H1174" s="7">
        <v>408.0</v>
      </c>
      <c r="I1174" s="11">
        <v>56574.83</v>
      </c>
      <c r="K1174" s="12" t="str">
        <f t="shared" ref="K1174:K1178" si="156">RIGHT(E1174,6)</f>
        <v>SL1610</v>
      </c>
      <c r="L1174" s="2" t="s">
        <v>4026</v>
      </c>
      <c r="M1174" s="2" t="s">
        <v>24</v>
      </c>
      <c r="N1174" s="2" t="s">
        <v>60</v>
      </c>
      <c r="O1174" s="2">
        <v>1.10751038E8</v>
      </c>
      <c r="P1174" s="15"/>
      <c r="Q1174" s="8">
        <v>2025.0</v>
      </c>
      <c r="R1174" s="8" t="s">
        <v>3946</v>
      </c>
    </row>
    <row r="1175">
      <c r="A1175" s="4" t="s">
        <v>18</v>
      </c>
      <c r="B1175" s="2" t="s">
        <v>4027</v>
      </c>
      <c r="C1175" s="10">
        <v>45965.0</v>
      </c>
      <c r="D1175" s="10">
        <v>45965.0</v>
      </c>
      <c r="E1175" s="4" t="s">
        <v>4028</v>
      </c>
      <c r="F1175" s="9"/>
      <c r="G1175" s="6"/>
      <c r="H1175" s="11">
        <v>1464.0</v>
      </c>
      <c r="I1175" s="11">
        <v>58038.83</v>
      </c>
      <c r="K1175" s="12" t="str">
        <f t="shared" si="156"/>
        <v>UN3668</v>
      </c>
      <c r="L1175" s="2" t="s">
        <v>4029</v>
      </c>
      <c r="M1175" s="2" t="s">
        <v>24</v>
      </c>
      <c r="N1175" s="2" t="s">
        <v>60</v>
      </c>
      <c r="O1175" s="2">
        <v>1.10751038E8</v>
      </c>
      <c r="P1175" s="15"/>
      <c r="Q1175" s="8">
        <v>2025.0</v>
      </c>
      <c r="R1175" s="8" t="s">
        <v>3946</v>
      </c>
    </row>
    <row r="1176">
      <c r="A1176" s="4" t="s">
        <v>18</v>
      </c>
      <c r="B1176" s="2" t="s">
        <v>4030</v>
      </c>
      <c r="C1176" s="10">
        <v>45965.0</v>
      </c>
      <c r="D1176" s="10">
        <v>45965.0</v>
      </c>
      <c r="E1176" s="4" t="s">
        <v>4031</v>
      </c>
      <c r="F1176" s="9"/>
      <c r="G1176" s="6"/>
      <c r="H1176" s="7">
        <v>530.0</v>
      </c>
      <c r="I1176" s="11">
        <v>58568.83</v>
      </c>
      <c r="K1176" s="12" t="str">
        <f t="shared" si="156"/>
        <v>UN3668</v>
      </c>
      <c r="L1176" s="2" t="s">
        <v>4032</v>
      </c>
      <c r="M1176" s="2" t="s">
        <v>24</v>
      </c>
      <c r="N1176" s="2" t="s">
        <v>60</v>
      </c>
      <c r="O1176" s="2">
        <v>1.10751038E8</v>
      </c>
      <c r="P1176" s="15"/>
      <c r="Q1176" s="8">
        <v>2025.0</v>
      </c>
      <c r="R1176" s="8" t="s">
        <v>3946</v>
      </c>
    </row>
    <row r="1177">
      <c r="A1177" s="4" t="s">
        <v>18</v>
      </c>
      <c r="B1177" s="2" t="s">
        <v>4033</v>
      </c>
      <c r="C1177" s="10">
        <v>45965.0</v>
      </c>
      <c r="D1177" s="10">
        <v>45965.0</v>
      </c>
      <c r="E1177" s="4" t="s">
        <v>4034</v>
      </c>
      <c r="F1177" s="9"/>
      <c r="G1177" s="6"/>
      <c r="H1177" s="11">
        <v>2000.0</v>
      </c>
      <c r="I1177" s="11">
        <v>60568.83</v>
      </c>
      <c r="K1177" s="12" t="str">
        <f t="shared" si="156"/>
        <v>UN3668</v>
      </c>
      <c r="L1177" s="2" t="s">
        <v>619</v>
      </c>
      <c r="M1177" s="2" t="s">
        <v>24</v>
      </c>
      <c r="N1177" s="2" t="s">
        <v>60</v>
      </c>
      <c r="O1177" s="2">
        <v>1.10751038E8</v>
      </c>
      <c r="P1177" s="15"/>
      <c r="Q1177" s="8">
        <v>2025.0</v>
      </c>
      <c r="R1177" s="8" t="s">
        <v>3946</v>
      </c>
    </row>
    <row r="1178">
      <c r="A1178" s="4" t="s">
        <v>18</v>
      </c>
      <c r="B1178" s="2" t="s">
        <v>4035</v>
      </c>
      <c r="C1178" s="10">
        <v>45965.0</v>
      </c>
      <c r="D1178" s="10">
        <v>45965.0</v>
      </c>
      <c r="E1178" s="4" t="s">
        <v>4036</v>
      </c>
      <c r="F1178" s="9"/>
      <c r="G1178" s="6"/>
      <c r="H1178" s="11">
        <v>1880.0</v>
      </c>
      <c r="I1178" s="11">
        <v>62448.83</v>
      </c>
      <c r="K1178" s="12" t="str">
        <f t="shared" si="156"/>
        <v>UN3668</v>
      </c>
      <c r="L1178" s="2" t="s">
        <v>4037</v>
      </c>
      <c r="M1178" s="2" t="s">
        <v>24</v>
      </c>
      <c r="N1178" s="2" t="s">
        <v>60</v>
      </c>
      <c r="O1178" s="2">
        <v>1.10751038E8</v>
      </c>
      <c r="P1178" s="15"/>
      <c r="Q1178" s="8">
        <v>2025.0</v>
      </c>
      <c r="R1178" s="8" t="s">
        <v>3946</v>
      </c>
    </row>
    <row r="1179">
      <c r="A1179" s="4" t="s">
        <v>18</v>
      </c>
      <c r="B1179" s="2" t="s">
        <v>4038</v>
      </c>
      <c r="C1179" s="10">
        <v>45966.0</v>
      </c>
      <c r="D1179" s="10">
        <v>45966.0</v>
      </c>
      <c r="E1179" s="4" t="s">
        <v>4039</v>
      </c>
      <c r="F1179" s="9"/>
      <c r="G1179" s="11">
        <v>1630.0</v>
      </c>
      <c r="H1179" s="6"/>
      <c r="I1179" s="11">
        <v>60818.83</v>
      </c>
      <c r="K1179" s="2" t="s">
        <v>123</v>
      </c>
      <c r="M1179" s="2" t="s">
        <v>114</v>
      </c>
      <c r="N1179" s="2" t="s">
        <v>1800</v>
      </c>
      <c r="O1179" s="2">
        <v>1.10751038E8</v>
      </c>
      <c r="Q1179" s="8">
        <v>2025.0</v>
      </c>
      <c r="R1179" s="8" t="s">
        <v>3946</v>
      </c>
    </row>
    <row r="1180">
      <c r="A1180" s="4" t="s">
        <v>18</v>
      </c>
      <c r="B1180" s="2" t="s">
        <v>4040</v>
      </c>
      <c r="C1180" s="10">
        <v>45966.0</v>
      </c>
      <c r="D1180" s="10">
        <v>45966.0</v>
      </c>
      <c r="E1180" s="4" t="s">
        <v>4041</v>
      </c>
      <c r="F1180" s="9"/>
      <c r="G1180" s="6"/>
      <c r="H1180" s="7">
        <v>757.55</v>
      </c>
      <c r="I1180" s="11">
        <v>61576.38</v>
      </c>
      <c r="K1180" s="12" t="str">
        <f>RIGHT(E1180,6)</f>
        <v>SL1610</v>
      </c>
      <c r="L1180" s="2" t="s">
        <v>4042</v>
      </c>
      <c r="M1180" s="2" t="s">
        <v>24</v>
      </c>
      <c r="N1180" s="2" t="s">
        <v>60</v>
      </c>
      <c r="O1180" s="2">
        <v>1.10751038E8</v>
      </c>
      <c r="P1180" s="15"/>
      <c r="Q1180" s="8">
        <v>2025.0</v>
      </c>
      <c r="R1180" s="8" t="s">
        <v>3946</v>
      </c>
    </row>
    <row r="1181">
      <c r="A1181" s="4" t="s">
        <v>18</v>
      </c>
      <c r="B1181" s="2" t="s">
        <v>4043</v>
      </c>
      <c r="C1181" s="10">
        <v>45966.0</v>
      </c>
      <c r="D1181" s="10">
        <v>45966.0</v>
      </c>
      <c r="E1181" s="4" t="s">
        <v>4044</v>
      </c>
      <c r="F1181" s="9"/>
      <c r="G1181" s="11">
        <v>1400.0</v>
      </c>
      <c r="H1181" s="6"/>
      <c r="I1181" s="11">
        <v>60176.38</v>
      </c>
      <c r="K1181" s="2" t="s">
        <v>23</v>
      </c>
      <c r="M1181" s="2" t="s">
        <v>114</v>
      </c>
      <c r="N1181" s="2" t="s">
        <v>478</v>
      </c>
      <c r="O1181" s="2">
        <v>1.10751038E8</v>
      </c>
      <c r="Q1181" s="8">
        <v>2025.0</v>
      </c>
      <c r="R1181" s="8" t="s">
        <v>3946</v>
      </c>
    </row>
    <row r="1182">
      <c r="A1182" s="4" t="s">
        <v>18</v>
      </c>
      <c r="B1182" s="2" t="s">
        <v>4045</v>
      </c>
      <c r="C1182" s="10">
        <v>45966.0</v>
      </c>
      <c r="D1182" s="10">
        <v>45966.0</v>
      </c>
      <c r="E1182" s="4" t="s">
        <v>4046</v>
      </c>
      <c r="F1182" s="9"/>
      <c r="G1182" s="11">
        <v>1510.0</v>
      </c>
      <c r="H1182" s="6"/>
      <c r="I1182" s="11">
        <v>58666.38</v>
      </c>
      <c r="K1182" s="2" t="s">
        <v>113</v>
      </c>
      <c r="M1182" s="2" t="s">
        <v>114</v>
      </c>
      <c r="N1182" s="2" t="s">
        <v>2739</v>
      </c>
      <c r="O1182" s="2">
        <v>1.10751038E8</v>
      </c>
      <c r="Q1182" s="8">
        <v>2025.0</v>
      </c>
      <c r="R1182" s="8" t="s">
        <v>3946</v>
      </c>
    </row>
    <row r="1183">
      <c r="A1183" s="4" t="s">
        <v>18</v>
      </c>
      <c r="B1183" s="2" t="s">
        <v>4047</v>
      </c>
      <c r="C1183" s="10">
        <v>45966.0</v>
      </c>
      <c r="D1183" s="10">
        <v>45966.0</v>
      </c>
      <c r="E1183" s="4" t="s">
        <v>4048</v>
      </c>
      <c r="F1183" s="9"/>
      <c r="G1183" s="6"/>
      <c r="H1183" s="11">
        <v>1000.0</v>
      </c>
      <c r="I1183" s="11">
        <v>59666.38</v>
      </c>
      <c r="K1183" s="12" t="str">
        <f>RIGHT(E1183,6)</f>
        <v>UN3668</v>
      </c>
      <c r="L1183" s="2" t="s">
        <v>4049</v>
      </c>
      <c r="M1183" s="2" t="s">
        <v>24</v>
      </c>
      <c r="N1183" s="2" t="s">
        <v>60</v>
      </c>
      <c r="O1183" s="2">
        <v>1.10751038E8</v>
      </c>
      <c r="P1183" s="15"/>
      <c r="Q1183" s="8">
        <v>2025.0</v>
      </c>
      <c r="R1183" s="8" t="s">
        <v>3946</v>
      </c>
    </row>
    <row r="1184">
      <c r="A1184" s="4" t="s">
        <v>18</v>
      </c>
      <c r="B1184" s="2" t="s">
        <v>4050</v>
      </c>
      <c r="C1184" s="10">
        <v>45966.0</v>
      </c>
      <c r="D1184" s="10">
        <v>45966.0</v>
      </c>
      <c r="E1184" s="4" t="s">
        <v>4051</v>
      </c>
      <c r="F1184" s="9"/>
      <c r="G1184" s="11">
        <v>1630.0</v>
      </c>
      <c r="H1184" s="6"/>
      <c r="I1184" s="11">
        <v>58036.38</v>
      </c>
      <c r="K1184" s="2" t="s">
        <v>113</v>
      </c>
      <c r="M1184" s="2" t="s">
        <v>114</v>
      </c>
      <c r="N1184" s="2" t="s">
        <v>1800</v>
      </c>
      <c r="O1184" s="2">
        <v>1.10751038E8</v>
      </c>
      <c r="Q1184" s="8">
        <v>2025.0</v>
      </c>
      <c r="R1184" s="8" t="s">
        <v>3946</v>
      </c>
    </row>
    <row r="1185">
      <c r="A1185" s="4" t="s">
        <v>18</v>
      </c>
      <c r="B1185" s="2" t="s">
        <v>4052</v>
      </c>
      <c r="C1185" s="10">
        <v>45966.0</v>
      </c>
      <c r="D1185" s="10">
        <v>45966.0</v>
      </c>
      <c r="E1185" s="4" t="s">
        <v>4053</v>
      </c>
      <c r="F1185" s="9"/>
      <c r="G1185" s="6"/>
      <c r="H1185" s="7">
        <v>249.0</v>
      </c>
      <c r="I1185" s="11">
        <v>58285.38</v>
      </c>
      <c r="K1185" s="12" t="str">
        <f t="shared" ref="K1185:K1196" si="157">RIGHT(E1185,6)</f>
        <v>SL1610</v>
      </c>
      <c r="L1185" s="2" t="s">
        <v>4054</v>
      </c>
      <c r="M1185" s="2" t="s">
        <v>24</v>
      </c>
      <c r="N1185" s="2" t="s">
        <v>60</v>
      </c>
      <c r="O1185" s="2">
        <v>1.10751038E8</v>
      </c>
      <c r="P1185" s="15"/>
      <c r="Q1185" s="8">
        <v>2025.0</v>
      </c>
      <c r="R1185" s="8" t="s">
        <v>3946</v>
      </c>
    </row>
    <row r="1186">
      <c r="A1186" s="4" t="s">
        <v>18</v>
      </c>
      <c r="B1186" s="2" t="s">
        <v>4055</v>
      </c>
      <c r="C1186" s="10">
        <v>45966.0</v>
      </c>
      <c r="D1186" s="10">
        <v>45966.0</v>
      </c>
      <c r="E1186" s="4" t="s">
        <v>4056</v>
      </c>
      <c r="F1186" s="9"/>
      <c r="G1186" s="6"/>
      <c r="H1186" s="11">
        <v>1100.0</v>
      </c>
      <c r="I1186" s="11">
        <v>59385.38</v>
      </c>
      <c r="K1186" s="12" t="str">
        <f t="shared" si="157"/>
        <v>UN3668</v>
      </c>
      <c r="L1186" s="2" t="s">
        <v>4057</v>
      </c>
      <c r="M1186" s="2" t="s">
        <v>24</v>
      </c>
      <c r="N1186" s="2" t="s">
        <v>60</v>
      </c>
      <c r="O1186" s="2">
        <v>1.10751038E8</v>
      </c>
      <c r="P1186" s="15"/>
      <c r="Q1186" s="8">
        <v>2025.0</v>
      </c>
      <c r="R1186" s="8" t="s">
        <v>3946</v>
      </c>
    </row>
    <row r="1187">
      <c r="A1187" s="4" t="s">
        <v>18</v>
      </c>
      <c r="B1187" s="2" t="s">
        <v>4058</v>
      </c>
      <c r="C1187" s="10">
        <v>45966.0</v>
      </c>
      <c r="D1187" s="10">
        <v>45966.0</v>
      </c>
      <c r="E1187" s="4" t="s">
        <v>4059</v>
      </c>
      <c r="F1187" s="9"/>
      <c r="G1187" s="6"/>
      <c r="H1187" s="7">
        <v>1844.0</v>
      </c>
      <c r="I1187" s="11">
        <v>61229.38</v>
      </c>
      <c r="K1187" s="12" t="str">
        <f t="shared" si="157"/>
        <v>SL1610</v>
      </c>
      <c r="L1187" s="2" t="s">
        <v>4060</v>
      </c>
      <c r="M1187" s="2" t="s">
        <v>24</v>
      </c>
      <c r="N1187" s="2" t="s">
        <v>60</v>
      </c>
      <c r="O1187" s="2">
        <v>1.10751038E8</v>
      </c>
      <c r="P1187" s="15"/>
      <c r="Q1187" s="8">
        <v>2025.0</v>
      </c>
      <c r="R1187" s="8" t="s">
        <v>3946</v>
      </c>
    </row>
    <row r="1188">
      <c r="A1188" s="4" t="s">
        <v>18</v>
      </c>
      <c r="B1188" s="2" t="s">
        <v>4061</v>
      </c>
      <c r="C1188" s="10">
        <v>45966.0</v>
      </c>
      <c r="D1188" s="10">
        <v>45966.0</v>
      </c>
      <c r="E1188" s="4" t="s">
        <v>4062</v>
      </c>
      <c r="F1188" s="9"/>
      <c r="G1188" s="6"/>
      <c r="H1188" s="7">
        <v>655.75</v>
      </c>
      <c r="I1188" s="11">
        <v>61885.13</v>
      </c>
      <c r="K1188" s="12" t="str">
        <f t="shared" si="157"/>
        <v>SC3567</v>
      </c>
      <c r="L1188" s="2" t="s">
        <v>4063</v>
      </c>
      <c r="M1188" s="2" t="s">
        <v>24</v>
      </c>
      <c r="N1188" s="2" t="s">
        <v>60</v>
      </c>
      <c r="O1188" s="2">
        <v>1.10751038E8</v>
      </c>
      <c r="P1188" s="15"/>
      <c r="Q1188" s="8">
        <v>2025.0</v>
      </c>
      <c r="R1188" s="8" t="s">
        <v>3946</v>
      </c>
    </row>
    <row r="1189">
      <c r="A1189" s="4" t="s">
        <v>18</v>
      </c>
      <c r="B1189" s="2" t="s">
        <v>4064</v>
      </c>
      <c r="C1189" s="10">
        <v>45966.0</v>
      </c>
      <c r="D1189" s="10">
        <v>45966.0</v>
      </c>
      <c r="E1189" s="4" t="s">
        <v>4065</v>
      </c>
      <c r="F1189" s="9"/>
      <c r="G1189" s="6"/>
      <c r="H1189" s="11">
        <v>1860.0</v>
      </c>
      <c r="I1189" s="11">
        <v>63745.13</v>
      </c>
      <c r="K1189" s="12" t="str">
        <f t="shared" si="157"/>
        <v>UN3668</v>
      </c>
      <c r="L1189" s="2" t="s">
        <v>4066</v>
      </c>
      <c r="M1189" s="2" t="s">
        <v>24</v>
      </c>
      <c r="N1189" s="2" t="s">
        <v>60</v>
      </c>
      <c r="O1189" s="2">
        <v>1.10751038E8</v>
      </c>
      <c r="P1189" s="15"/>
      <c r="Q1189" s="8">
        <v>2025.0</v>
      </c>
      <c r="R1189" s="8" t="s">
        <v>3946</v>
      </c>
    </row>
    <row r="1190">
      <c r="A1190" s="4" t="s">
        <v>18</v>
      </c>
      <c r="B1190" s="2" t="s">
        <v>4067</v>
      </c>
      <c r="C1190" s="10">
        <v>45966.0</v>
      </c>
      <c r="D1190" s="10">
        <v>45966.0</v>
      </c>
      <c r="E1190" s="4" t="s">
        <v>4068</v>
      </c>
      <c r="F1190" s="9"/>
      <c r="G1190" s="6"/>
      <c r="H1190" s="7">
        <v>280.0</v>
      </c>
      <c r="I1190" s="11">
        <v>64025.13</v>
      </c>
      <c r="K1190" s="12" t="str">
        <f t="shared" si="157"/>
        <v>KN3817</v>
      </c>
      <c r="L1190" s="2" t="s">
        <v>4069</v>
      </c>
      <c r="M1190" s="2" t="s">
        <v>24</v>
      </c>
      <c r="N1190" s="2" t="s">
        <v>60</v>
      </c>
      <c r="O1190" s="2">
        <v>1.10751038E8</v>
      </c>
      <c r="P1190" s="15"/>
      <c r="Q1190" s="8">
        <v>2025.0</v>
      </c>
      <c r="R1190" s="8" t="s">
        <v>3946</v>
      </c>
    </row>
    <row r="1191">
      <c r="A1191" s="4" t="s">
        <v>18</v>
      </c>
      <c r="B1191" s="2" t="s">
        <v>4070</v>
      </c>
      <c r="C1191" s="10">
        <v>45966.0</v>
      </c>
      <c r="D1191" s="10">
        <v>45966.0</v>
      </c>
      <c r="E1191" s="4" t="s">
        <v>4071</v>
      </c>
      <c r="F1191" s="9"/>
      <c r="G1191" s="6"/>
      <c r="H1191" s="7">
        <v>778.0</v>
      </c>
      <c r="I1191" s="11">
        <v>64803.13</v>
      </c>
      <c r="K1191" s="12" t="str">
        <f t="shared" si="157"/>
        <v>SL1610</v>
      </c>
      <c r="L1191" s="2" t="s">
        <v>4072</v>
      </c>
      <c r="M1191" s="2" t="s">
        <v>24</v>
      </c>
      <c r="N1191" s="2" t="s">
        <v>60</v>
      </c>
      <c r="O1191" s="2">
        <v>1.10751038E8</v>
      </c>
      <c r="P1191" s="15"/>
      <c r="Q1191" s="8">
        <v>2025.0</v>
      </c>
      <c r="R1191" s="8" t="s">
        <v>3946</v>
      </c>
    </row>
    <row r="1192">
      <c r="A1192" s="4" t="s">
        <v>18</v>
      </c>
      <c r="B1192" s="2" t="s">
        <v>4073</v>
      </c>
      <c r="C1192" s="10">
        <v>45966.0</v>
      </c>
      <c r="D1192" s="10">
        <v>45966.0</v>
      </c>
      <c r="E1192" s="4" t="s">
        <v>4074</v>
      </c>
      <c r="F1192" s="9"/>
      <c r="G1192" s="6"/>
      <c r="H1192" s="7">
        <v>410.0</v>
      </c>
      <c r="I1192" s="11">
        <v>65213.13</v>
      </c>
      <c r="K1192" s="12" t="str">
        <f t="shared" si="157"/>
        <v>UN3668</v>
      </c>
      <c r="L1192" s="2" t="s">
        <v>4049</v>
      </c>
      <c r="M1192" s="2" t="s">
        <v>24</v>
      </c>
      <c r="N1192" s="2" t="s">
        <v>60</v>
      </c>
      <c r="O1192" s="2">
        <v>1.10751038E8</v>
      </c>
      <c r="P1192" s="15"/>
      <c r="Q1192" s="8">
        <v>2025.0</v>
      </c>
      <c r="R1192" s="8" t="s">
        <v>3946</v>
      </c>
    </row>
    <row r="1193">
      <c r="A1193" s="4" t="s">
        <v>18</v>
      </c>
      <c r="B1193" s="2" t="s">
        <v>4075</v>
      </c>
      <c r="C1193" s="10">
        <v>45967.0</v>
      </c>
      <c r="D1193" s="10">
        <v>45967.0</v>
      </c>
      <c r="E1193" s="4" t="s">
        <v>4076</v>
      </c>
      <c r="F1193" s="9"/>
      <c r="G1193" s="6"/>
      <c r="H1193" s="7">
        <v>436.0</v>
      </c>
      <c r="I1193" s="11">
        <v>65649.13</v>
      </c>
      <c r="K1193" s="12" t="str">
        <f t="shared" si="157"/>
        <v>SC3567</v>
      </c>
      <c r="L1193" s="2" t="s">
        <v>4077</v>
      </c>
      <c r="M1193" s="2" t="s">
        <v>24</v>
      </c>
      <c r="N1193" s="2" t="s">
        <v>60</v>
      </c>
      <c r="O1193" s="2">
        <v>1.10751038E8</v>
      </c>
      <c r="P1193" s="15"/>
      <c r="Q1193" s="8">
        <v>2025.0</v>
      </c>
      <c r="R1193" s="8" t="s">
        <v>3946</v>
      </c>
    </row>
    <row r="1194">
      <c r="A1194" s="4" t="s">
        <v>18</v>
      </c>
      <c r="B1194" s="2" t="s">
        <v>4078</v>
      </c>
      <c r="C1194" s="10">
        <v>45967.0</v>
      </c>
      <c r="D1194" s="10">
        <v>45967.0</v>
      </c>
      <c r="E1194" s="4" t="s">
        <v>4079</v>
      </c>
      <c r="F1194" s="9"/>
      <c r="G1194" s="6"/>
      <c r="H1194" s="7">
        <v>685.0</v>
      </c>
      <c r="I1194" s="11">
        <v>66334.13</v>
      </c>
      <c r="K1194" s="12" t="str">
        <f t="shared" si="157"/>
        <v>SC3567</v>
      </c>
      <c r="L1194" s="2" t="s">
        <v>4080</v>
      </c>
      <c r="M1194" s="2" t="s">
        <v>24</v>
      </c>
      <c r="N1194" s="2" t="s">
        <v>60</v>
      </c>
      <c r="O1194" s="2">
        <v>1.10751038E8</v>
      </c>
      <c r="P1194" s="15"/>
      <c r="Q1194" s="8">
        <v>2025.0</v>
      </c>
      <c r="R1194" s="8" t="s">
        <v>3946</v>
      </c>
    </row>
    <row r="1195">
      <c r="A1195" s="4" t="s">
        <v>18</v>
      </c>
      <c r="B1195" s="2" t="s">
        <v>4081</v>
      </c>
      <c r="C1195" s="10">
        <v>45967.0</v>
      </c>
      <c r="D1195" s="10">
        <v>45967.0</v>
      </c>
      <c r="E1195" s="4" t="s">
        <v>4082</v>
      </c>
      <c r="F1195" s="9"/>
      <c r="G1195" s="6"/>
      <c r="H1195" s="7">
        <v>396.0</v>
      </c>
      <c r="I1195" s="11">
        <v>66730.13</v>
      </c>
      <c r="K1195" s="12" t="str">
        <f t="shared" si="157"/>
        <v>SL1610</v>
      </c>
      <c r="L1195" s="2" t="s">
        <v>4083</v>
      </c>
      <c r="M1195" s="2" t="s">
        <v>24</v>
      </c>
      <c r="N1195" s="2" t="s">
        <v>60</v>
      </c>
      <c r="O1195" s="2">
        <v>1.10751038E8</v>
      </c>
      <c r="P1195" s="15"/>
      <c r="Q1195" s="8">
        <v>2025.0</v>
      </c>
      <c r="R1195" s="8" t="s">
        <v>3946</v>
      </c>
    </row>
    <row r="1196">
      <c r="A1196" s="4" t="s">
        <v>18</v>
      </c>
      <c r="B1196" s="2" t="s">
        <v>4084</v>
      </c>
      <c r="C1196" s="10">
        <v>45967.0</v>
      </c>
      <c r="D1196" s="10">
        <v>45967.0</v>
      </c>
      <c r="E1196" s="4" t="s">
        <v>4085</v>
      </c>
      <c r="F1196" s="9"/>
      <c r="G1196" s="6"/>
      <c r="H1196" s="7">
        <v>344.0</v>
      </c>
      <c r="I1196" s="11">
        <v>67074.13</v>
      </c>
      <c r="K1196" s="12" t="str">
        <f t="shared" si="157"/>
        <v>UN3668</v>
      </c>
      <c r="L1196" s="2" t="s">
        <v>4086</v>
      </c>
      <c r="M1196" s="2" t="s">
        <v>24</v>
      </c>
      <c r="N1196" s="2" t="s">
        <v>60</v>
      </c>
      <c r="O1196" s="2">
        <v>1.10751038E8</v>
      </c>
      <c r="P1196" s="15"/>
      <c r="Q1196" s="8">
        <v>2025.0</v>
      </c>
      <c r="R1196" s="8" t="s">
        <v>3946</v>
      </c>
    </row>
    <row r="1197">
      <c r="A1197" s="4" t="s">
        <v>18</v>
      </c>
      <c r="B1197" s="2" t="s">
        <v>4087</v>
      </c>
      <c r="C1197" s="10">
        <v>45968.0</v>
      </c>
      <c r="D1197" s="10">
        <v>45968.0</v>
      </c>
      <c r="E1197" s="4" t="s">
        <v>4088</v>
      </c>
      <c r="F1197" s="9"/>
      <c r="G1197" s="7">
        <v>497.0</v>
      </c>
      <c r="H1197" s="6"/>
      <c r="I1197" s="11">
        <v>66577.13</v>
      </c>
      <c r="K1197" s="2" t="s">
        <v>113</v>
      </c>
      <c r="M1197" s="2" t="s">
        <v>114</v>
      </c>
      <c r="N1197" s="2" t="s">
        <v>2883</v>
      </c>
      <c r="O1197" s="2">
        <v>1.10751038E8</v>
      </c>
      <c r="Q1197" s="8">
        <v>2025.0</v>
      </c>
      <c r="R1197" s="8" t="s">
        <v>3946</v>
      </c>
    </row>
    <row r="1198">
      <c r="A1198" s="4" t="s">
        <v>18</v>
      </c>
      <c r="B1198" s="2" t="s">
        <v>4089</v>
      </c>
      <c r="C1198" s="10">
        <v>45968.0</v>
      </c>
      <c r="D1198" s="10">
        <v>45968.0</v>
      </c>
      <c r="E1198" s="4" t="s">
        <v>4090</v>
      </c>
      <c r="F1198" s="9"/>
      <c r="G1198" s="6"/>
      <c r="H1198" s="7">
        <v>297.0</v>
      </c>
      <c r="I1198" s="11">
        <v>66874.13</v>
      </c>
      <c r="K1198" s="12" t="str">
        <f t="shared" ref="K1198:K1206" si="158">RIGHT(E1198,6)</f>
        <v>SL1610</v>
      </c>
      <c r="L1198" s="2" t="s">
        <v>1894</v>
      </c>
      <c r="M1198" s="2" t="s">
        <v>24</v>
      </c>
      <c r="N1198" s="2" t="s">
        <v>60</v>
      </c>
      <c r="O1198" s="2">
        <v>1.10751038E8</v>
      </c>
      <c r="P1198" s="15"/>
      <c r="Q1198" s="8">
        <v>2025.0</v>
      </c>
      <c r="R1198" s="8" t="s">
        <v>3946</v>
      </c>
    </row>
    <row r="1199">
      <c r="A1199" s="4" t="s">
        <v>18</v>
      </c>
      <c r="B1199" s="2" t="s">
        <v>4091</v>
      </c>
      <c r="C1199" s="10">
        <v>45968.0</v>
      </c>
      <c r="D1199" s="10">
        <v>45968.0</v>
      </c>
      <c r="E1199" s="4" t="s">
        <v>4092</v>
      </c>
      <c r="F1199" s="9"/>
      <c r="G1199" s="6"/>
      <c r="H1199" s="11">
        <v>5000.0</v>
      </c>
      <c r="I1199" s="11">
        <v>71874.13</v>
      </c>
      <c r="K1199" s="12" t="str">
        <f t="shared" si="158"/>
        <v>UN3668</v>
      </c>
      <c r="L1199" s="2" t="s">
        <v>619</v>
      </c>
      <c r="M1199" s="2" t="s">
        <v>24</v>
      </c>
      <c r="N1199" s="2" t="s">
        <v>60</v>
      </c>
      <c r="O1199" s="2">
        <v>1.10751038E8</v>
      </c>
      <c r="P1199" s="15"/>
      <c r="Q1199" s="8">
        <v>2025.0</v>
      </c>
      <c r="R1199" s="8" t="s">
        <v>3946</v>
      </c>
    </row>
    <row r="1200">
      <c r="A1200" s="4" t="s">
        <v>18</v>
      </c>
      <c r="B1200" s="2" t="s">
        <v>4093</v>
      </c>
      <c r="C1200" s="10">
        <v>45968.0</v>
      </c>
      <c r="D1200" s="10">
        <v>45968.0</v>
      </c>
      <c r="E1200" s="4" t="s">
        <v>4094</v>
      </c>
      <c r="F1200" s="9"/>
      <c r="G1200" s="6"/>
      <c r="H1200" s="11">
        <v>1656.0</v>
      </c>
      <c r="I1200" s="11">
        <v>73530.13</v>
      </c>
      <c r="K1200" s="12" t="str">
        <f t="shared" si="158"/>
        <v>SL1610</v>
      </c>
      <c r="L1200" s="2" t="s">
        <v>4095</v>
      </c>
      <c r="M1200" s="2" t="s">
        <v>24</v>
      </c>
      <c r="N1200" s="2" t="s">
        <v>60</v>
      </c>
      <c r="O1200" s="2">
        <v>1.10751038E8</v>
      </c>
      <c r="P1200" s="15"/>
      <c r="Q1200" s="8">
        <v>2025.0</v>
      </c>
      <c r="R1200" s="8" t="s">
        <v>3946</v>
      </c>
    </row>
    <row r="1201">
      <c r="A1201" s="4" t="s">
        <v>18</v>
      </c>
      <c r="B1201" s="2" t="s">
        <v>4096</v>
      </c>
      <c r="C1201" s="10">
        <v>45968.0</v>
      </c>
      <c r="D1201" s="10">
        <v>45968.0</v>
      </c>
      <c r="E1201" s="4" t="s">
        <v>4097</v>
      </c>
      <c r="F1201" s="9"/>
      <c r="G1201" s="6"/>
      <c r="H1201" s="7">
        <v>321.0</v>
      </c>
      <c r="I1201" s="11">
        <v>73851.13</v>
      </c>
      <c r="K1201" s="12" t="str">
        <f t="shared" si="158"/>
        <v>SL1610</v>
      </c>
      <c r="L1201" s="2" t="s">
        <v>4098</v>
      </c>
      <c r="M1201" s="2" t="s">
        <v>24</v>
      </c>
      <c r="N1201" s="2" t="s">
        <v>60</v>
      </c>
      <c r="O1201" s="2">
        <v>1.10751038E8</v>
      </c>
      <c r="P1201" s="15"/>
      <c r="Q1201" s="8">
        <v>2025.0</v>
      </c>
      <c r="R1201" s="8" t="s">
        <v>3946</v>
      </c>
    </row>
    <row r="1202">
      <c r="A1202" s="4" t="s">
        <v>18</v>
      </c>
      <c r="B1202" s="2" t="s">
        <v>4099</v>
      </c>
      <c r="C1202" s="10">
        <v>45968.0</v>
      </c>
      <c r="D1202" s="10">
        <v>45968.0</v>
      </c>
      <c r="E1202" s="4" t="s">
        <v>4100</v>
      </c>
      <c r="F1202" s="9"/>
      <c r="G1202" s="6"/>
      <c r="H1202" s="7">
        <v>350.0</v>
      </c>
      <c r="I1202" s="11">
        <v>74201.13</v>
      </c>
      <c r="K1202" s="12" t="str">
        <f t="shared" si="158"/>
        <v>KN3817</v>
      </c>
      <c r="L1202" s="2" t="s">
        <v>4101</v>
      </c>
      <c r="M1202" s="2" t="s">
        <v>24</v>
      </c>
      <c r="N1202" s="2" t="s">
        <v>60</v>
      </c>
      <c r="O1202" s="2">
        <v>1.10751038E8</v>
      </c>
      <c r="P1202" s="15"/>
      <c r="Q1202" s="8">
        <v>2025.0</v>
      </c>
      <c r="R1202" s="8" t="s">
        <v>3946</v>
      </c>
    </row>
    <row r="1203">
      <c r="A1203" s="4" t="s">
        <v>18</v>
      </c>
      <c r="B1203" s="2" t="s">
        <v>4102</v>
      </c>
      <c r="C1203" s="10">
        <v>45968.0</v>
      </c>
      <c r="D1203" s="10">
        <v>45968.0</v>
      </c>
      <c r="E1203" s="4" t="s">
        <v>4103</v>
      </c>
      <c r="F1203" s="9"/>
      <c r="G1203" s="6"/>
      <c r="H1203" s="11">
        <v>1328.0</v>
      </c>
      <c r="I1203" s="11">
        <v>75529.13</v>
      </c>
      <c r="K1203" s="12" t="str">
        <f t="shared" si="158"/>
        <v>UN3668</v>
      </c>
      <c r="L1203" s="2" t="s">
        <v>4104</v>
      </c>
      <c r="M1203" s="2" t="s">
        <v>24</v>
      </c>
      <c r="N1203" s="2" t="s">
        <v>60</v>
      </c>
      <c r="O1203" s="2">
        <v>1.10751038E8</v>
      </c>
      <c r="P1203" s="15"/>
      <c r="Q1203" s="8">
        <v>2025.0</v>
      </c>
      <c r="R1203" s="8" t="s">
        <v>3946</v>
      </c>
    </row>
    <row r="1204">
      <c r="A1204" s="4" t="s">
        <v>18</v>
      </c>
      <c r="B1204" s="2" t="s">
        <v>4105</v>
      </c>
      <c r="C1204" s="10">
        <v>45968.0</v>
      </c>
      <c r="D1204" s="10">
        <v>45968.0</v>
      </c>
      <c r="E1204" s="4" t="s">
        <v>4106</v>
      </c>
      <c r="F1204" s="9"/>
      <c r="G1204" s="6"/>
      <c r="H1204" s="11">
        <v>1040.0</v>
      </c>
      <c r="I1204" s="11">
        <v>76569.13</v>
      </c>
      <c r="K1204" s="12" t="str">
        <f t="shared" si="158"/>
        <v>UN3668</v>
      </c>
      <c r="L1204" s="2" t="s">
        <v>4107</v>
      </c>
      <c r="M1204" s="2" t="s">
        <v>24</v>
      </c>
      <c r="N1204" s="2" t="s">
        <v>60</v>
      </c>
      <c r="O1204" s="2">
        <v>1.10751038E8</v>
      </c>
      <c r="P1204" s="15"/>
      <c r="Q1204" s="8">
        <v>2025.0</v>
      </c>
      <c r="R1204" s="8" t="s">
        <v>3946</v>
      </c>
    </row>
    <row r="1205">
      <c r="A1205" s="4" t="s">
        <v>18</v>
      </c>
      <c r="B1205" s="2" t="s">
        <v>4108</v>
      </c>
      <c r="C1205" s="10">
        <v>45969.0</v>
      </c>
      <c r="D1205" s="10">
        <v>45969.0</v>
      </c>
      <c r="E1205" s="4" t="s">
        <v>4109</v>
      </c>
      <c r="F1205" s="9"/>
      <c r="G1205" s="6"/>
      <c r="H1205" s="7">
        <v>410.0</v>
      </c>
      <c r="I1205" s="11">
        <v>76979.13</v>
      </c>
      <c r="K1205" s="12" t="str">
        <f t="shared" si="158"/>
        <v>SL1610</v>
      </c>
      <c r="L1205" s="2" t="s">
        <v>4110</v>
      </c>
      <c r="M1205" s="2" t="s">
        <v>24</v>
      </c>
      <c r="N1205" s="2" t="s">
        <v>60</v>
      </c>
      <c r="O1205" s="2">
        <v>1.10751038E8</v>
      </c>
      <c r="P1205" s="15"/>
      <c r="Q1205" s="8">
        <v>2025.0</v>
      </c>
      <c r="R1205" s="8" t="s">
        <v>3946</v>
      </c>
    </row>
    <row r="1206">
      <c r="A1206" s="4" t="s">
        <v>18</v>
      </c>
      <c r="B1206" s="2" t="s">
        <v>4111</v>
      </c>
      <c r="C1206" s="10">
        <v>45969.0</v>
      </c>
      <c r="D1206" s="10">
        <v>45969.0</v>
      </c>
      <c r="E1206" s="4" t="s">
        <v>4112</v>
      </c>
      <c r="F1206" s="9"/>
      <c r="G1206" s="6"/>
      <c r="H1206" s="7">
        <v>350.0</v>
      </c>
      <c r="I1206" s="11">
        <v>77329.13</v>
      </c>
      <c r="K1206" s="12" t="str">
        <f t="shared" si="158"/>
        <v>UN3668</v>
      </c>
      <c r="L1206" s="2" t="s">
        <v>4113</v>
      </c>
      <c r="M1206" s="2" t="s">
        <v>24</v>
      </c>
      <c r="N1206" s="2" t="s">
        <v>60</v>
      </c>
      <c r="O1206" s="2">
        <v>1.10751038E8</v>
      </c>
      <c r="P1206" s="15"/>
      <c r="Q1206" s="8">
        <v>2025.0</v>
      </c>
      <c r="R1206" s="8" t="s">
        <v>3946</v>
      </c>
    </row>
    <row r="1207">
      <c r="A1207" s="4" t="s">
        <v>18</v>
      </c>
      <c r="B1207" s="2" t="s">
        <v>4114</v>
      </c>
      <c r="C1207" s="10">
        <v>45969.0</v>
      </c>
      <c r="D1207" s="10">
        <v>45969.0</v>
      </c>
      <c r="E1207" s="4" t="s">
        <v>4115</v>
      </c>
      <c r="F1207" s="9"/>
      <c r="G1207" s="7">
        <v>366.0</v>
      </c>
      <c r="H1207" s="6"/>
      <c r="I1207" s="11">
        <v>76963.13</v>
      </c>
      <c r="K1207" s="2" t="s">
        <v>119</v>
      </c>
      <c r="M1207" s="2" t="s">
        <v>114</v>
      </c>
      <c r="N1207" s="2" t="s">
        <v>478</v>
      </c>
      <c r="O1207" s="2">
        <v>1.10751038E8</v>
      </c>
      <c r="Q1207" s="8">
        <v>2025.0</v>
      </c>
      <c r="R1207" s="8" t="s">
        <v>3946</v>
      </c>
    </row>
    <row r="1208">
      <c r="A1208" s="4" t="s">
        <v>18</v>
      </c>
      <c r="B1208" s="2" t="s">
        <v>4116</v>
      </c>
      <c r="C1208" s="10">
        <v>45969.0</v>
      </c>
      <c r="D1208" s="10">
        <v>45969.0</v>
      </c>
      <c r="E1208" s="4" t="s">
        <v>4117</v>
      </c>
      <c r="F1208" s="9"/>
      <c r="G1208" s="7">
        <v>663.0</v>
      </c>
      <c r="H1208" s="6"/>
      <c r="I1208" s="11">
        <v>76300.13</v>
      </c>
      <c r="K1208" s="2" t="s">
        <v>127</v>
      </c>
      <c r="M1208" s="2" t="s">
        <v>114</v>
      </c>
      <c r="N1208" s="2" t="s">
        <v>478</v>
      </c>
      <c r="O1208" s="2">
        <v>1.10751038E8</v>
      </c>
      <c r="Q1208" s="8">
        <v>2025.0</v>
      </c>
      <c r="R1208" s="8" t="s">
        <v>3946</v>
      </c>
    </row>
    <row r="1209">
      <c r="A1209" s="4" t="s">
        <v>18</v>
      </c>
      <c r="B1209" s="2" t="s">
        <v>4118</v>
      </c>
      <c r="C1209" s="10">
        <v>45969.0</v>
      </c>
      <c r="D1209" s="10">
        <v>45969.0</v>
      </c>
      <c r="E1209" s="4" t="s">
        <v>4119</v>
      </c>
      <c r="F1209" s="9"/>
      <c r="G1209" s="6"/>
      <c r="H1209" s="7">
        <v>604.0</v>
      </c>
      <c r="I1209" s="11">
        <v>76904.13</v>
      </c>
      <c r="K1209" s="12" t="str">
        <f t="shared" ref="K1209:K1214" si="159">RIGHT(E1209,6)</f>
        <v>UN3668</v>
      </c>
      <c r="L1209" s="2" t="s">
        <v>4120</v>
      </c>
      <c r="M1209" s="2" t="s">
        <v>24</v>
      </c>
      <c r="N1209" s="2" t="s">
        <v>60</v>
      </c>
      <c r="O1209" s="2">
        <v>1.10751038E8</v>
      </c>
      <c r="P1209" s="15"/>
      <c r="Q1209" s="8">
        <v>2025.0</v>
      </c>
      <c r="R1209" s="8" t="s">
        <v>3946</v>
      </c>
    </row>
    <row r="1210">
      <c r="A1210" s="4" t="s">
        <v>18</v>
      </c>
      <c r="B1210" s="2" t="s">
        <v>4121</v>
      </c>
      <c r="C1210" s="10">
        <v>45969.0</v>
      </c>
      <c r="D1210" s="10">
        <v>45969.0</v>
      </c>
      <c r="E1210" s="4" t="s">
        <v>4122</v>
      </c>
      <c r="F1210" s="9"/>
      <c r="G1210" s="6"/>
      <c r="H1210" s="11">
        <v>2000.0</v>
      </c>
      <c r="I1210" s="11">
        <v>78904.13</v>
      </c>
      <c r="K1210" s="12" t="str">
        <f t="shared" si="159"/>
        <v>UN3668</v>
      </c>
      <c r="L1210" s="2" t="s">
        <v>619</v>
      </c>
      <c r="M1210" s="2" t="s">
        <v>24</v>
      </c>
      <c r="N1210" s="2" t="s">
        <v>60</v>
      </c>
      <c r="O1210" s="2">
        <v>1.10751038E8</v>
      </c>
      <c r="P1210" s="15"/>
      <c r="Q1210" s="8">
        <v>2025.0</v>
      </c>
      <c r="R1210" s="8" t="s">
        <v>3946</v>
      </c>
    </row>
    <row r="1211">
      <c r="A1211" s="4" t="s">
        <v>18</v>
      </c>
      <c r="B1211" s="2" t="s">
        <v>4123</v>
      </c>
      <c r="C1211" s="10">
        <v>45969.0</v>
      </c>
      <c r="D1211" s="10">
        <v>45969.0</v>
      </c>
      <c r="E1211" s="4" t="s">
        <v>4124</v>
      </c>
      <c r="F1211" s="9"/>
      <c r="G1211" s="6"/>
      <c r="H1211" s="11">
        <v>1047.0</v>
      </c>
      <c r="I1211" s="11">
        <v>79951.13</v>
      </c>
      <c r="K1211" s="12" t="str">
        <f t="shared" si="159"/>
        <v>SC3567</v>
      </c>
      <c r="L1211" s="2" t="s">
        <v>4125</v>
      </c>
      <c r="M1211" s="2" t="s">
        <v>24</v>
      </c>
      <c r="N1211" s="2" t="s">
        <v>60</v>
      </c>
      <c r="O1211" s="2">
        <v>1.10751038E8</v>
      </c>
      <c r="P1211" s="15"/>
      <c r="Q1211" s="8">
        <v>2025.0</v>
      </c>
      <c r="R1211" s="8" t="s">
        <v>3946</v>
      </c>
    </row>
    <row r="1212">
      <c r="A1212" s="4" t="s">
        <v>18</v>
      </c>
      <c r="B1212" s="2" t="s">
        <v>4126</v>
      </c>
      <c r="C1212" s="10">
        <v>45969.0</v>
      </c>
      <c r="D1212" s="10">
        <v>45969.0</v>
      </c>
      <c r="E1212" s="4" t="s">
        <v>4127</v>
      </c>
      <c r="F1212" s="9"/>
      <c r="G1212" s="6"/>
      <c r="H1212" s="11">
        <v>1130.0</v>
      </c>
      <c r="I1212" s="11">
        <v>81081.13</v>
      </c>
      <c r="K1212" s="12" t="str">
        <f t="shared" si="159"/>
        <v>SC3567</v>
      </c>
      <c r="L1212" s="2" t="s">
        <v>4128</v>
      </c>
      <c r="M1212" s="2" t="s">
        <v>24</v>
      </c>
      <c r="N1212" s="2" t="s">
        <v>60</v>
      </c>
      <c r="O1212" s="2">
        <v>1.10751038E8</v>
      </c>
      <c r="P1212" s="15"/>
      <c r="Q1212" s="8">
        <v>2025.0</v>
      </c>
      <c r="R1212" s="8" t="s">
        <v>3946</v>
      </c>
    </row>
    <row r="1213">
      <c r="A1213" s="4" t="s">
        <v>18</v>
      </c>
      <c r="B1213" s="2" t="s">
        <v>4129</v>
      </c>
      <c r="C1213" s="10">
        <v>45969.0</v>
      </c>
      <c r="D1213" s="10">
        <v>45969.0</v>
      </c>
      <c r="E1213" s="4" t="s">
        <v>4130</v>
      </c>
      <c r="F1213" s="9"/>
      <c r="G1213" s="6"/>
      <c r="H1213" s="7">
        <v>540.0</v>
      </c>
      <c r="I1213" s="11">
        <v>81621.13</v>
      </c>
      <c r="K1213" s="12" t="str">
        <f t="shared" si="159"/>
        <v>SL1610</v>
      </c>
      <c r="L1213" s="2" t="s">
        <v>4131</v>
      </c>
      <c r="M1213" s="2" t="s">
        <v>24</v>
      </c>
      <c r="N1213" s="2" t="s">
        <v>60</v>
      </c>
      <c r="O1213" s="2">
        <v>1.10751038E8</v>
      </c>
      <c r="P1213" s="15"/>
      <c r="Q1213" s="8">
        <v>2025.0</v>
      </c>
      <c r="R1213" s="8" t="s">
        <v>3946</v>
      </c>
    </row>
    <row r="1214">
      <c r="A1214" s="4" t="s">
        <v>18</v>
      </c>
      <c r="B1214" s="2" t="s">
        <v>4132</v>
      </c>
      <c r="C1214" s="10">
        <v>45969.0</v>
      </c>
      <c r="D1214" s="10">
        <v>45969.0</v>
      </c>
      <c r="E1214" s="4" t="s">
        <v>4133</v>
      </c>
      <c r="F1214" s="9"/>
      <c r="G1214" s="6"/>
      <c r="H1214" s="7">
        <v>876.0</v>
      </c>
      <c r="I1214" s="11">
        <v>82497.13</v>
      </c>
      <c r="K1214" s="12" t="str">
        <f t="shared" si="159"/>
        <v>SL1610</v>
      </c>
      <c r="L1214" s="2" t="s">
        <v>4134</v>
      </c>
      <c r="M1214" s="2" t="s">
        <v>24</v>
      </c>
      <c r="N1214" s="2" t="s">
        <v>60</v>
      </c>
      <c r="O1214" s="2">
        <v>1.10751038E8</v>
      </c>
      <c r="P1214" s="15"/>
      <c r="Q1214" s="8">
        <v>2025.0</v>
      </c>
      <c r="R1214" s="8" t="s">
        <v>3946</v>
      </c>
    </row>
    <row r="1215">
      <c r="A1215" s="4" t="s">
        <v>18</v>
      </c>
      <c r="B1215" s="2" t="s">
        <v>4135</v>
      </c>
      <c r="C1215" s="10">
        <v>45970.0</v>
      </c>
      <c r="D1215" s="10">
        <v>45970.0</v>
      </c>
      <c r="E1215" s="4" t="s">
        <v>4136</v>
      </c>
      <c r="F1215" s="9"/>
      <c r="G1215" s="11">
        <v>15000.0</v>
      </c>
      <c r="H1215" s="6"/>
      <c r="I1215" s="11">
        <v>67497.13</v>
      </c>
      <c r="J1215" s="2" t="s">
        <v>4137</v>
      </c>
      <c r="K1215" s="2" t="s">
        <v>127</v>
      </c>
      <c r="M1215" s="2" t="s">
        <v>114</v>
      </c>
      <c r="N1215" s="2" t="s">
        <v>169</v>
      </c>
      <c r="O1215" s="2">
        <v>1.10751038E8</v>
      </c>
      <c r="Q1215" s="8">
        <v>2025.0</v>
      </c>
      <c r="R1215" s="8" t="s">
        <v>3946</v>
      </c>
    </row>
    <row r="1216">
      <c r="A1216" s="4" t="s">
        <v>18</v>
      </c>
      <c r="B1216" s="2" t="s">
        <v>4138</v>
      </c>
      <c r="C1216" s="10">
        <v>45970.0</v>
      </c>
      <c r="D1216" s="10">
        <v>45970.0</v>
      </c>
      <c r="E1216" s="4" t="s">
        <v>4139</v>
      </c>
      <c r="F1216" s="9"/>
      <c r="G1216" s="7">
        <v>700.0</v>
      </c>
      <c r="H1216" s="6"/>
      <c r="I1216" s="11">
        <v>66797.13</v>
      </c>
      <c r="J1216" s="2" t="s">
        <v>4140</v>
      </c>
      <c r="K1216" s="2" t="s">
        <v>127</v>
      </c>
      <c r="M1216" s="2" t="s">
        <v>114</v>
      </c>
      <c r="N1216" s="2" t="s">
        <v>169</v>
      </c>
      <c r="O1216" s="2">
        <v>1.10751038E8</v>
      </c>
      <c r="Q1216" s="8">
        <v>2025.0</v>
      </c>
      <c r="R1216" s="8" t="s">
        <v>3946</v>
      </c>
    </row>
    <row r="1217">
      <c r="A1217" s="4" t="s">
        <v>18</v>
      </c>
      <c r="B1217" s="2" t="s">
        <v>4141</v>
      </c>
      <c r="C1217" s="10">
        <v>45970.0</v>
      </c>
      <c r="D1217" s="10">
        <v>45970.0</v>
      </c>
      <c r="E1217" s="4" t="s">
        <v>4142</v>
      </c>
      <c r="F1217" s="9"/>
      <c r="G1217" s="6"/>
      <c r="H1217" s="7">
        <v>692.0</v>
      </c>
      <c r="I1217" s="11">
        <v>67489.13</v>
      </c>
      <c r="K1217" s="12" t="str">
        <f t="shared" ref="K1217:K1222" si="160">RIGHT(E1217,6)</f>
        <v>UN3668</v>
      </c>
      <c r="L1217" s="2" t="s">
        <v>4143</v>
      </c>
      <c r="M1217" s="2" t="s">
        <v>24</v>
      </c>
      <c r="N1217" s="2" t="s">
        <v>60</v>
      </c>
      <c r="O1217" s="2">
        <v>1.10751038E8</v>
      </c>
      <c r="P1217" s="15"/>
      <c r="Q1217" s="8">
        <v>2025.0</v>
      </c>
      <c r="R1217" s="8" t="s">
        <v>3946</v>
      </c>
    </row>
    <row r="1218">
      <c r="A1218" s="4" t="s">
        <v>18</v>
      </c>
      <c r="B1218" s="2" t="s">
        <v>4144</v>
      </c>
      <c r="C1218" s="10">
        <v>45970.0</v>
      </c>
      <c r="D1218" s="10">
        <v>45970.0</v>
      </c>
      <c r="E1218" s="4" t="s">
        <v>4145</v>
      </c>
      <c r="F1218" s="9"/>
      <c r="G1218" s="6"/>
      <c r="H1218" s="11">
        <v>1080.0</v>
      </c>
      <c r="I1218" s="11">
        <v>68569.13</v>
      </c>
      <c r="K1218" s="12" t="str">
        <f t="shared" si="160"/>
        <v>KN3817</v>
      </c>
      <c r="L1218" s="21" t="s">
        <v>1254</v>
      </c>
      <c r="M1218" s="2" t="s">
        <v>24</v>
      </c>
      <c r="N1218" s="2" t="s">
        <v>60</v>
      </c>
      <c r="O1218" s="2">
        <v>1.10751038E8</v>
      </c>
      <c r="P1218" s="15"/>
      <c r="Q1218" s="8">
        <v>2025.0</v>
      </c>
      <c r="R1218" s="8" t="s">
        <v>3946</v>
      </c>
    </row>
    <row r="1219">
      <c r="A1219" s="4" t="s">
        <v>18</v>
      </c>
      <c r="B1219" s="2" t="s">
        <v>4146</v>
      </c>
      <c r="C1219" s="10">
        <v>45970.0</v>
      </c>
      <c r="D1219" s="10">
        <v>45970.0</v>
      </c>
      <c r="E1219" s="4" t="s">
        <v>4147</v>
      </c>
      <c r="F1219" s="9"/>
      <c r="G1219" s="6"/>
      <c r="H1219" s="11">
        <v>1526.0</v>
      </c>
      <c r="I1219" s="11">
        <v>70095.13</v>
      </c>
      <c r="K1219" s="12" t="str">
        <f t="shared" si="160"/>
        <v>SC3567</v>
      </c>
      <c r="L1219" s="2" t="s">
        <v>4148</v>
      </c>
      <c r="M1219" s="2" t="s">
        <v>24</v>
      </c>
      <c r="N1219" s="2" t="s">
        <v>60</v>
      </c>
      <c r="O1219" s="2">
        <v>1.10751038E8</v>
      </c>
      <c r="P1219" s="15"/>
      <c r="Q1219" s="8">
        <v>2025.0</v>
      </c>
      <c r="R1219" s="8" t="s">
        <v>3946</v>
      </c>
    </row>
    <row r="1220">
      <c r="A1220" s="4" t="s">
        <v>18</v>
      </c>
      <c r="B1220" s="2" t="s">
        <v>4149</v>
      </c>
      <c r="C1220" s="10">
        <v>45970.0</v>
      </c>
      <c r="D1220" s="10">
        <v>45970.0</v>
      </c>
      <c r="E1220" s="4" t="s">
        <v>4150</v>
      </c>
      <c r="F1220" s="9"/>
      <c r="G1220" s="6"/>
      <c r="H1220" s="7">
        <v>140.0</v>
      </c>
      <c r="I1220" s="11">
        <v>70235.13</v>
      </c>
      <c r="K1220" s="12" t="str">
        <f t="shared" si="160"/>
        <v>UN3668</v>
      </c>
      <c r="L1220" s="2" t="s">
        <v>4151</v>
      </c>
      <c r="M1220" s="2" t="s">
        <v>24</v>
      </c>
      <c r="N1220" s="2" t="s">
        <v>60</v>
      </c>
      <c r="O1220" s="2">
        <v>1.10751038E8</v>
      </c>
      <c r="P1220" s="15" t="str">
        <f>IFERROR(__xludf.DUMMYFUNCTION("CONCATENATE(B1220,"", "", to_text(D1220),"", "", E1220,"", "", H1220)"),"TSV-11-0076, 09-Nov-2025, UPI/CR/392005816595/AMAN BEG/BKID/9910013/UN3668, 140")</f>
        <v>TSV-11-0076, 09-Nov-2025, UPI/CR/392005816595/AMAN BEG/BKID/9910013/UN3668, 140</v>
      </c>
      <c r="Q1220" s="8">
        <v>2025.0</v>
      </c>
      <c r="R1220" s="8" t="s">
        <v>3946</v>
      </c>
    </row>
    <row r="1221">
      <c r="A1221" s="4" t="s">
        <v>18</v>
      </c>
      <c r="B1221" s="2" t="s">
        <v>4152</v>
      </c>
      <c r="C1221" s="10">
        <v>45970.0</v>
      </c>
      <c r="D1221" s="10">
        <v>45970.0</v>
      </c>
      <c r="E1221" s="4" t="s">
        <v>4153</v>
      </c>
      <c r="F1221" s="9"/>
      <c r="G1221" s="6"/>
      <c r="H1221" s="7">
        <v>960.0</v>
      </c>
      <c r="I1221" s="11">
        <v>71195.13</v>
      </c>
      <c r="K1221" s="12" t="str">
        <f t="shared" si="160"/>
        <v>SL1610</v>
      </c>
      <c r="L1221" s="2" t="s">
        <v>4154</v>
      </c>
      <c r="M1221" s="2" t="s">
        <v>24</v>
      </c>
      <c r="N1221" s="2" t="s">
        <v>60</v>
      </c>
      <c r="O1221" s="2">
        <v>1.10751038E8</v>
      </c>
      <c r="P1221" s="15"/>
      <c r="Q1221" s="8">
        <v>2025.0</v>
      </c>
      <c r="R1221" s="8" t="s">
        <v>3946</v>
      </c>
    </row>
    <row r="1222">
      <c r="A1222" s="4" t="s">
        <v>18</v>
      </c>
      <c r="B1222" s="2" t="s">
        <v>4155</v>
      </c>
      <c r="C1222" s="10">
        <v>45970.0</v>
      </c>
      <c r="D1222" s="10">
        <v>45970.0</v>
      </c>
      <c r="E1222" s="4" t="s">
        <v>4156</v>
      </c>
      <c r="F1222" s="9"/>
      <c r="G1222" s="6"/>
      <c r="H1222" s="7">
        <v>424.0</v>
      </c>
      <c r="I1222" s="11">
        <v>71619.13</v>
      </c>
      <c r="K1222" s="12" t="str">
        <f t="shared" si="160"/>
        <v>UN3668</v>
      </c>
      <c r="L1222" s="2" t="s">
        <v>4157</v>
      </c>
      <c r="M1222" s="2" t="s">
        <v>24</v>
      </c>
      <c r="N1222" s="2" t="s">
        <v>60</v>
      </c>
      <c r="O1222" s="2">
        <v>1.10751038E8</v>
      </c>
      <c r="P1222" s="15"/>
      <c r="Q1222" s="8">
        <v>2025.0</v>
      </c>
      <c r="R1222" s="8" t="s">
        <v>3946</v>
      </c>
    </row>
    <row r="1223">
      <c r="A1223" s="4" t="s">
        <v>18</v>
      </c>
      <c r="B1223" s="2" t="s">
        <v>4158</v>
      </c>
      <c r="C1223" s="10">
        <v>45970.0</v>
      </c>
      <c r="D1223" s="10">
        <v>45970.0</v>
      </c>
      <c r="E1223" s="4" t="s">
        <v>4159</v>
      </c>
      <c r="F1223" s="9"/>
      <c r="G1223" s="6"/>
      <c r="H1223" s="11">
        <v>24000.0</v>
      </c>
      <c r="I1223" s="11">
        <v>95619.13</v>
      </c>
      <c r="J1223" s="2" t="s">
        <v>4160</v>
      </c>
      <c r="K1223" s="2" t="s">
        <v>23</v>
      </c>
      <c r="L1223" s="2" t="s">
        <v>4161</v>
      </c>
      <c r="M1223" s="2" t="s">
        <v>24</v>
      </c>
      <c r="N1223" s="2" t="s">
        <v>60</v>
      </c>
      <c r="O1223" s="2">
        <v>1.10751038E8</v>
      </c>
      <c r="P1223" s="2" t="s">
        <v>4162</v>
      </c>
      <c r="Q1223" s="8">
        <v>2025.0</v>
      </c>
      <c r="R1223" s="8" t="s">
        <v>3946</v>
      </c>
    </row>
    <row r="1224">
      <c r="A1224" s="4" t="s">
        <v>18</v>
      </c>
      <c r="B1224" s="2" t="s">
        <v>4163</v>
      </c>
      <c r="C1224" s="10">
        <v>45970.0</v>
      </c>
      <c r="D1224" s="10">
        <v>45970.0</v>
      </c>
      <c r="E1224" s="4" t="s">
        <v>4164</v>
      </c>
      <c r="F1224" s="9"/>
      <c r="G1224" s="7">
        <v>200.0</v>
      </c>
      <c r="H1224" s="6"/>
      <c r="I1224" s="11">
        <v>95419.13</v>
      </c>
      <c r="K1224" s="2" t="s">
        <v>119</v>
      </c>
      <c r="M1224" s="2" t="s">
        <v>114</v>
      </c>
      <c r="N1224" s="2" t="s">
        <v>1835</v>
      </c>
      <c r="O1224" s="2">
        <v>1.10751038E8</v>
      </c>
      <c r="Q1224" s="8">
        <v>2025.0</v>
      </c>
      <c r="R1224" s="8" t="s">
        <v>3946</v>
      </c>
    </row>
    <row r="1225">
      <c r="A1225" s="4" t="s">
        <v>18</v>
      </c>
      <c r="B1225" s="2" t="s">
        <v>4165</v>
      </c>
      <c r="C1225" s="10">
        <v>45970.0</v>
      </c>
      <c r="D1225" s="10">
        <v>45970.0</v>
      </c>
      <c r="E1225" s="4" t="s">
        <v>4166</v>
      </c>
      <c r="F1225" s="9"/>
      <c r="G1225" s="7">
        <v>99.0</v>
      </c>
      <c r="H1225" s="6"/>
      <c r="I1225" s="11">
        <v>95320.13</v>
      </c>
      <c r="K1225" s="2" t="s">
        <v>123</v>
      </c>
      <c r="M1225" s="2" t="s">
        <v>114</v>
      </c>
      <c r="N1225" s="2" t="s">
        <v>1835</v>
      </c>
      <c r="O1225" s="2">
        <v>1.10751038E8</v>
      </c>
      <c r="Q1225" s="8">
        <v>2025.0</v>
      </c>
      <c r="R1225" s="8" t="s">
        <v>3946</v>
      </c>
    </row>
    <row r="1226">
      <c r="A1226" s="4" t="s">
        <v>18</v>
      </c>
      <c r="B1226" s="2" t="s">
        <v>4167</v>
      </c>
      <c r="C1226" s="10">
        <v>45970.0</v>
      </c>
      <c r="D1226" s="10">
        <v>45970.0</v>
      </c>
      <c r="E1226" s="4" t="s">
        <v>4168</v>
      </c>
      <c r="F1226" s="9"/>
      <c r="G1226" s="6"/>
      <c r="H1226" s="7">
        <v>715.0</v>
      </c>
      <c r="I1226" s="11">
        <v>96035.13</v>
      </c>
      <c r="K1226" s="12" t="str">
        <f>RIGHT(E1226,6)</f>
        <v>UN3668</v>
      </c>
      <c r="L1226" s="2" t="s">
        <v>4169</v>
      </c>
      <c r="M1226" s="2" t="s">
        <v>24</v>
      </c>
      <c r="N1226" s="2" t="s">
        <v>60</v>
      </c>
      <c r="O1226" s="2">
        <v>1.10751038E8</v>
      </c>
      <c r="P1226" s="15"/>
      <c r="Q1226" s="8">
        <v>2025.0</v>
      </c>
      <c r="R1226" s="8" t="s">
        <v>3946</v>
      </c>
    </row>
    <row r="1227">
      <c r="A1227" s="4" t="s">
        <v>18</v>
      </c>
      <c r="B1227" s="2" t="s">
        <v>4170</v>
      </c>
      <c r="C1227" s="5">
        <v>45971.0</v>
      </c>
      <c r="D1227" s="5">
        <v>45971.0</v>
      </c>
      <c r="E1227" s="4" t="s">
        <v>4171</v>
      </c>
      <c r="F1227" s="9"/>
      <c r="G1227" s="7">
        <v>250.0</v>
      </c>
      <c r="H1227" s="6"/>
      <c r="I1227" s="11">
        <v>95785.13</v>
      </c>
      <c r="K1227" s="2" t="s">
        <v>123</v>
      </c>
      <c r="M1227" s="2" t="s">
        <v>114</v>
      </c>
      <c r="N1227" s="2" t="s">
        <v>1835</v>
      </c>
      <c r="O1227" s="2">
        <v>1.10751038E8</v>
      </c>
      <c r="Q1227" s="8">
        <v>2025.0</v>
      </c>
      <c r="R1227" s="8" t="s">
        <v>3946</v>
      </c>
    </row>
    <row r="1228">
      <c r="A1228" s="4" t="s">
        <v>18</v>
      </c>
      <c r="B1228" s="2" t="s">
        <v>4172</v>
      </c>
      <c r="C1228" s="5">
        <v>45971.0</v>
      </c>
      <c r="D1228" s="5">
        <v>45971.0</v>
      </c>
      <c r="E1228" s="4" t="s">
        <v>4173</v>
      </c>
      <c r="F1228" s="9"/>
      <c r="G1228" s="6"/>
      <c r="H1228" s="7" t="s">
        <v>4174</v>
      </c>
      <c r="I1228" s="7" t="s">
        <v>4175</v>
      </c>
      <c r="K1228" s="2" t="s">
        <v>23</v>
      </c>
      <c r="M1228" s="2" t="s">
        <v>24</v>
      </c>
      <c r="N1228" s="2" t="s">
        <v>25</v>
      </c>
      <c r="O1228" s="2">
        <v>1.10751038E8</v>
      </c>
      <c r="Q1228" s="8">
        <v>2025.0</v>
      </c>
      <c r="R1228" s="8" t="s">
        <v>3946</v>
      </c>
    </row>
    <row r="1229">
      <c r="A1229" s="4" t="s">
        <v>18</v>
      </c>
      <c r="B1229" s="2" t="s">
        <v>4176</v>
      </c>
      <c r="C1229" s="5">
        <v>45971.0</v>
      </c>
      <c r="D1229" s="5">
        <v>45971.0</v>
      </c>
      <c r="E1229" s="4" t="s">
        <v>4177</v>
      </c>
      <c r="F1229" s="9"/>
      <c r="G1229" s="11">
        <v>40120.0</v>
      </c>
      <c r="H1229" s="6"/>
      <c r="I1229" s="7" t="s">
        <v>4178</v>
      </c>
      <c r="K1229" s="12" t="str">
        <f t="shared" ref="K1229:K1232" si="161">RIGHT(E1229,6)</f>
        <v>SC3567</v>
      </c>
      <c r="M1229" s="2" t="s">
        <v>114</v>
      </c>
      <c r="N1229" s="2" t="s">
        <v>115</v>
      </c>
      <c r="O1229" s="2">
        <v>1.10751038E8</v>
      </c>
      <c r="Q1229" s="8">
        <v>2025.0</v>
      </c>
      <c r="R1229" s="8" t="s">
        <v>3946</v>
      </c>
    </row>
    <row r="1230">
      <c r="A1230" s="4" t="s">
        <v>18</v>
      </c>
      <c r="B1230" s="2" t="s">
        <v>4179</v>
      </c>
      <c r="C1230" s="5">
        <v>45971.0</v>
      </c>
      <c r="D1230" s="5">
        <v>45971.0</v>
      </c>
      <c r="E1230" s="4" t="s">
        <v>4180</v>
      </c>
      <c r="F1230" s="9"/>
      <c r="G1230" s="11">
        <v>27000.0</v>
      </c>
      <c r="H1230" s="6"/>
      <c r="I1230" s="7" t="s">
        <v>4181</v>
      </c>
      <c r="K1230" s="12" t="str">
        <f t="shared" si="161"/>
        <v>UN3668</v>
      </c>
      <c r="M1230" s="2" t="s">
        <v>114</v>
      </c>
      <c r="N1230" s="2" t="s">
        <v>115</v>
      </c>
      <c r="O1230" s="2">
        <v>1.10751038E8</v>
      </c>
      <c r="Q1230" s="8">
        <v>2025.0</v>
      </c>
      <c r="R1230" s="8" t="s">
        <v>3946</v>
      </c>
    </row>
    <row r="1231">
      <c r="A1231" s="4" t="s">
        <v>18</v>
      </c>
      <c r="B1231" s="2" t="s">
        <v>4182</v>
      </c>
      <c r="C1231" s="5">
        <v>45971.0</v>
      </c>
      <c r="D1231" s="5">
        <v>45971.0</v>
      </c>
      <c r="E1231" s="4" t="s">
        <v>4183</v>
      </c>
      <c r="F1231" s="9"/>
      <c r="G1231" s="11">
        <v>10000.0</v>
      </c>
      <c r="H1231" s="6"/>
      <c r="I1231" s="7" t="s">
        <v>4184</v>
      </c>
      <c r="K1231" s="12" t="str">
        <f t="shared" si="161"/>
        <v>KN3817</v>
      </c>
      <c r="M1231" s="2" t="s">
        <v>114</v>
      </c>
      <c r="N1231" s="2" t="s">
        <v>115</v>
      </c>
      <c r="O1231" s="2">
        <v>1.10751038E8</v>
      </c>
      <c r="Q1231" s="8">
        <v>2025.0</v>
      </c>
      <c r="R1231" s="8" t="s">
        <v>3946</v>
      </c>
    </row>
    <row r="1232">
      <c r="A1232" s="4" t="s">
        <v>18</v>
      </c>
      <c r="B1232" s="2" t="s">
        <v>4185</v>
      </c>
      <c r="C1232" s="5">
        <v>45971.0</v>
      </c>
      <c r="D1232" s="5">
        <v>45971.0</v>
      </c>
      <c r="E1232" s="4" t="s">
        <v>4186</v>
      </c>
      <c r="F1232" s="9"/>
      <c r="G1232" s="11">
        <v>29000.0</v>
      </c>
      <c r="H1232" s="6"/>
      <c r="I1232" s="7" t="s">
        <v>4187</v>
      </c>
      <c r="K1232" s="12" t="str">
        <f t="shared" si="161"/>
        <v>SL1610</v>
      </c>
      <c r="M1232" s="2" t="s">
        <v>114</v>
      </c>
      <c r="N1232" s="2" t="s">
        <v>115</v>
      </c>
      <c r="O1232" s="2">
        <v>1.10751038E8</v>
      </c>
      <c r="Q1232" s="8">
        <v>2025.0</v>
      </c>
      <c r="R1232" s="8" t="s">
        <v>3946</v>
      </c>
    </row>
    <row r="1233">
      <c r="A1233" s="4" t="s">
        <v>18</v>
      </c>
      <c r="B1233" s="2" t="s">
        <v>4188</v>
      </c>
      <c r="C1233" s="5">
        <v>45971.0</v>
      </c>
      <c r="D1233" s="5">
        <v>45971.0</v>
      </c>
      <c r="E1233" s="4" t="s">
        <v>4189</v>
      </c>
      <c r="F1233" s="9"/>
      <c r="G1233" s="11">
        <v>10790.0</v>
      </c>
      <c r="H1233" s="6"/>
      <c r="I1233" s="7" t="s">
        <v>4190</v>
      </c>
      <c r="J1233" s="2" t="s">
        <v>220</v>
      </c>
      <c r="K1233" s="2" t="s">
        <v>127</v>
      </c>
      <c r="M1233" s="2" t="s">
        <v>114</v>
      </c>
      <c r="N1233" s="2" t="s">
        <v>220</v>
      </c>
      <c r="O1233" s="2">
        <v>1.10751038E8</v>
      </c>
      <c r="Q1233" s="8">
        <v>2025.0</v>
      </c>
      <c r="R1233" s="8" t="s">
        <v>3946</v>
      </c>
    </row>
    <row r="1234">
      <c r="A1234" s="4" t="s">
        <v>18</v>
      </c>
      <c r="B1234" s="2" t="s">
        <v>4191</v>
      </c>
      <c r="C1234" s="5">
        <v>45971.0</v>
      </c>
      <c r="D1234" s="5">
        <v>45971.0</v>
      </c>
      <c r="E1234" s="4" t="s">
        <v>4192</v>
      </c>
      <c r="F1234" s="9"/>
      <c r="G1234" s="11">
        <v>6324.0</v>
      </c>
      <c r="H1234" s="6"/>
      <c r="I1234" s="7" t="s">
        <v>4193</v>
      </c>
      <c r="J1234" s="2" t="s">
        <v>4194</v>
      </c>
      <c r="K1234" s="12" t="str">
        <f t="shared" ref="K1234:K1245" si="162">RIGHT(E1234,6)</f>
        <v>UN3668</v>
      </c>
      <c r="M1234" s="2" t="s">
        <v>114</v>
      </c>
      <c r="N1234" s="2" t="s">
        <v>169</v>
      </c>
      <c r="O1234" s="2">
        <v>1.10751038E8</v>
      </c>
      <c r="Q1234" s="8">
        <v>2025.0</v>
      </c>
      <c r="R1234" s="8" t="s">
        <v>3946</v>
      </c>
    </row>
    <row r="1235">
      <c r="A1235" s="4" t="s">
        <v>18</v>
      </c>
      <c r="B1235" s="2" t="s">
        <v>4195</v>
      </c>
      <c r="C1235" s="5">
        <v>45971.0</v>
      </c>
      <c r="D1235" s="5">
        <v>45971.0</v>
      </c>
      <c r="E1235" s="4" t="s">
        <v>4196</v>
      </c>
      <c r="F1235" s="9"/>
      <c r="G1235" s="11">
        <v>7831.0</v>
      </c>
      <c r="H1235" s="6"/>
      <c r="I1235" s="7" t="s">
        <v>4197</v>
      </c>
      <c r="J1235" s="2" t="s">
        <v>4198</v>
      </c>
      <c r="K1235" s="12" t="str">
        <f t="shared" si="162"/>
        <v>UN3668</v>
      </c>
      <c r="M1235" s="2" t="s">
        <v>114</v>
      </c>
      <c r="N1235" s="2" t="s">
        <v>169</v>
      </c>
      <c r="O1235" s="2">
        <v>1.10751038E8</v>
      </c>
      <c r="Q1235" s="8">
        <v>2025.0</v>
      </c>
      <c r="R1235" s="8" t="s">
        <v>3946</v>
      </c>
    </row>
    <row r="1236">
      <c r="A1236" s="4" t="s">
        <v>18</v>
      </c>
      <c r="B1236" s="2" t="s">
        <v>4199</v>
      </c>
      <c r="C1236" s="5">
        <v>45971.0</v>
      </c>
      <c r="D1236" s="5">
        <v>45971.0</v>
      </c>
      <c r="E1236" s="4" t="s">
        <v>4200</v>
      </c>
      <c r="F1236" s="9"/>
      <c r="G1236" s="11">
        <v>26271.0</v>
      </c>
      <c r="H1236" s="6"/>
      <c r="I1236" s="7" t="s">
        <v>4201</v>
      </c>
      <c r="J1236" s="2" t="s">
        <v>4202</v>
      </c>
      <c r="K1236" s="12" t="str">
        <f t="shared" si="162"/>
        <v>KN3817</v>
      </c>
      <c r="M1236" s="2" t="s">
        <v>114</v>
      </c>
      <c r="N1236" s="2" t="s">
        <v>169</v>
      </c>
      <c r="O1236" s="2">
        <v>1.10751038E8</v>
      </c>
      <c r="Q1236" s="8">
        <v>2025.0</v>
      </c>
      <c r="R1236" s="8" t="s">
        <v>3946</v>
      </c>
    </row>
    <row r="1237">
      <c r="A1237" s="4" t="s">
        <v>18</v>
      </c>
      <c r="B1237" s="2" t="s">
        <v>4203</v>
      </c>
      <c r="C1237" s="5">
        <v>45971.0</v>
      </c>
      <c r="D1237" s="5">
        <v>45971.0</v>
      </c>
      <c r="E1237" s="4" t="s">
        <v>4204</v>
      </c>
      <c r="F1237" s="9"/>
      <c r="G1237" s="11">
        <v>15597.0</v>
      </c>
      <c r="H1237" s="6"/>
      <c r="I1237" s="7" t="s">
        <v>4205</v>
      </c>
      <c r="J1237" s="2" t="s">
        <v>4206</v>
      </c>
      <c r="K1237" s="12" t="str">
        <f t="shared" si="162"/>
        <v>SL1610</v>
      </c>
      <c r="M1237" s="2" t="s">
        <v>114</v>
      </c>
      <c r="N1237" s="2" t="s">
        <v>169</v>
      </c>
      <c r="O1237" s="2">
        <v>1.10751038E8</v>
      </c>
      <c r="Q1237" s="8">
        <v>2025.0</v>
      </c>
      <c r="R1237" s="8" t="s">
        <v>3946</v>
      </c>
    </row>
    <row r="1238">
      <c r="A1238" s="4" t="s">
        <v>18</v>
      </c>
      <c r="B1238" s="2" t="s">
        <v>4207</v>
      </c>
      <c r="C1238" s="5">
        <v>45971.0</v>
      </c>
      <c r="D1238" s="5">
        <v>45971.0</v>
      </c>
      <c r="E1238" s="4" t="s">
        <v>4208</v>
      </c>
      <c r="F1238" s="9"/>
      <c r="G1238" s="11">
        <v>16098.0</v>
      </c>
      <c r="H1238" s="6"/>
      <c r="I1238" s="7" t="s">
        <v>4209</v>
      </c>
      <c r="J1238" s="2" t="s">
        <v>4210</v>
      </c>
      <c r="K1238" s="12" t="str">
        <f t="shared" si="162"/>
        <v>TSV001</v>
      </c>
      <c r="M1238" s="2" t="s">
        <v>114</v>
      </c>
      <c r="N1238" s="2" t="s">
        <v>169</v>
      </c>
      <c r="O1238" s="2">
        <v>1.10751038E8</v>
      </c>
      <c r="Q1238" s="8">
        <v>2025.0</v>
      </c>
      <c r="R1238" s="8" t="s">
        <v>3946</v>
      </c>
    </row>
    <row r="1239">
      <c r="A1239" s="4" t="s">
        <v>18</v>
      </c>
      <c r="B1239" s="2" t="s">
        <v>4211</v>
      </c>
      <c r="C1239" s="5">
        <v>45971.0</v>
      </c>
      <c r="D1239" s="5">
        <v>45971.0</v>
      </c>
      <c r="E1239" s="4" t="s">
        <v>4212</v>
      </c>
      <c r="F1239" s="9"/>
      <c r="G1239" s="11">
        <v>10000.0</v>
      </c>
      <c r="H1239" s="6"/>
      <c r="I1239" s="7" t="s">
        <v>4213</v>
      </c>
      <c r="J1239" s="2" t="s">
        <v>4214</v>
      </c>
      <c r="K1239" s="12" t="str">
        <f t="shared" si="162"/>
        <v>TSV001</v>
      </c>
      <c r="M1239" s="2" t="s">
        <v>114</v>
      </c>
      <c r="N1239" s="2" t="s">
        <v>169</v>
      </c>
      <c r="O1239" s="2">
        <v>1.10751038E8</v>
      </c>
      <c r="Q1239" s="8">
        <v>2025.0</v>
      </c>
      <c r="R1239" s="8" t="s">
        <v>3946</v>
      </c>
    </row>
    <row r="1240">
      <c r="A1240" s="4" t="s">
        <v>18</v>
      </c>
      <c r="B1240" s="2" t="s">
        <v>4215</v>
      </c>
      <c r="C1240" s="5">
        <v>45971.0</v>
      </c>
      <c r="D1240" s="5">
        <v>45971.0</v>
      </c>
      <c r="E1240" s="4" t="s">
        <v>4216</v>
      </c>
      <c r="F1240" s="9"/>
      <c r="G1240" s="11">
        <v>10000.0</v>
      </c>
      <c r="H1240" s="6"/>
      <c r="I1240" s="7" t="s">
        <v>4217</v>
      </c>
      <c r="J1240" s="2" t="s">
        <v>4218</v>
      </c>
      <c r="K1240" s="12" t="str">
        <f t="shared" si="162"/>
        <v>TSV001</v>
      </c>
      <c r="M1240" s="2" t="s">
        <v>114</v>
      </c>
      <c r="N1240" s="2" t="s">
        <v>169</v>
      </c>
      <c r="O1240" s="2">
        <v>1.10751038E8</v>
      </c>
      <c r="Q1240" s="8">
        <v>2025.0</v>
      </c>
      <c r="R1240" s="8" t="s">
        <v>3946</v>
      </c>
    </row>
    <row r="1241">
      <c r="A1241" s="4" t="s">
        <v>18</v>
      </c>
      <c r="B1241" s="2" t="s">
        <v>4219</v>
      </c>
      <c r="C1241" s="5">
        <v>45971.0</v>
      </c>
      <c r="D1241" s="5">
        <v>45971.0</v>
      </c>
      <c r="E1241" s="4" t="s">
        <v>4220</v>
      </c>
      <c r="F1241" s="9"/>
      <c r="G1241" s="11">
        <v>15900.0</v>
      </c>
      <c r="H1241" s="6"/>
      <c r="I1241" s="7" t="s">
        <v>4221</v>
      </c>
      <c r="J1241" s="2" t="s">
        <v>4222</v>
      </c>
      <c r="K1241" s="12" t="str">
        <f t="shared" si="162"/>
        <v>UN3668</v>
      </c>
      <c r="M1241" s="2" t="s">
        <v>114</v>
      </c>
      <c r="N1241" s="2" t="s">
        <v>169</v>
      </c>
      <c r="O1241" s="2">
        <v>1.10751038E8</v>
      </c>
      <c r="Q1241" s="8">
        <v>2025.0</v>
      </c>
      <c r="R1241" s="8" t="s">
        <v>3946</v>
      </c>
    </row>
    <row r="1242">
      <c r="A1242" s="4" t="s">
        <v>18</v>
      </c>
      <c r="B1242" s="2" t="s">
        <v>4223</v>
      </c>
      <c r="C1242" s="5">
        <v>45971.0</v>
      </c>
      <c r="D1242" s="5">
        <v>45971.0</v>
      </c>
      <c r="E1242" s="4" t="s">
        <v>4224</v>
      </c>
      <c r="F1242" s="9"/>
      <c r="G1242" s="11">
        <v>11600.0</v>
      </c>
      <c r="H1242" s="6"/>
      <c r="I1242" s="7" t="s">
        <v>4225</v>
      </c>
      <c r="J1242" s="2" t="s">
        <v>4226</v>
      </c>
      <c r="K1242" s="12" t="str">
        <f t="shared" si="162"/>
        <v>SL1610</v>
      </c>
      <c r="M1242" s="2" t="s">
        <v>114</v>
      </c>
      <c r="N1242" s="2" t="s">
        <v>169</v>
      </c>
      <c r="O1242" s="2">
        <v>1.10751038E8</v>
      </c>
      <c r="Q1242" s="8">
        <v>2025.0</v>
      </c>
      <c r="R1242" s="8" t="s">
        <v>3946</v>
      </c>
    </row>
    <row r="1243">
      <c r="A1243" s="4" t="s">
        <v>18</v>
      </c>
      <c r="B1243" s="2" t="s">
        <v>4227</v>
      </c>
      <c r="C1243" s="5">
        <v>45971.0</v>
      </c>
      <c r="D1243" s="5">
        <v>45971.0</v>
      </c>
      <c r="E1243" s="4" t="s">
        <v>4228</v>
      </c>
      <c r="F1243" s="9"/>
      <c r="G1243" s="11">
        <v>9000.0</v>
      </c>
      <c r="H1243" s="6"/>
      <c r="I1243" s="7" t="s">
        <v>4229</v>
      </c>
      <c r="J1243" s="2" t="s">
        <v>4230</v>
      </c>
      <c r="K1243" s="12" t="str">
        <f t="shared" si="162"/>
        <v>TSV001</v>
      </c>
      <c r="M1243" s="2" t="s">
        <v>114</v>
      </c>
      <c r="N1243" s="2" t="s">
        <v>169</v>
      </c>
      <c r="O1243" s="2">
        <v>1.10751038E8</v>
      </c>
      <c r="Q1243" s="8">
        <v>2025.0</v>
      </c>
      <c r="R1243" s="8" t="s">
        <v>3946</v>
      </c>
    </row>
    <row r="1244">
      <c r="A1244" s="4" t="s">
        <v>18</v>
      </c>
      <c r="B1244" s="2" t="s">
        <v>4231</v>
      </c>
      <c r="C1244" s="5">
        <v>45971.0</v>
      </c>
      <c r="D1244" s="5">
        <v>45971.0</v>
      </c>
      <c r="E1244" s="4" t="s">
        <v>4232</v>
      </c>
      <c r="F1244" s="9"/>
      <c r="G1244" s="11">
        <v>16532.0</v>
      </c>
      <c r="H1244" s="6"/>
      <c r="I1244" s="11">
        <v>83722.13</v>
      </c>
      <c r="J1244" s="2" t="s">
        <v>4233</v>
      </c>
      <c r="K1244" s="12" t="str">
        <f t="shared" si="162"/>
        <v>KN3817</v>
      </c>
      <c r="M1244" s="2" t="s">
        <v>114</v>
      </c>
      <c r="N1244" s="2" t="s">
        <v>169</v>
      </c>
      <c r="O1244" s="2">
        <v>1.10751038E8</v>
      </c>
      <c r="Q1244" s="8">
        <v>2025.0</v>
      </c>
      <c r="R1244" s="8" t="s">
        <v>3946</v>
      </c>
    </row>
    <row r="1245">
      <c r="A1245" s="4" t="s">
        <v>18</v>
      </c>
      <c r="B1245" s="2" t="s">
        <v>4234</v>
      </c>
      <c r="C1245" s="5">
        <v>45971.0</v>
      </c>
      <c r="D1245" s="5">
        <v>45971.0</v>
      </c>
      <c r="E1245" s="4" t="s">
        <v>4235</v>
      </c>
      <c r="F1245" s="9"/>
      <c r="G1245" s="11">
        <v>20047.0</v>
      </c>
      <c r="H1245" s="6"/>
      <c r="I1245" s="11">
        <v>63675.13</v>
      </c>
      <c r="J1245" s="2" t="s">
        <v>4236</v>
      </c>
      <c r="K1245" s="12" t="str">
        <f t="shared" si="162"/>
        <v>SC3567</v>
      </c>
      <c r="M1245" s="2" t="s">
        <v>114</v>
      </c>
      <c r="N1245" s="2" t="s">
        <v>169</v>
      </c>
      <c r="O1245" s="2">
        <v>1.10751038E8</v>
      </c>
      <c r="Q1245" s="8">
        <v>2025.0</v>
      </c>
      <c r="R1245" s="8" t="s">
        <v>3946</v>
      </c>
    </row>
    <row r="1246">
      <c r="A1246" s="4" t="s">
        <v>18</v>
      </c>
      <c r="B1246" s="2" t="s">
        <v>4237</v>
      </c>
      <c r="C1246" s="5">
        <v>45971.0</v>
      </c>
      <c r="D1246" s="5">
        <v>45971.0</v>
      </c>
      <c r="E1246" s="4" t="s">
        <v>4238</v>
      </c>
      <c r="F1246" s="9"/>
      <c r="G1246" s="11">
        <v>12665.0</v>
      </c>
      <c r="H1246" s="6"/>
      <c r="I1246" s="11">
        <v>51010.13</v>
      </c>
      <c r="J1246" s="2" t="s">
        <v>4239</v>
      </c>
      <c r="K1246" s="2" t="s">
        <v>113</v>
      </c>
      <c r="M1246" s="2" t="s">
        <v>114</v>
      </c>
      <c r="N1246" s="2" t="s">
        <v>169</v>
      </c>
      <c r="O1246" s="2">
        <v>1.10751038E8</v>
      </c>
      <c r="Q1246" s="8">
        <v>2025.0</v>
      </c>
      <c r="R1246" s="8" t="s">
        <v>3946</v>
      </c>
    </row>
    <row r="1247">
      <c r="A1247" s="4" t="s">
        <v>18</v>
      </c>
      <c r="B1247" s="2" t="s">
        <v>4240</v>
      </c>
      <c r="C1247" s="5">
        <v>45971.0</v>
      </c>
      <c r="D1247" s="5">
        <v>45971.0</v>
      </c>
      <c r="E1247" s="4" t="s">
        <v>4241</v>
      </c>
      <c r="F1247" s="9"/>
      <c r="G1247" s="6"/>
      <c r="H1247" s="11">
        <v>26271.0</v>
      </c>
      <c r="I1247" s="11">
        <v>77281.13</v>
      </c>
      <c r="K1247" s="2" t="s">
        <v>23</v>
      </c>
      <c r="M1247" s="2" t="s">
        <v>24</v>
      </c>
      <c r="N1247" s="2" t="s">
        <v>195</v>
      </c>
      <c r="O1247" s="2">
        <v>1.10751038E8</v>
      </c>
      <c r="Q1247" s="8">
        <v>2025.0</v>
      </c>
      <c r="R1247" s="8" t="s">
        <v>3946</v>
      </c>
    </row>
    <row r="1248">
      <c r="A1248" s="4" t="s">
        <v>18</v>
      </c>
      <c r="B1248" s="2" t="s">
        <v>4242</v>
      </c>
      <c r="C1248" s="5">
        <v>45971.0</v>
      </c>
      <c r="D1248" s="5">
        <v>45971.0</v>
      </c>
      <c r="E1248" s="4" t="s">
        <v>4243</v>
      </c>
      <c r="F1248" s="9"/>
      <c r="G1248" s="6"/>
      <c r="H1248" s="11">
        <v>11600.0</v>
      </c>
      <c r="I1248" s="11">
        <v>88881.13</v>
      </c>
      <c r="K1248" s="2" t="s">
        <v>23</v>
      </c>
      <c r="M1248" s="2" t="s">
        <v>24</v>
      </c>
      <c r="N1248" s="2" t="s">
        <v>195</v>
      </c>
      <c r="O1248" s="2">
        <v>1.10751038E8</v>
      </c>
      <c r="Q1248" s="8">
        <v>2025.0</v>
      </c>
      <c r="R1248" s="8" t="s">
        <v>3946</v>
      </c>
    </row>
    <row r="1249">
      <c r="A1249" s="4" t="s">
        <v>18</v>
      </c>
      <c r="B1249" s="2" t="s">
        <v>4244</v>
      </c>
      <c r="C1249" s="5">
        <v>45971.0</v>
      </c>
      <c r="D1249" s="5">
        <v>45971.0</v>
      </c>
      <c r="E1249" s="4" t="s">
        <v>4245</v>
      </c>
      <c r="F1249" s="9"/>
      <c r="G1249" s="6"/>
      <c r="H1249" s="11">
        <v>6324.0</v>
      </c>
      <c r="I1249" s="11">
        <v>95205.13</v>
      </c>
      <c r="K1249" s="2" t="s">
        <v>23</v>
      </c>
      <c r="M1249" s="2" t="s">
        <v>24</v>
      </c>
      <c r="N1249" s="2" t="s">
        <v>195</v>
      </c>
      <c r="O1249" s="2">
        <v>1.10751038E8</v>
      </c>
      <c r="Q1249" s="8">
        <v>2025.0</v>
      </c>
      <c r="R1249" s="8" t="s">
        <v>3946</v>
      </c>
    </row>
    <row r="1250">
      <c r="A1250" s="4" t="s">
        <v>18</v>
      </c>
      <c r="B1250" s="2" t="s">
        <v>4246</v>
      </c>
      <c r="C1250" s="5">
        <v>45971.0</v>
      </c>
      <c r="D1250" s="5">
        <v>45971.0</v>
      </c>
      <c r="E1250" s="4" t="s">
        <v>4247</v>
      </c>
      <c r="F1250" s="9"/>
      <c r="G1250" s="6"/>
      <c r="H1250" s="7">
        <v>174.0</v>
      </c>
      <c r="I1250" s="11">
        <v>95379.13</v>
      </c>
      <c r="K1250" s="12" t="str">
        <f t="shared" ref="K1250:K1252" si="163">RIGHT(E1250,6)</f>
        <v>SL1610</v>
      </c>
      <c r="L1250" s="2" t="s">
        <v>4248</v>
      </c>
      <c r="M1250" s="2" t="s">
        <v>24</v>
      </c>
      <c r="N1250" s="2" t="s">
        <v>60</v>
      </c>
      <c r="O1250" s="2">
        <v>1.10751038E8</v>
      </c>
      <c r="P1250" s="15"/>
      <c r="Q1250" s="8">
        <v>2025.0</v>
      </c>
      <c r="R1250" s="8" t="s">
        <v>3946</v>
      </c>
    </row>
    <row r="1251">
      <c r="A1251" s="4" t="s">
        <v>18</v>
      </c>
      <c r="B1251" s="2" t="s">
        <v>4249</v>
      </c>
      <c r="C1251" s="5">
        <v>45971.0</v>
      </c>
      <c r="D1251" s="5">
        <v>45971.0</v>
      </c>
      <c r="E1251" s="4" t="s">
        <v>4250</v>
      </c>
      <c r="F1251" s="9"/>
      <c r="G1251" s="6"/>
      <c r="H1251" s="7">
        <v>990.0</v>
      </c>
      <c r="I1251" s="11">
        <v>96369.13</v>
      </c>
      <c r="K1251" s="12" t="str">
        <f t="shared" si="163"/>
        <v>UN3668</v>
      </c>
      <c r="L1251" s="2" t="s">
        <v>4251</v>
      </c>
      <c r="M1251" s="2" t="s">
        <v>24</v>
      </c>
      <c r="N1251" s="2" t="s">
        <v>60</v>
      </c>
      <c r="O1251" s="2">
        <v>1.10751038E8</v>
      </c>
      <c r="Q1251" s="8">
        <v>2025.0</v>
      </c>
      <c r="R1251" s="8" t="s">
        <v>3946</v>
      </c>
    </row>
    <row r="1252">
      <c r="A1252" s="4" t="s">
        <v>18</v>
      </c>
      <c r="B1252" s="2" t="s">
        <v>4252</v>
      </c>
      <c r="C1252" s="5">
        <v>45971.0</v>
      </c>
      <c r="D1252" s="5">
        <v>45971.0</v>
      </c>
      <c r="E1252" s="4" t="s">
        <v>4253</v>
      </c>
      <c r="F1252" s="9"/>
      <c r="G1252" s="6"/>
      <c r="H1252" s="11">
        <v>1862.36</v>
      </c>
      <c r="I1252" s="11">
        <v>98231.49</v>
      </c>
      <c r="K1252" s="12" t="str">
        <f t="shared" si="163"/>
        <v>SC3567</v>
      </c>
      <c r="L1252" s="2" t="s">
        <v>4254</v>
      </c>
      <c r="M1252" s="2" t="s">
        <v>24</v>
      </c>
      <c r="N1252" s="2" t="s">
        <v>60</v>
      </c>
      <c r="O1252" s="2">
        <v>1.10751038E8</v>
      </c>
      <c r="P1252" s="15"/>
      <c r="Q1252" s="8">
        <v>2025.0</v>
      </c>
      <c r="R1252" s="8" t="s">
        <v>3946</v>
      </c>
    </row>
    <row r="1253">
      <c r="A1253" s="4" t="s">
        <v>18</v>
      </c>
      <c r="B1253" s="2" t="s">
        <v>4255</v>
      </c>
      <c r="C1253" s="5">
        <v>45971.0</v>
      </c>
      <c r="D1253" s="5">
        <v>45971.0</v>
      </c>
      <c r="E1253" s="4" t="s">
        <v>4256</v>
      </c>
      <c r="F1253" s="9"/>
      <c r="G1253" s="6"/>
      <c r="H1253" s="7">
        <v>396.0</v>
      </c>
      <c r="I1253" s="11">
        <v>98627.49</v>
      </c>
      <c r="K1253" s="2" t="s">
        <v>127</v>
      </c>
      <c r="L1253" s="2" t="s">
        <v>4257</v>
      </c>
      <c r="M1253" s="2" t="s">
        <v>24</v>
      </c>
      <c r="N1253" s="2" t="s">
        <v>60</v>
      </c>
      <c r="O1253" s="2">
        <v>1.10751038E8</v>
      </c>
      <c r="Q1253" s="8">
        <v>2025.0</v>
      </c>
      <c r="R1253" s="8" t="s">
        <v>3946</v>
      </c>
    </row>
    <row r="1254">
      <c r="A1254" s="4" t="s">
        <v>18</v>
      </c>
      <c r="B1254" s="2" t="s">
        <v>4258</v>
      </c>
      <c r="C1254" s="5">
        <v>45971.0</v>
      </c>
      <c r="D1254" s="5">
        <v>45971.0</v>
      </c>
      <c r="E1254" s="4" t="s">
        <v>4259</v>
      </c>
      <c r="F1254" s="9"/>
      <c r="G1254" s="6"/>
      <c r="H1254" s="11">
        <v>1312.0</v>
      </c>
      <c r="I1254" s="11">
        <v>99939.49</v>
      </c>
      <c r="K1254" s="12" t="str">
        <f t="shared" ref="K1254:K1256" si="164">RIGHT(E1254,6)</f>
        <v>SL1610</v>
      </c>
      <c r="L1254" s="2" t="s">
        <v>4260</v>
      </c>
      <c r="M1254" s="2" t="s">
        <v>24</v>
      </c>
      <c r="N1254" s="2" t="s">
        <v>60</v>
      </c>
      <c r="O1254" s="2">
        <v>1.10751038E8</v>
      </c>
      <c r="P1254" s="15"/>
      <c r="Q1254" s="8">
        <v>2025.0</v>
      </c>
      <c r="R1254" s="8" t="s">
        <v>3946</v>
      </c>
    </row>
    <row r="1255">
      <c r="A1255" s="4" t="s">
        <v>18</v>
      </c>
      <c r="B1255" s="2" t="s">
        <v>4261</v>
      </c>
      <c r="C1255" s="5">
        <v>45971.0</v>
      </c>
      <c r="D1255" s="5">
        <v>45971.0</v>
      </c>
      <c r="E1255" s="4" t="s">
        <v>4262</v>
      </c>
      <c r="F1255" s="9"/>
      <c r="G1255" s="6"/>
      <c r="H1255" s="7">
        <v>384.0</v>
      </c>
      <c r="I1255" s="7" t="s">
        <v>4263</v>
      </c>
      <c r="K1255" s="12" t="str">
        <f t="shared" si="164"/>
        <v>UN3668</v>
      </c>
      <c r="L1255" s="2" t="s">
        <v>4264</v>
      </c>
      <c r="M1255" s="2" t="s">
        <v>24</v>
      </c>
      <c r="N1255" s="2" t="s">
        <v>60</v>
      </c>
      <c r="O1255" s="2">
        <v>1.10751038E8</v>
      </c>
      <c r="Q1255" s="8">
        <v>2025.0</v>
      </c>
      <c r="R1255" s="8" t="s">
        <v>3946</v>
      </c>
    </row>
    <row r="1256">
      <c r="A1256" s="4" t="s">
        <v>18</v>
      </c>
      <c r="B1256" s="2" t="s">
        <v>4265</v>
      </c>
      <c r="C1256" s="5">
        <v>45971.0</v>
      </c>
      <c r="D1256" s="5">
        <v>45971.0</v>
      </c>
      <c r="E1256" s="4" t="s">
        <v>4266</v>
      </c>
      <c r="F1256" s="9"/>
      <c r="G1256" s="6"/>
      <c r="H1256" s="7">
        <v>400.0</v>
      </c>
      <c r="I1256" s="7" t="s">
        <v>4267</v>
      </c>
      <c r="K1256" s="12" t="str">
        <f t="shared" si="164"/>
        <v>UN3668</v>
      </c>
      <c r="L1256" s="2" t="s">
        <v>4268</v>
      </c>
      <c r="M1256" s="2" t="s">
        <v>24</v>
      </c>
      <c r="N1256" s="2" t="s">
        <v>60</v>
      </c>
      <c r="O1256" s="2">
        <v>1.10751038E8</v>
      </c>
      <c r="P1256" s="15"/>
      <c r="Q1256" s="8">
        <v>2025.0</v>
      </c>
      <c r="R1256" s="8" t="s">
        <v>3946</v>
      </c>
    </row>
    <row r="1257">
      <c r="A1257" s="4" t="s">
        <v>18</v>
      </c>
      <c r="B1257" s="2" t="s">
        <v>4269</v>
      </c>
      <c r="C1257" s="5">
        <v>45971.0</v>
      </c>
      <c r="D1257" s="5">
        <v>45971.0</v>
      </c>
      <c r="E1257" s="4" t="s">
        <v>4270</v>
      </c>
      <c r="F1257" s="9"/>
      <c r="G1257" s="6"/>
      <c r="H1257" s="11">
        <v>2000.0</v>
      </c>
      <c r="I1257" s="7" t="s">
        <v>4271</v>
      </c>
      <c r="K1257" s="2" t="s">
        <v>23</v>
      </c>
      <c r="M1257" s="2" t="s">
        <v>24</v>
      </c>
      <c r="N1257" s="2" t="s">
        <v>385</v>
      </c>
      <c r="O1257" s="2">
        <v>1.10751038E8</v>
      </c>
      <c r="Q1257" s="8">
        <v>2025.0</v>
      </c>
      <c r="R1257" s="8" t="s">
        <v>3946</v>
      </c>
    </row>
    <row r="1258">
      <c r="A1258" s="4" t="s">
        <v>18</v>
      </c>
      <c r="B1258" s="2" t="s">
        <v>4272</v>
      </c>
      <c r="C1258" s="5">
        <v>45971.0</v>
      </c>
      <c r="D1258" s="5">
        <v>45971.0</v>
      </c>
      <c r="E1258" s="4" t="s">
        <v>4273</v>
      </c>
      <c r="F1258" s="9"/>
      <c r="G1258" s="11">
        <v>6324.0</v>
      </c>
      <c r="H1258" s="6"/>
      <c r="I1258" s="11">
        <v>96399.49</v>
      </c>
      <c r="J1258" s="2" t="s">
        <v>4194</v>
      </c>
      <c r="K1258" s="2" t="s">
        <v>127</v>
      </c>
      <c r="M1258" s="2" t="s">
        <v>114</v>
      </c>
      <c r="N1258" s="2" t="s">
        <v>169</v>
      </c>
      <c r="O1258" s="2">
        <v>1.10751038E8</v>
      </c>
      <c r="Q1258" s="8">
        <v>2025.0</v>
      </c>
      <c r="R1258" s="8" t="s">
        <v>3946</v>
      </c>
    </row>
    <row r="1259">
      <c r="A1259" s="4" t="s">
        <v>18</v>
      </c>
      <c r="B1259" s="2" t="s">
        <v>4274</v>
      </c>
      <c r="C1259" s="5">
        <v>45971.0</v>
      </c>
      <c r="D1259" s="5">
        <v>45971.0</v>
      </c>
      <c r="E1259" s="4" t="s">
        <v>4275</v>
      </c>
      <c r="F1259" s="9"/>
      <c r="G1259" s="11">
        <v>26271.0</v>
      </c>
      <c r="H1259" s="6"/>
      <c r="I1259" s="11">
        <v>70128.49</v>
      </c>
      <c r="J1259" s="2" t="s">
        <v>4202</v>
      </c>
      <c r="K1259" s="2" t="s">
        <v>127</v>
      </c>
      <c r="M1259" s="2" t="s">
        <v>114</v>
      </c>
      <c r="N1259" s="2" t="s">
        <v>169</v>
      </c>
      <c r="O1259" s="2">
        <v>1.10751038E8</v>
      </c>
      <c r="Q1259" s="8">
        <v>2025.0</v>
      </c>
      <c r="R1259" s="8" t="s">
        <v>3946</v>
      </c>
    </row>
    <row r="1260">
      <c r="A1260" s="4" t="s">
        <v>18</v>
      </c>
      <c r="B1260" s="2" t="s">
        <v>4276</v>
      </c>
      <c r="C1260" s="5">
        <v>45971.0</v>
      </c>
      <c r="D1260" s="5">
        <v>45971.0</v>
      </c>
      <c r="E1260" s="4" t="s">
        <v>4277</v>
      </c>
      <c r="F1260" s="9"/>
      <c r="G1260" s="11">
        <v>11600.0</v>
      </c>
      <c r="H1260" s="6"/>
      <c r="I1260" s="11">
        <v>58528.49</v>
      </c>
      <c r="J1260" s="2" t="s">
        <v>4226</v>
      </c>
      <c r="K1260" s="2" t="s">
        <v>113</v>
      </c>
      <c r="M1260" s="2" t="s">
        <v>114</v>
      </c>
      <c r="N1260" s="2" t="s">
        <v>169</v>
      </c>
      <c r="O1260" s="2">
        <v>1.10751038E8</v>
      </c>
      <c r="Q1260" s="8">
        <v>2025.0</v>
      </c>
      <c r="R1260" s="8" t="s">
        <v>3946</v>
      </c>
    </row>
    <row r="1261">
      <c r="A1261" s="4" t="s">
        <v>18</v>
      </c>
      <c r="B1261" s="2" t="s">
        <v>4278</v>
      </c>
      <c r="C1261" s="5">
        <v>45971.0</v>
      </c>
      <c r="D1261" s="5">
        <v>45971.0</v>
      </c>
      <c r="E1261" s="4" t="s">
        <v>4279</v>
      </c>
      <c r="F1261" s="9"/>
      <c r="G1261" s="6"/>
      <c r="H1261" s="11">
        <v>1104.0</v>
      </c>
      <c r="I1261" s="11">
        <v>59632.49</v>
      </c>
      <c r="K1261" s="12" t="str">
        <f t="shared" ref="K1261:K1263" si="165">RIGHT(E1261,6)</f>
        <v>SC3567</v>
      </c>
      <c r="L1261" s="2" t="s">
        <v>4280</v>
      </c>
      <c r="M1261" s="2" t="s">
        <v>24</v>
      </c>
      <c r="N1261" s="2" t="s">
        <v>60</v>
      </c>
      <c r="O1261" s="2">
        <v>1.10751038E8</v>
      </c>
      <c r="P1261" s="15"/>
      <c r="Q1261" s="8">
        <v>2025.0</v>
      </c>
      <c r="R1261" s="8" t="s">
        <v>3946</v>
      </c>
    </row>
    <row r="1262">
      <c r="A1262" s="4" t="s">
        <v>18</v>
      </c>
      <c r="B1262" s="2" t="s">
        <v>4281</v>
      </c>
      <c r="C1262" s="5">
        <v>45971.0</v>
      </c>
      <c r="D1262" s="5">
        <v>45971.0</v>
      </c>
      <c r="E1262" s="4" t="s">
        <v>4282</v>
      </c>
      <c r="F1262" s="9"/>
      <c r="G1262" s="6"/>
      <c r="H1262" s="7">
        <v>649.0</v>
      </c>
      <c r="I1262" s="11">
        <v>60281.49</v>
      </c>
      <c r="K1262" s="12" t="str">
        <f t="shared" si="165"/>
        <v>SL1610</v>
      </c>
      <c r="L1262" s="2" t="s">
        <v>4283</v>
      </c>
      <c r="M1262" s="2" t="s">
        <v>24</v>
      </c>
      <c r="N1262" s="2" t="s">
        <v>60</v>
      </c>
      <c r="O1262" s="2">
        <v>1.10751038E8</v>
      </c>
      <c r="P1262" s="15"/>
      <c r="Q1262" s="8">
        <v>2025.0</v>
      </c>
      <c r="R1262" s="8" t="s">
        <v>3946</v>
      </c>
    </row>
    <row r="1263">
      <c r="A1263" s="4" t="s">
        <v>18</v>
      </c>
      <c r="B1263" s="2" t="s">
        <v>4284</v>
      </c>
      <c r="C1263" s="5">
        <v>45971.0</v>
      </c>
      <c r="D1263" s="5">
        <v>45971.0</v>
      </c>
      <c r="E1263" s="4" t="s">
        <v>4285</v>
      </c>
      <c r="F1263" s="9"/>
      <c r="G1263" s="6"/>
      <c r="H1263" s="7">
        <v>300.0</v>
      </c>
      <c r="I1263" s="11">
        <v>60581.49</v>
      </c>
      <c r="K1263" s="12" t="str">
        <f t="shared" si="165"/>
        <v>UN3668</v>
      </c>
      <c r="L1263" s="2" t="s">
        <v>4286</v>
      </c>
      <c r="M1263" s="2" t="s">
        <v>24</v>
      </c>
      <c r="N1263" s="2" t="s">
        <v>60</v>
      </c>
      <c r="O1263" s="2">
        <v>1.10751038E8</v>
      </c>
      <c r="P1263" s="15"/>
      <c r="Q1263" s="8">
        <v>2025.0</v>
      </c>
      <c r="R1263" s="8" t="s">
        <v>3946</v>
      </c>
    </row>
    <row r="1264">
      <c r="A1264" s="4" t="s">
        <v>18</v>
      </c>
      <c r="B1264" s="2" t="s">
        <v>4287</v>
      </c>
      <c r="C1264" s="5">
        <v>45971.0</v>
      </c>
      <c r="D1264" s="5">
        <v>45971.0</v>
      </c>
      <c r="E1264" s="4" t="s">
        <v>4288</v>
      </c>
      <c r="F1264" s="9"/>
      <c r="G1264" s="11">
        <v>1000.0</v>
      </c>
      <c r="H1264" s="6"/>
      <c r="I1264" s="11">
        <v>59581.49</v>
      </c>
      <c r="J1264" s="2" t="s">
        <v>4289</v>
      </c>
      <c r="K1264" s="2" t="s">
        <v>127</v>
      </c>
      <c r="M1264" s="2" t="s">
        <v>114</v>
      </c>
      <c r="N1264" s="2" t="s">
        <v>169</v>
      </c>
      <c r="O1264" s="2">
        <v>1.10751038E8</v>
      </c>
      <c r="Q1264" s="8">
        <v>2025.0</v>
      </c>
      <c r="R1264" s="8" t="s">
        <v>3946</v>
      </c>
    </row>
    <row r="1265">
      <c r="A1265" s="4" t="s">
        <v>18</v>
      </c>
      <c r="B1265" s="2" t="s">
        <v>4290</v>
      </c>
      <c r="C1265" s="5">
        <v>45971.0</v>
      </c>
      <c r="D1265" s="5">
        <v>45971.0</v>
      </c>
      <c r="E1265" s="4" t="s">
        <v>4291</v>
      </c>
      <c r="F1265" s="9"/>
      <c r="G1265" s="11">
        <v>1200.0</v>
      </c>
      <c r="H1265" s="6"/>
      <c r="I1265" s="11">
        <v>58381.49</v>
      </c>
      <c r="J1265" s="2" t="s">
        <v>4289</v>
      </c>
      <c r="K1265" s="2" t="s">
        <v>123</v>
      </c>
      <c r="M1265" s="2" t="s">
        <v>114</v>
      </c>
      <c r="N1265" s="2" t="s">
        <v>169</v>
      </c>
      <c r="O1265" s="2">
        <v>1.10751038E8</v>
      </c>
      <c r="Q1265" s="8">
        <v>2025.0</v>
      </c>
      <c r="R1265" s="8" t="s">
        <v>3946</v>
      </c>
    </row>
    <row r="1266">
      <c r="A1266" s="4" t="s">
        <v>18</v>
      </c>
      <c r="B1266" s="2" t="s">
        <v>4292</v>
      </c>
      <c r="C1266" s="5">
        <v>45971.0</v>
      </c>
      <c r="D1266" s="5">
        <v>45971.0</v>
      </c>
      <c r="E1266" s="4" t="s">
        <v>4293</v>
      </c>
      <c r="F1266" s="9"/>
      <c r="G1266" s="11">
        <v>1000.0</v>
      </c>
      <c r="H1266" s="6"/>
      <c r="I1266" s="11">
        <v>57381.49</v>
      </c>
      <c r="J1266" s="2" t="s">
        <v>4289</v>
      </c>
      <c r="K1266" s="2" t="s">
        <v>113</v>
      </c>
      <c r="M1266" s="2" t="s">
        <v>114</v>
      </c>
      <c r="N1266" s="2" t="s">
        <v>169</v>
      </c>
      <c r="O1266" s="2">
        <v>1.10751038E8</v>
      </c>
      <c r="Q1266" s="8">
        <v>2025.0</v>
      </c>
      <c r="R1266" s="8" t="s">
        <v>3946</v>
      </c>
    </row>
    <row r="1267">
      <c r="A1267" s="4" t="s">
        <v>18</v>
      </c>
      <c r="B1267" s="2" t="s">
        <v>4294</v>
      </c>
      <c r="C1267" s="5">
        <v>45971.0</v>
      </c>
      <c r="D1267" s="5">
        <v>45971.0</v>
      </c>
      <c r="E1267" s="4" t="s">
        <v>4295</v>
      </c>
      <c r="F1267" s="9"/>
      <c r="G1267" s="11">
        <v>1800.0</v>
      </c>
      <c r="H1267" s="6"/>
      <c r="I1267" s="11">
        <v>55581.49</v>
      </c>
      <c r="J1267" s="2" t="s">
        <v>4289</v>
      </c>
      <c r="K1267" s="2" t="s">
        <v>119</v>
      </c>
      <c r="M1267" s="2" t="s">
        <v>114</v>
      </c>
      <c r="N1267" s="2" t="s">
        <v>169</v>
      </c>
      <c r="O1267" s="2">
        <v>1.10751038E8</v>
      </c>
      <c r="Q1267" s="8">
        <v>2025.0</v>
      </c>
      <c r="R1267" s="8" t="s">
        <v>3946</v>
      </c>
    </row>
    <row r="1268">
      <c r="A1268" s="4" t="s">
        <v>18</v>
      </c>
      <c r="B1268" s="2" t="s">
        <v>4296</v>
      </c>
      <c r="C1268" s="5">
        <v>45971.0</v>
      </c>
      <c r="D1268" s="5">
        <v>45971.0</v>
      </c>
      <c r="E1268" s="4" t="s">
        <v>4297</v>
      </c>
      <c r="F1268" s="9"/>
      <c r="G1268" s="11">
        <v>10000.0</v>
      </c>
      <c r="H1268" s="6"/>
      <c r="I1268" s="11">
        <v>45581.49</v>
      </c>
      <c r="J1268" s="2" t="s">
        <v>4298</v>
      </c>
      <c r="K1268" s="2" t="s">
        <v>23</v>
      </c>
      <c r="M1268" s="2" t="s">
        <v>114</v>
      </c>
      <c r="N1268" s="2" t="s">
        <v>169</v>
      </c>
      <c r="O1268" s="2">
        <v>1.10751038E8</v>
      </c>
      <c r="Q1268" s="8">
        <v>2025.0</v>
      </c>
      <c r="R1268" s="8" t="s">
        <v>3946</v>
      </c>
    </row>
    <row r="1269">
      <c r="A1269" s="4" t="s">
        <v>18</v>
      </c>
      <c r="B1269" s="2" t="s">
        <v>4299</v>
      </c>
      <c r="C1269" s="5">
        <v>45972.0</v>
      </c>
      <c r="D1269" s="5">
        <v>45972.0</v>
      </c>
      <c r="E1269" s="4" t="s">
        <v>4300</v>
      </c>
      <c r="F1269" s="9"/>
      <c r="G1269" s="6"/>
      <c r="H1269" s="11">
        <v>8000.0</v>
      </c>
      <c r="I1269" s="11">
        <v>53581.49</v>
      </c>
      <c r="K1269" s="12" t="str">
        <f>RIGHT(E1269,6)</f>
        <v>UN3668</v>
      </c>
      <c r="L1269" s="2" t="s">
        <v>4301</v>
      </c>
      <c r="M1269" s="2" t="s">
        <v>24</v>
      </c>
      <c r="N1269" s="2" t="s">
        <v>60</v>
      </c>
      <c r="O1269" s="2">
        <v>1.10751038E8</v>
      </c>
      <c r="P1269" s="15"/>
      <c r="Q1269" s="8">
        <v>2025.0</v>
      </c>
      <c r="R1269" s="8" t="s">
        <v>3946</v>
      </c>
    </row>
    <row r="1270">
      <c r="A1270" s="4" t="s">
        <v>18</v>
      </c>
      <c r="B1270" s="2" t="s">
        <v>4302</v>
      </c>
      <c r="C1270" s="5">
        <v>45972.0</v>
      </c>
      <c r="D1270" s="5">
        <v>45972.0</v>
      </c>
      <c r="E1270" s="4" t="s">
        <v>4303</v>
      </c>
      <c r="F1270" s="9"/>
      <c r="G1270" s="6"/>
      <c r="H1270" s="11">
        <v>1203.0</v>
      </c>
      <c r="I1270" s="11">
        <v>54784.49</v>
      </c>
      <c r="K1270" s="2" t="s">
        <v>113</v>
      </c>
      <c r="L1270" s="2" t="s">
        <v>4304</v>
      </c>
      <c r="M1270" s="2" t="s">
        <v>24</v>
      </c>
      <c r="N1270" s="2" t="s">
        <v>60</v>
      </c>
      <c r="O1270" s="2">
        <v>1.10751038E8</v>
      </c>
      <c r="P1270" s="15"/>
      <c r="Q1270" s="8">
        <v>2025.0</v>
      </c>
      <c r="R1270" s="8" t="s">
        <v>3946</v>
      </c>
    </row>
    <row r="1271">
      <c r="A1271" s="4" t="s">
        <v>18</v>
      </c>
      <c r="B1271" s="2" t="s">
        <v>4305</v>
      </c>
      <c r="C1271" s="5">
        <v>45972.0</v>
      </c>
      <c r="D1271" s="5">
        <v>45972.0</v>
      </c>
      <c r="E1271" s="4" t="s">
        <v>4306</v>
      </c>
      <c r="F1271" s="9"/>
      <c r="G1271" s="7">
        <v>66.0</v>
      </c>
      <c r="H1271" s="6"/>
      <c r="I1271" s="11">
        <v>54718.49</v>
      </c>
      <c r="K1271" s="2" t="s">
        <v>113</v>
      </c>
      <c r="M1271" s="2" t="s">
        <v>114</v>
      </c>
      <c r="N1271" s="2" t="s">
        <v>1835</v>
      </c>
      <c r="O1271" s="2">
        <v>1.10751038E8</v>
      </c>
      <c r="Q1271" s="8">
        <v>2025.0</v>
      </c>
      <c r="R1271" s="8" t="s">
        <v>3946</v>
      </c>
    </row>
    <row r="1272">
      <c r="A1272" s="4" t="s">
        <v>18</v>
      </c>
      <c r="B1272" s="2" t="s">
        <v>4307</v>
      </c>
      <c r="C1272" s="5">
        <v>45972.0</v>
      </c>
      <c r="D1272" s="5">
        <v>45972.0</v>
      </c>
      <c r="E1272" s="4" t="s">
        <v>4308</v>
      </c>
      <c r="F1272" s="9"/>
      <c r="G1272" s="7">
        <v>63.0</v>
      </c>
      <c r="H1272" s="6"/>
      <c r="I1272" s="11">
        <v>54655.49</v>
      </c>
      <c r="K1272" s="2" t="s">
        <v>113</v>
      </c>
      <c r="M1272" s="2" t="s">
        <v>114</v>
      </c>
      <c r="N1272" s="2" t="s">
        <v>1835</v>
      </c>
      <c r="O1272" s="2">
        <v>1.10751038E8</v>
      </c>
      <c r="Q1272" s="8">
        <v>2025.0</v>
      </c>
      <c r="R1272" s="8" t="s">
        <v>3946</v>
      </c>
    </row>
    <row r="1273">
      <c r="A1273" s="4" t="s">
        <v>18</v>
      </c>
      <c r="B1273" s="2" t="s">
        <v>4309</v>
      </c>
      <c r="C1273" s="5">
        <v>45972.0</v>
      </c>
      <c r="D1273" s="5">
        <v>45972.0</v>
      </c>
      <c r="E1273" s="4" t="s">
        <v>4310</v>
      </c>
      <c r="F1273" s="9"/>
      <c r="G1273" s="6"/>
      <c r="H1273" s="11">
        <v>2000.0</v>
      </c>
      <c r="I1273" s="11">
        <v>56655.49</v>
      </c>
      <c r="K1273" s="12" t="str">
        <f>RIGHT(E1273,6)</f>
        <v>SL1610</v>
      </c>
      <c r="L1273" s="2" t="s">
        <v>4311</v>
      </c>
      <c r="M1273" s="2" t="s">
        <v>24</v>
      </c>
      <c r="N1273" s="2" t="s">
        <v>60</v>
      </c>
      <c r="O1273" s="2">
        <v>1.10751038E8</v>
      </c>
      <c r="P1273" s="15"/>
      <c r="Q1273" s="8">
        <v>2025.0</v>
      </c>
      <c r="R1273" s="8" t="s">
        <v>3946</v>
      </c>
    </row>
    <row r="1274">
      <c r="A1274" s="4" t="s">
        <v>18</v>
      </c>
      <c r="B1274" s="2" t="s">
        <v>4312</v>
      </c>
      <c r="C1274" s="5">
        <v>45972.0</v>
      </c>
      <c r="D1274" s="5">
        <v>45972.0</v>
      </c>
      <c r="E1274" s="4" t="s">
        <v>4313</v>
      </c>
      <c r="F1274" s="9"/>
      <c r="G1274" s="6"/>
      <c r="H1274" s="11">
        <v>1498.0</v>
      </c>
      <c r="I1274" s="11">
        <v>58153.49</v>
      </c>
      <c r="K1274" s="2" t="s">
        <v>113</v>
      </c>
      <c r="L1274" s="2" t="s">
        <v>4311</v>
      </c>
      <c r="M1274" s="2" t="s">
        <v>24</v>
      </c>
      <c r="N1274" s="2" t="s">
        <v>60</v>
      </c>
      <c r="O1274" s="2">
        <v>1.10751038E8</v>
      </c>
      <c r="P1274" s="15"/>
      <c r="Q1274" s="8">
        <v>2025.0</v>
      </c>
      <c r="R1274" s="8" t="s">
        <v>3946</v>
      </c>
    </row>
    <row r="1275">
      <c r="A1275" s="4" t="s">
        <v>18</v>
      </c>
      <c r="B1275" s="2" t="s">
        <v>4314</v>
      </c>
      <c r="C1275" s="5">
        <v>45972.0</v>
      </c>
      <c r="D1275" s="5">
        <v>45972.0</v>
      </c>
      <c r="E1275" s="4" t="s">
        <v>4315</v>
      </c>
      <c r="F1275" s="9"/>
      <c r="G1275" s="11">
        <v>1735.0</v>
      </c>
      <c r="H1275" s="6"/>
      <c r="I1275" s="11">
        <v>56418.49</v>
      </c>
      <c r="K1275" s="2" t="s">
        <v>113</v>
      </c>
      <c r="M1275" s="2" t="s">
        <v>114</v>
      </c>
      <c r="N1275" s="2" t="s">
        <v>478</v>
      </c>
      <c r="O1275" s="2">
        <v>1.10751038E8</v>
      </c>
      <c r="Q1275" s="8">
        <v>2025.0</v>
      </c>
      <c r="R1275" s="8" t="s">
        <v>3946</v>
      </c>
    </row>
    <row r="1276">
      <c r="A1276" s="4" t="s">
        <v>18</v>
      </c>
      <c r="B1276" s="2" t="s">
        <v>4316</v>
      </c>
      <c r="C1276" s="5">
        <v>45972.0</v>
      </c>
      <c r="D1276" s="5">
        <v>45972.0</v>
      </c>
      <c r="E1276" s="4" t="s">
        <v>4317</v>
      </c>
      <c r="F1276" s="9"/>
      <c r="G1276" s="11">
        <v>8581.0</v>
      </c>
      <c r="H1276" s="6"/>
      <c r="I1276" s="11">
        <v>47837.49</v>
      </c>
      <c r="K1276" s="2" t="s">
        <v>113</v>
      </c>
      <c r="M1276" s="2" t="s">
        <v>114</v>
      </c>
      <c r="N1276" s="2" t="s">
        <v>3715</v>
      </c>
      <c r="O1276" s="2">
        <v>1.10751038E8</v>
      </c>
      <c r="Q1276" s="8">
        <v>2025.0</v>
      </c>
      <c r="R1276" s="8" t="s">
        <v>3946</v>
      </c>
    </row>
    <row r="1277">
      <c r="A1277" s="4" t="s">
        <v>18</v>
      </c>
      <c r="B1277" s="2" t="s">
        <v>4318</v>
      </c>
      <c r="C1277" s="5">
        <v>45972.0</v>
      </c>
      <c r="D1277" s="5">
        <v>45972.0</v>
      </c>
      <c r="E1277" s="4" t="s">
        <v>4319</v>
      </c>
      <c r="F1277" s="9"/>
      <c r="G1277" s="6"/>
      <c r="H1277" s="7">
        <v>650.0</v>
      </c>
      <c r="I1277" s="11">
        <v>48487.49</v>
      </c>
      <c r="K1277" s="12" t="str">
        <f t="shared" ref="K1277:K1280" si="166">RIGHT(E1277,6)</f>
        <v>UN3668</v>
      </c>
      <c r="L1277" s="2" t="s">
        <v>4320</v>
      </c>
      <c r="M1277" s="2" t="s">
        <v>24</v>
      </c>
      <c r="N1277" s="2" t="s">
        <v>60</v>
      </c>
      <c r="O1277" s="2">
        <v>1.10751038E8</v>
      </c>
      <c r="P1277" s="15"/>
      <c r="Q1277" s="8">
        <v>2025.0</v>
      </c>
      <c r="R1277" s="8" t="s">
        <v>3946</v>
      </c>
    </row>
    <row r="1278">
      <c r="A1278" s="4" t="s">
        <v>18</v>
      </c>
      <c r="B1278" s="2" t="s">
        <v>4321</v>
      </c>
      <c r="C1278" s="5">
        <v>45972.0</v>
      </c>
      <c r="D1278" s="5">
        <v>45972.0</v>
      </c>
      <c r="E1278" s="4" t="s">
        <v>4322</v>
      </c>
      <c r="F1278" s="9"/>
      <c r="G1278" s="6"/>
      <c r="H1278" s="11">
        <v>7000.0</v>
      </c>
      <c r="I1278" s="11">
        <v>55487.49</v>
      </c>
      <c r="K1278" s="12" t="str">
        <f t="shared" si="166"/>
        <v>SC3567</v>
      </c>
      <c r="L1278" s="2" t="s">
        <v>619</v>
      </c>
      <c r="M1278" s="2" t="s">
        <v>24</v>
      </c>
      <c r="N1278" s="2" t="s">
        <v>60</v>
      </c>
      <c r="O1278" s="2">
        <v>1.10751038E8</v>
      </c>
      <c r="P1278" s="15"/>
      <c r="Q1278" s="8">
        <v>2025.0</v>
      </c>
      <c r="R1278" s="8" t="s">
        <v>3946</v>
      </c>
    </row>
    <row r="1279">
      <c r="A1279" s="4" t="s">
        <v>18</v>
      </c>
      <c r="B1279" s="2" t="s">
        <v>4323</v>
      </c>
      <c r="C1279" s="5">
        <v>45972.0</v>
      </c>
      <c r="D1279" s="5">
        <v>45972.0</v>
      </c>
      <c r="E1279" s="4" t="s">
        <v>4324</v>
      </c>
      <c r="F1279" s="9"/>
      <c r="G1279" s="6"/>
      <c r="H1279" s="11">
        <v>2291.0</v>
      </c>
      <c r="I1279" s="11">
        <v>57778.49</v>
      </c>
      <c r="K1279" s="12" t="str">
        <f t="shared" si="166"/>
        <v>SL1610</v>
      </c>
      <c r="L1279" s="2" t="s">
        <v>4325</v>
      </c>
      <c r="M1279" s="2" t="s">
        <v>24</v>
      </c>
      <c r="N1279" s="2" t="s">
        <v>60</v>
      </c>
      <c r="O1279" s="2">
        <v>1.10751038E8</v>
      </c>
      <c r="P1279" s="15"/>
      <c r="Q1279" s="8">
        <v>2025.0</v>
      </c>
      <c r="R1279" s="8" t="s">
        <v>3946</v>
      </c>
    </row>
    <row r="1280">
      <c r="A1280" s="4" t="s">
        <v>18</v>
      </c>
      <c r="B1280" s="2" t="s">
        <v>4326</v>
      </c>
      <c r="C1280" s="5">
        <v>45972.0</v>
      </c>
      <c r="D1280" s="5">
        <v>45972.0</v>
      </c>
      <c r="E1280" s="4" t="s">
        <v>4327</v>
      </c>
      <c r="F1280" s="9"/>
      <c r="G1280" s="6"/>
      <c r="H1280" s="7">
        <v>775.0</v>
      </c>
      <c r="I1280" s="11">
        <v>58553.49</v>
      </c>
      <c r="K1280" s="12" t="str">
        <f t="shared" si="166"/>
        <v>SC3567</v>
      </c>
      <c r="L1280" s="2" t="s">
        <v>4328</v>
      </c>
      <c r="M1280" s="2" t="s">
        <v>24</v>
      </c>
      <c r="N1280" s="2" t="s">
        <v>60</v>
      </c>
      <c r="O1280" s="2">
        <v>1.10751038E8</v>
      </c>
      <c r="P1280" s="15"/>
      <c r="Q1280" s="8">
        <v>2025.0</v>
      </c>
      <c r="R1280" s="8" t="s">
        <v>3946</v>
      </c>
    </row>
    <row r="1281">
      <c r="A1281" s="4" t="s">
        <v>18</v>
      </c>
      <c r="B1281" s="2" t="s">
        <v>4329</v>
      </c>
      <c r="C1281" s="5">
        <v>45972.0</v>
      </c>
      <c r="D1281" s="5">
        <v>45972.0</v>
      </c>
      <c r="E1281" s="4" t="s">
        <v>4330</v>
      </c>
      <c r="F1281" s="9"/>
      <c r="G1281" s="7">
        <v>162.0</v>
      </c>
      <c r="H1281" s="6"/>
      <c r="I1281" s="11">
        <v>58391.49</v>
      </c>
      <c r="K1281" s="2" t="s">
        <v>113</v>
      </c>
      <c r="M1281" s="2" t="s">
        <v>114</v>
      </c>
      <c r="N1281" s="2" t="s">
        <v>1835</v>
      </c>
      <c r="O1281" s="2">
        <v>1.10751038E8</v>
      </c>
      <c r="Q1281" s="8">
        <v>2025.0</v>
      </c>
      <c r="R1281" s="8" t="s">
        <v>3946</v>
      </c>
    </row>
    <row r="1282">
      <c r="A1282" s="4" t="s">
        <v>18</v>
      </c>
      <c r="B1282" s="2" t="s">
        <v>4331</v>
      </c>
      <c r="C1282" s="5">
        <v>45972.0</v>
      </c>
      <c r="D1282" s="5">
        <v>45972.0</v>
      </c>
      <c r="E1282" s="4" t="s">
        <v>4332</v>
      </c>
      <c r="F1282" s="9"/>
      <c r="G1282" s="6"/>
      <c r="H1282" s="11">
        <v>1000.0</v>
      </c>
      <c r="I1282" s="11">
        <v>59391.49</v>
      </c>
      <c r="K1282" s="12" t="str">
        <f>RIGHT(E1282,6)</f>
        <v>UN3668</v>
      </c>
      <c r="L1282" s="2" t="s">
        <v>4333</v>
      </c>
      <c r="M1282" s="2" t="s">
        <v>24</v>
      </c>
      <c r="N1282" s="2" t="s">
        <v>60</v>
      </c>
      <c r="O1282" s="2">
        <v>1.10751038E8</v>
      </c>
      <c r="P1282" s="15"/>
      <c r="Q1282" s="8">
        <v>2025.0</v>
      </c>
      <c r="R1282" s="8" t="s">
        <v>3946</v>
      </c>
    </row>
    <row r="1283">
      <c r="A1283" s="4" t="s">
        <v>18</v>
      </c>
      <c r="B1283" s="2" t="s">
        <v>4334</v>
      </c>
      <c r="C1283" s="5">
        <v>45973.0</v>
      </c>
      <c r="D1283" s="5">
        <v>45973.0</v>
      </c>
      <c r="E1283" s="4" t="s">
        <v>4335</v>
      </c>
      <c r="F1283" s="9"/>
      <c r="G1283" s="11">
        <v>1630.0</v>
      </c>
      <c r="H1283" s="6"/>
      <c r="I1283" s="11">
        <v>57761.49</v>
      </c>
      <c r="K1283" s="2" t="s">
        <v>123</v>
      </c>
      <c r="M1283" s="2" t="s">
        <v>114</v>
      </c>
      <c r="N1283" s="2" t="s">
        <v>1800</v>
      </c>
      <c r="O1283" s="2">
        <v>1.10751038E8</v>
      </c>
      <c r="Q1283" s="8">
        <v>2025.0</v>
      </c>
      <c r="R1283" s="8" t="s">
        <v>3946</v>
      </c>
    </row>
    <row r="1284">
      <c r="A1284" s="4" t="s">
        <v>18</v>
      </c>
      <c r="B1284" s="2" t="s">
        <v>4336</v>
      </c>
      <c r="C1284" s="5">
        <v>45973.0</v>
      </c>
      <c r="D1284" s="5">
        <v>45973.0</v>
      </c>
      <c r="E1284" s="4" t="s">
        <v>4337</v>
      </c>
      <c r="F1284" s="9"/>
      <c r="G1284" s="11">
        <v>1630.0</v>
      </c>
      <c r="H1284" s="6"/>
      <c r="I1284" s="11">
        <v>56131.49</v>
      </c>
      <c r="K1284" s="2" t="s">
        <v>123</v>
      </c>
      <c r="M1284" s="2" t="s">
        <v>114</v>
      </c>
      <c r="N1284" s="2" t="s">
        <v>1800</v>
      </c>
      <c r="O1284" s="2">
        <v>1.10751038E8</v>
      </c>
      <c r="Q1284" s="8">
        <v>2025.0</v>
      </c>
      <c r="R1284" s="8" t="s">
        <v>3946</v>
      </c>
    </row>
    <row r="1285">
      <c r="A1285" s="4" t="s">
        <v>18</v>
      </c>
      <c r="B1285" s="2" t="s">
        <v>4338</v>
      </c>
      <c r="C1285" s="5">
        <v>45973.0</v>
      </c>
      <c r="D1285" s="5">
        <v>45973.0</v>
      </c>
      <c r="E1285" s="4" t="s">
        <v>4339</v>
      </c>
      <c r="F1285" s="9"/>
      <c r="G1285" s="6"/>
      <c r="H1285" s="7">
        <v>414.0</v>
      </c>
      <c r="I1285" s="11">
        <v>56545.49</v>
      </c>
      <c r="K1285" s="12" t="str">
        <f t="shared" ref="K1285:K1290" si="167">RIGHT(E1285,6)</f>
        <v>SC3567</v>
      </c>
      <c r="L1285" s="2" t="s">
        <v>4340</v>
      </c>
      <c r="M1285" s="2" t="s">
        <v>24</v>
      </c>
      <c r="N1285" s="2" t="s">
        <v>60</v>
      </c>
      <c r="O1285" s="2">
        <v>1.10751038E8</v>
      </c>
      <c r="P1285" s="15"/>
      <c r="Q1285" s="8">
        <v>2025.0</v>
      </c>
      <c r="R1285" s="8" t="s">
        <v>3946</v>
      </c>
    </row>
    <row r="1286">
      <c r="A1286" s="4" t="s">
        <v>18</v>
      </c>
      <c r="B1286" s="2" t="s">
        <v>4341</v>
      </c>
      <c r="C1286" s="5">
        <v>45973.0</v>
      </c>
      <c r="D1286" s="5">
        <v>45973.0</v>
      </c>
      <c r="E1286" s="4" t="s">
        <v>4342</v>
      </c>
      <c r="F1286" s="9"/>
      <c r="G1286" s="6"/>
      <c r="H1286" s="7">
        <v>917.0</v>
      </c>
      <c r="I1286" s="11">
        <v>57462.49</v>
      </c>
      <c r="K1286" s="12" t="str">
        <f t="shared" si="167"/>
        <v>SL1610</v>
      </c>
      <c r="L1286" s="2" t="s">
        <v>4343</v>
      </c>
      <c r="M1286" s="2" t="s">
        <v>24</v>
      </c>
      <c r="N1286" s="2" t="s">
        <v>60</v>
      </c>
      <c r="O1286" s="2">
        <v>1.10751038E8</v>
      </c>
      <c r="P1286" s="15"/>
      <c r="Q1286" s="8">
        <v>2025.0</v>
      </c>
      <c r="R1286" s="8" t="s">
        <v>3946</v>
      </c>
    </row>
    <row r="1287">
      <c r="A1287" s="4" t="s">
        <v>18</v>
      </c>
      <c r="B1287" s="2" t="s">
        <v>4344</v>
      </c>
      <c r="C1287" s="5">
        <v>45973.0</v>
      </c>
      <c r="D1287" s="5">
        <v>45973.0</v>
      </c>
      <c r="E1287" s="4" t="s">
        <v>4345</v>
      </c>
      <c r="F1287" s="9"/>
      <c r="G1287" s="6"/>
      <c r="H1287" s="11">
        <v>3000.0</v>
      </c>
      <c r="I1287" s="11">
        <v>60462.49</v>
      </c>
      <c r="K1287" s="12" t="str">
        <f t="shared" si="167"/>
        <v>SL1610</v>
      </c>
      <c r="L1287" s="2" t="s">
        <v>4346</v>
      </c>
      <c r="M1287" s="2" t="s">
        <v>24</v>
      </c>
      <c r="N1287" s="2" t="s">
        <v>60</v>
      </c>
      <c r="O1287" s="2">
        <v>1.10751038E8</v>
      </c>
      <c r="P1287" s="15"/>
      <c r="Q1287" s="8">
        <v>2025.0</v>
      </c>
      <c r="R1287" s="8" t="s">
        <v>3946</v>
      </c>
    </row>
    <row r="1288">
      <c r="A1288" s="4" t="s">
        <v>18</v>
      </c>
      <c r="B1288" s="2" t="s">
        <v>4347</v>
      </c>
      <c r="C1288" s="5">
        <v>45973.0</v>
      </c>
      <c r="D1288" s="5">
        <v>45973.0</v>
      </c>
      <c r="E1288" s="4" t="s">
        <v>4348</v>
      </c>
      <c r="F1288" s="9"/>
      <c r="G1288" s="6"/>
      <c r="H1288" s="7">
        <v>792.0</v>
      </c>
      <c r="I1288" s="11">
        <v>61254.49</v>
      </c>
      <c r="K1288" s="12" t="str">
        <f t="shared" si="167"/>
        <v>UN3668</v>
      </c>
      <c r="L1288" s="2" t="s">
        <v>4349</v>
      </c>
      <c r="M1288" s="2" t="s">
        <v>24</v>
      </c>
      <c r="N1288" s="2" t="s">
        <v>60</v>
      </c>
      <c r="O1288" s="2">
        <v>1.10751038E8</v>
      </c>
      <c r="P1288" s="15"/>
      <c r="Q1288" s="8">
        <v>2025.0</v>
      </c>
      <c r="R1288" s="8" t="s">
        <v>3946</v>
      </c>
    </row>
    <row r="1289">
      <c r="A1289" s="4" t="s">
        <v>18</v>
      </c>
      <c r="B1289" s="2" t="s">
        <v>4350</v>
      </c>
      <c r="C1289" s="5">
        <v>45973.0</v>
      </c>
      <c r="D1289" s="5">
        <v>45973.0</v>
      </c>
      <c r="E1289" s="4" t="s">
        <v>4351</v>
      </c>
      <c r="F1289" s="9"/>
      <c r="G1289" s="6"/>
      <c r="H1289" s="7">
        <v>1.0</v>
      </c>
      <c r="I1289" s="11">
        <v>61255.49</v>
      </c>
      <c r="K1289" s="12" t="str">
        <f t="shared" si="167"/>
        <v>SL1610</v>
      </c>
      <c r="L1289" s="2" t="s">
        <v>4352</v>
      </c>
      <c r="M1289" s="2" t="s">
        <v>24</v>
      </c>
      <c r="N1289" s="2" t="s">
        <v>60</v>
      </c>
      <c r="O1289" s="2">
        <v>1.10751038E8</v>
      </c>
      <c r="P1289" s="15"/>
      <c r="Q1289" s="8">
        <v>2025.0</v>
      </c>
      <c r="R1289" s="8" t="s">
        <v>3946</v>
      </c>
    </row>
    <row r="1290">
      <c r="A1290" s="4" t="s">
        <v>18</v>
      </c>
      <c r="B1290" s="2" t="s">
        <v>4353</v>
      </c>
      <c r="C1290" s="5">
        <v>45973.0</v>
      </c>
      <c r="D1290" s="5">
        <v>45973.0</v>
      </c>
      <c r="E1290" s="4" t="s">
        <v>4354</v>
      </c>
      <c r="F1290" s="9"/>
      <c r="G1290" s="6"/>
      <c r="H1290" s="11">
        <v>1222.0</v>
      </c>
      <c r="I1290" s="11">
        <v>62477.49</v>
      </c>
      <c r="K1290" s="12" t="str">
        <f t="shared" si="167"/>
        <v>SL1610</v>
      </c>
      <c r="L1290" s="2" t="s">
        <v>4355</v>
      </c>
      <c r="M1290" s="2" t="s">
        <v>24</v>
      </c>
      <c r="N1290" s="2" t="s">
        <v>60</v>
      </c>
      <c r="O1290" s="2">
        <v>1.10751038E8</v>
      </c>
      <c r="P1290" s="15"/>
      <c r="Q1290" s="8">
        <v>2025.0</v>
      </c>
      <c r="R1290" s="8" t="s">
        <v>3946</v>
      </c>
    </row>
    <row r="1291">
      <c r="A1291" s="4" t="s">
        <v>18</v>
      </c>
      <c r="B1291" s="2" t="s">
        <v>4356</v>
      </c>
      <c r="C1291" s="5">
        <v>45973.0</v>
      </c>
      <c r="D1291" s="5">
        <v>45973.0</v>
      </c>
      <c r="E1291" s="4" t="s">
        <v>4357</v>
      </c>
      <c r="F1291" s="9"/>
      <c r="G1291" s="7">
        <v>840.0</v>
      </c>
      <c r="H1291" s="6"/>
      <c r="I1291" s="11">
        <v>61637.49</v>
      </c>
      <c r="K1291" s="2" t="s">
        <v>123</v>
      </c>
      <c r="M1291" s="2" t="s">
        <v>114</v>
      </c>
      <c r="N1291" s="2" t="s">
        <v>2739</v>
      </c>
      <c r="O1291" s="2">
        <v>1.10751038E8</v>
      </c>
      <c r="Q1291" s="8">
        <v>2025.0</v>
      </c>
      <c r="R1291" s="8" t="s">
        <v>3946</v>
      </c>
    </row>
    <row r="1292">
      <c r="A1292" s="4" t="s">
        <v>18</v>
      </c>
      <c r="B1292" s="2" t="s">
        <v>4358</v>
      </c>
      <c r="C1292" s="5">
        <v>45973.0</v>
      </c>
      <c r="D1292" s="5">
        <v>45973.0</v>
      </c>
      <c r="E1292" s="4" t="s">
        <v>4359</v>
      </c>
      <c r="F1292" s="9"/>
      <c r="G1292" s="6"/>
      <c r="H1292" s="7">
        <v>774.0</v>
      </c>
      <c r="I1292" s="11">
        <v>62411.49</v>
      </c>
      <c r="K1292" s="12" t="str">
        <f t="shared" ref="K1292:K1293" si="168">RIGHT(E1292,6)</f>
        <v>UN3668</v>
      </c>
      <c r="L1292" s="2" t="s">
        <v>4360</v>
      </c>
      <c r="M1292" s="2" t="s">
        <v>24</v>
      </c>
      <c r="N1292" s="2" t="s">
        <v>60</v>
      </c>
      <c r="O1292" s="2">
        <v>1.10751038E8</v>
      </c>
      <c r="P1292" s="15"/>
      <c r="Q1292" s="8">
        <v>2025.0</v>
      </c>
      <c r="R1292" s="8" t="s">
        <v>3946</v>
      </c>
    </row>
    <row r="1293">
      <c r="A1293" s="4" t="s">
        <v>18</v>
      </c>
      <c r="B1293" s="2" t="s">
        <v>4361</v>
      </c>
      <c r="C1293" s="5">
        <v>45973.0</v>
      </c>
      <c r="D1293" s="5">
        <v>45973.0</v>
      </c>
      <c r="E1293" s="4" t="s">
        <v>4362</v>
      </c>
      <c r="F1293" s="9"/>
      <c r="G1293" s="6"/>
      <c r="H1293" s="7">
        <v>384.0</v>
      </c>
      <c r="I1293" s="11">
        <v>62795.49</v>
      </c>
      <c r="K1293" s="12" t="str">
        <f t="shared" si="168"/>
        <v>UN3668</v>
      </c>
      <c r="L1293" s="2" t="s">
        <v>4363</v>
      </c>
      <c r="M1293" s="2" t="s">
        <v>24</v>
      </c>
      <c r="N1293" s="2" t="s">
        <v>60</v>
      </c>
      <c r="O1293" s="2">
        <v>1.10751038E8</v>
      </c>
      <c r="P1293" s="15"/>
      <c r="Q1293" s="8">
        <v>2025.0</v>
      </c>
      <c r="R1293" s="8" t="s">
        <v>3946</v>
      </c>
    </row>
    <row r="1294">
      <c r="A1294" s="4" t="s">
        <v>18</v>
      </c>
      <c r="B1294" s="2" t="s">
        <v>4364</v>
      </c>
      <c r="C1294" s="5">
        <v>45973.0</v>
      </c>
      <c r="D1294" s="5">
        <v>45973.0</v>
      </c>
      <c r="E1294" s="4" t="s">
        <v>4365</v>
      </c>
      <c r="F1294" s="9"/>
      <c r="G1294" s="7">
        <v>270.0</v>
      </c>
      <c r="H1294" s="6"/>
      <c r="I1294" s="11">
        <v>62525.49</v>
      </c>
      <c r="K1294" s="2" t="s">
        <v>119</v>
      </c>
      <c r="M1294" s="2" t="s">
        <v>114</v>
      </c>
      <c r="N1294" s="2" t="s">
        <v>4366</v>
      </c>
      <c r="O1294" s="2">
        <v>1.10751038E8</v>
      </c>
      <c r="Q1294" s="8">
        <v>2025.0</v>
      </c>
      <c r="R1294" s="8" t="s">
        <v>3946</v>
      </c>
    </row>
    <row r="1295">
      <c r="A1295" s="4" t="s">
        <v>18</v>
      </c>
      <c r="B1295" s="2" t="s">
        <v>4367</v>
      </c>
      <c r="C1295" s="5">
        <v>45973.0</v>
      </c>
      <c r="D1295" s="5">
        <v>45973.0</v>
      </c>
      <c r="E1295" s="4" t="s">
        <v>4368</v>
      </c>
      <c r="F1295" s="9"/>
      <c r="G1295" s="6"/>
      <c r="H1295" s="11">
        <v>1904.0</v>
      </c>
      <c r="I1295" s="11">
        <v>64429.49</v>
      </c>
      <c r="K1295" s="12" t="str">
        <f t="shared" ref="K1295:K1296" si="169">RIGHT(E1295,6)</f>
        <v>KN3817</v>
      </c>
      <c r="L1295" s="2" t="s">
        <v>4369</v>
      </c>
      <c r="M1295" s="2" t="s">
        <v>24</v>
      </c>
      <c r="N1295" s="2" t="s">
        <v>60</v>
      </c>
      <c r="O1295" s="2">
        <v>1.10751038E8</v>
      </c>
      <c r="P1295" s="15"/>
      <c r="Q1295" s="8">
        <v>2025.0</v>
      </c>
      <c r="R1295" s="8" t="s">
        <v>3946</v>
      </c>
    </row>
    <row r="1296">
      <c r="A1296" s="4" t="s">
        <v>18</v>
      </c>
      <c r="B1296" s="2" t="s">
        <v>4370</v>
      </c>
      <c r="C1296" s="5">
        <v>45973.0</v>
      </c>
      <c r="D1296" s="5">
        <v>45973.0</v>
      </c>
      <c r="E1296" s="4" t="s">
        <v>4371</v>
      </c>
      <c r="F1296" s="9"/>
      <c r="G1296" s="6"/>
      <c r="H1296" s="7">
        <v>356.0</v>
      </c>
      <c r="I1296" s="11">
        <v>64785.49</v>
      </c>
      <c r="K1296" s="12" t="str">
        <f t="shared" si="169"/>
        <v>UN3668</v>
      </c>
      <c r="L1296" s="2" t="s">
        <v>4372</v>
      </c>
      <c r="M1296" s="2" t="s">
        <v>24</v>
      </c>
      <c r="N1296" s="2" t="s">
        <v>60</v>
      </c>
      <c r="O1296" s="2">
        <v>1.10751038E8</v>
      </c>
      <c r="P1296" s="15"/>
      <c r="Q1296" s="8">
        <v>2025.0</v>
      </c>
      <c r="R1296" s="8" t="s">
        <v>3946</v>
      </c>
    </row>
    <row r="1297">
      <c r="A1297" s="4" t="s">
        <v>18</v>
      </c>
      <c r="B1297" s="2" t="s">
        <v>4373</v>
      </c>
      <c r="C1297" s="5">
        <v>45974.0</v>
      </c>
      <c r="D1297" s="5">
        <v>45974.0</v>
      </c>
      <c r="E1297" s="4" t="s">
        <v>4374</v>
      </c>
      <c r="F1297" s="9"/>
      <c r="G1297" s="11">
        <v>1000.0</v>
      </c>
      <c r="H1297" s="6"/>
      <c r="I1297" s="11">
        <v>63785.49</v>
      </c>
      <c r="K1297" s="2" t="s">
        <v>23</v>
      </c>
      <c r="M1297" s="2" t="s">
        <v>114</v>
      </c>
      <c r="N1297" s="2" t="s">
        <v>1363</v>
      </c>
      <c r="O1297" s="2">
        <v>1.10751038E8</v>
      </c>
      <c r="Q1297" s="8">
        <v>2025.0</v>
      </c>
      <c r="R1297" s="8" t="s">
        <v>3946</v>
      </c>
    </row>
    <row r="1298">
      <c r="A1298" s="4" t="s">
        <v>18</v>
      </c>
      <c r="B1298" s="2" t="s">
        <v>4375</v>
      </c>
      <c r="C1298" s="5">
        <v>45974.0</v>
      </c>
      <c r="D1298" s="5">
        <v>45974.0</v>
      </c>
      <c r="E1298" s="4" t="s">
        <v>4376</v>
      </c>
      <c r="F1298" s="9"/>
      <c r="G1298" s="7">
        <v>90.0</v>
      </c>
      <c r="H1298" s="6"/>
      <c r="I1298" s="11">
        <v>63695.49</v>
      </c>
      <c r="K1298" s="2" t="s">
        <v>23</v>
      </c>
      <c r="M1298" s="2" t="s">
        <v>114</v>
      </c>
      <c r="N1298" s="2" t="s">
        <v>1363</v>
      </c>
      <c r="O1298" s="2">
        <v>1.10751038E8</v>
      </c>
      <c r="Q1298" s="8">
        <v>2025.0</v>
      </c>
      <c r="R1298" s="8" t="s">
        <v>3946</v>
      </c>
    </row>
    <row r="1299">
      <c r="A1299" s="4" t="s">
        <v>18</v>
      </c>
      <c r="B1299" s="2" t="s">
        <v>4377</v>
      </c>
      <c r="C1299" s="5">
        <v>45974.0</v>
      </c>
      <c r="D1299" s="5">
        <v>45974.0</v>
      </c>
      <c r="E1299" s="4" t="s">
        <v>4378</v>
      </c>
      <c r="F1299" s="9"/>
      <c r="G1299" s="7">
        <v>90.0</v>
      </c>
      <c r="H1299" s="6"/>
      <c r="I1299" s="11">
        <v>63605.49</v>
      </c>
      <c r="K1299" s="2" t="s">
        <v>23</v>
      </c>
      <c r="M1299" s="2" t="s">
        <v>114</v>
      </c>
      <c r="N1299" s="2" t="s">
        <v>1363</v>
      </c>
      <c r="O1299" s="2">
        <v>1.10751038E8</v>
      </c>
      <c r="Q1299" s="8">
        <v>2025.0</v>
      </c>
      <c r="R1299" s="8" t="s">
        <v>3946</v>
      </c>
    </row>
    <row r="1300">
      <c r="A1300" s="4" t="s">
        <v>18</v>
      </c>
      <c r="B1300" s="2" t="s">
        <v>4379</v>
      </c>
      <c r="C1300" s="5">
        <v>45974.0</v>
      </c>
      <c r="D1300" s="5">
        <v>45974.0</v>
      </c>
      <c r="E1300" s="4" t="s">
        <v>4380</v>
      </c>
      <c r="F1300" s="9"/>
      <c r="G1300" s="11">
        <v>1630.0</v>
      </c>
      <c r="H1300" s="6"/>
      <c r="I1300" s="11">
        <v>61975.49</v>
      </c>
      <c r="K1300" s="2" t="s">
        <v>113</v>
      </c>
      <c r="M1300" s="2" t="s">
        <v>114</v>
      </c>
      <c r="N1300" s="2" t="s">
        <v>1800</v>
      </c>
      <c r="O1300" s="2">
        <v>1.10751038E8</v>
      </c>
      <c r="Q1300" s="8">
        <v>2025.0</v>
      </c>
      <c r="R1300" s="8" t="s">
        <v>3946</v>
      </c>
    </row>
    <row r="1301">
      <c r="A1301" s="4" t="s">
        <v>18</v>
      </c>
      <c r="B1301" s="2" t="s">
        <v>4381</v>
      </c>
      <c r="C1301" s="5">
        <v>45974.0</v>
      </c>
      <c r="D1301" s="5">
        <v>45974.0</v>
      </c>
      <c r="E1301" s="4" t="s">
        <v>4382</v>
      </c>
      <c r="F1301" s="9"/>
      <c r="G1301" s="6"/>
      <c r="H1301" s="7">
        <v>559.0</v>
      </c>
      <c r="I1301" s="11">
        <v>62534.49</v>
      </c>
      <c r="K1301" s="12" t="str">
        <f t="shared" ref="K1301:K1304" si="170">RIGHT(E1301,6)</f>
        <v>SL1610</v>
      </c>
      <c r="L1301" s="2" t="s">
        <v>4383</v>
      </c>
      <c r="M1301" s="2" t="s">
        <v>24</v>
      </c>
      <c r="N1301" s="2" t="s">
        <v>60</v>
      </c>
      <c r="O1301" s="2">
        <v>1.10751038E8</v>
      </c>
      <c r="P1301" s="15"/>
      <c r="Q1301" s="8">
        <v>2025.0</v>
      </c>
      <c r="R1301" s="8" t="s">
        <v>3946</v>
      </c>
    </row>
    <row r="1302">
      <c r="A1302" s="4" t="s">
        <v>18</v>
      </c>
      <c r="B1302" s="2" t="s">
        <v>4384</v>
      </c>
      <c r="C1302" s="5">
        <v>45974.0</v>
      </c>
      <c r="D1302" s="5">
        <v>45974.0</v>
      </c>
      <c r="E1302" s="4" t="s">
        <v>4385</v>
      </c>
      <c r="F1302" s="9"/>
      <c r="G1302" s="6"/>
      <c r="H1302" s="7">
        <v>180.0</v>
      </c>
      <c r="I1302" s="11">
        <v>62714.49</v>
      </c>
      <c r="K1302" s="12" t="str">
        <f t="shared" si="170"/>
        <v>UN3668</v>
      </c>
      <c r="L1302" s="2" t="s">
        <v>4386</v>
      </c>
      <c r="M1302" s="2" t="s">
        <v>24</v>
      </c>
      <c r="N1302" s="2" t="s">
        <v>60</v>
      </c>
      <c r="O1302" s="2">
        <v>1.10751038E8</v>
      </c>
      <c r="P1302" s="15"/>
      <c r="Q1302" s="8">
        <v>2025.0</v>
      </c>
      <c r="R1302" s="8" t="s">
        <v>3946</v>
      </c>
    </row>
    <row r="1303">
      <c r="A1303" s="4" t="s">
        <v>18</v>
      </c>
      <c r="B1303" s="2" t="s">
        <v>4387</v>
      </c>
      <c r="C1303" s="5">
        <v>45974.0</v>
      </c>
      <c r="D1303" s="5">
        <v>45974.0</v>
      </c>
      <c r="E1303" s="4" t="s">
        <v>4388</v>
      </c>
      <c r="F1303" s="9"/>
      <c r="G1303" s="6"/>
      <c r="H1303" s="7">
        <v>272.0</v>
      </c>
      <c r="I1303" s="11">
        <v>62986.49</v>
      </c>
      <c r="K1303" s="12" t="str">
        <f t="shared" si="170"/>
        <v>UN3668</v>
      </c>
      <c r="L1303" s="2" t="s">
        <v>4389</v>
      </c>
      <c r="M1303" s="2" t="s">
        <v>24</v>
      </c>
      <c r="N1303" s="2" t="s">
        <v>60</v>
      </c>
      <c r="O1303" s="2">
        <v>1.10751038E8</v>
      </c>
      <c r="P1303" s="15"/>
      <c r="Q1303" s="8">
        <v>2025.0</v>
      </c>
      <c r="R1303" s="8" t="s">
        <v>3946</v>
      </c>
    </row>
    <row r="1304">
      <c r="A1304" s="4" t="s">
        <v>18</v>
      </c>
      <c r="B1304" s="2" t="s">
        <v>4390</v>
      </c>
      <c r="C1304" s="5">
        <v>45974.0</v>
      </c>
      <c r="D1304" s="5">
        <v>45974.0</v>
      </c>
      <c r="E1304" s="4" t="s">
        <v>4391</v>
      </c>
      <c r="F1304" s="9"/>
      <c r="G1304" s="6"/>
      <c r="H1304" s="7">
        <v>620.0</v>
      </c>
      <c r="I1304" s="11">
        <v>63606.49</v>
      </c>
      <c r="K1304" s="12" t="str">
        <f t="shared" si="170"/>
        <v>UN3668</v>
      </c>
      <c r="L1304" s="2" t="s">
        <v>4392</v>
      </c>
      <c r="M1304" s="2" t="s">
        <v>24</v>
      </c>
      <c r="N1304" s="2" t="s">
        <v>60</v>
      </c>
      <c r="O1304" s="2">
        <v>1.10751038E8</v>
      </c>
      <c r="P1304" s="15"/>
      <c r="Q1304" s="8">
        <v>2025.0</v>
      </c>
      <c r="R1304" s="8" t="s">
        <v>3946</v>
      </c>
    </row>
    <row r="1305">
      <c r="A1305" s="4" t="s">
        <v>18</v>
      </c>
      <c r="B1305" s="2" t="s">
        <v>4393</v>
      </c>
      <c r="C1305" s="5">
        <v>45974.0</v>
      </c>
      <c r="D1305" s="5">
        <v>45974.0</v>
      </c>
      <c r="E1305" s="4" t="s">
        <v>4394</v>
      </c>
      <c r="F1305" s="9"/>
      <c r="G1305" s="6"/>
      <c r="H1305" s="7">
        <v>104.0</v>
      </c>
      <c r="I1305" s="11">
        <v>63710.49</v>
      </c>
      <c r="K1305" s="2" t="s">
        <v>539</v>
      </c>
      <c r="M1305" s="2" t="s">
        <v>24</v>
      </c>
      <c r="N1305" s="2" t="s">
        <v>60</v>
      </c>
      <c r="O1305" s="2">
        <v>1.10751038E8</v>
      </c>
      <c r="P1305" s="15" t="str">
        <f>IFERROR(__xludf.DUMMYFUNCTION("CONCATENATE(B1305,"", "", to_text(D1305),"", "", E1305,"", "", H1305)"),"TSV-11-0161, 13-Nov-2025, UPI/CR/531770617854/SUMANYU /HDFC/9873550/Sent us, 104")</f>
        <v>TSV-11-0161, 13-Nov-2025, UPI/CR/531770617854/SUMANYU /HDFC/9873550/Sent us, 104</v>
      </c>
      <c r="Q1305" s="8">
        <v>2025.0</v>
      </c>
      <c r="R1305" s="8" t="s">
        <v>3946</v>
      </c>
    </row>
    <row r="1306">
      <c r="A1306" s="4" t="s">
        <v>18</v>
      </c>
      <c r="B1306" s="2" t="s">
        <v>4395</v>
      </c>
      <c r="C1306" s="5">
        <v>45974.0</v>
      </c>
      <c r="D1306" s="5">
        <v>45974.0</v>
      </c>
      <c r="E1306" s="4" t="s">
        <v>4396</v>
      </c>
      <c r="F1306" s="9"/>
      <c r="G1306" s="6"/>
      <c r="H1306" s="7">
        <v>708.0</v>
      </c>
      <c r="I1306" s="11">
        <v>64418.49</v>
      </c>
      <c r="K1306" s="12" t="str">
        <f t="shared" ref="K1306:K1308" si="171">RIGHT(E1306,6)</f>
        <v>SL1610</v>
      </c>
      <c r="L1306" s="2" t="s">
        <v>4397</v>
      </c>
      <c r="M1306" s="2" t="s">
        <v>24</v>
      </c>
      <c r="N1306" s="2" t="s">
        <v>60</v>
      </c>
      <c r="O1306" s="2">
        <v>1.10751038E8</v>
      </c>
      <c r="P1306" s="15"/>
      <c r="Q1306" s="8">
        <v>2025.0</v>
      </c>
      <c r="R1306" s="8" t="s">
        <v>3946</v>
      </c>
    </row>
    <row r="1307">
      <c r="A1307" s="4" t="s">
        <v>18</v>
      </c>
      <c r="B1307" s="2" t="s">
        <v>4398</v>
      </c>
      <c r="C1307" s="5">
        <v>45974.0</v>
      </c>
      <c r="D1307" s="5">
        <v>45974.0</v>
      </c>
      <c r="E1307" s="4" t="s">
        <v>4399</v>
      </c>
      <c r="F1307" s="9"/>
      <c r="G1307" s="6"/>
      <c r="H1307" s="11">
        <v>1384.0</v>
      </c>
      <c r="I1307" s="11">
        <v>65802.49</v>
      </c>
      <c r="K1307" s="12" t="str">
        <f t="shared" si="171"/>
        <v>UN3668</v>
      </c>
      <c r="L1307" s="2" t="s">
        <v>4400</v>
      </c>
      <c r="M1307" s="2" t="s">
        <v>24</v>
      </c>
      <c r="N1307" s="2" t="s">
        <v>60</v>
      </c>
      <c r="O1307" s="2">
        <v>1.10751038E8</v>
      </c>
      <c r="P1307" s="15"/>
      <c r="Q1307" s="8">
        <v>2025.0</v>
      </c>
      <c r="R1307" s="8" t="s">
        <v>3946</v>
      </c>
    </row>
    <row r="1308">
      <c r="A1308" s="4" t="s">
        <v>18</v>
      </c>
      <c r="B1308" s="2" t="s">
        <v>4401</v>
      </c>
      <c r="C1308" s="5">
        <v>45974.0</v>
      </c>
      <c r="D1308" s="5">
        <v>45974.0</v>
      </c>
      <c r="E1308" s="4" t="s">
        <v>4402</v>
      </c>
      <c r="F1308" s="9"/>
      <c r="G1308" s="6"/>
      <c r="H1308" s="7">
        <v>752.0</v>
      </c>
      <c r="I1308" s="11">
        <v>66554.49</v>
      </c>
      <c r="K1308" s="12" t="str">
        <f t="shared" si="171"/>
        <v>UN3668</v>
      </c>
      <c r="L1308" s="2" t="s">
        <v>4403</v>
      </c>
      <c r="M1308" s="2" t="s">
        <v>24</v>
      </c>
      <c r="N1308" s="2" t="s">
        <v>60</v>
      </c>
      <c r="O1308" s="2">
        <v>1.10751038E8</v>
      </c>
      <c r="P1308" s="15"/>
      <c r="Q1308" s="8">
        <v>2025.0</v>
      </c>
      <c r="R1308" s="8" t="s">
        <v>3946</v>
      </c>
    </row>
    <row r="1309">
      <c r="A1309" s="4" t="s">
        <v>18</v>
      </c>
      <c r="B1309" s="2" t="s">
        <v>4404</v>
      </c>
      <c r="C1309" s="5">
        <v>45974.0</v>
      </c>
      <c r="D1309" s="5">
        <v>45974.0</v>
      </c>
      <c r="E1309" s="4" t="s">
        <v>4405</v>
      </c>
      <c r="F1309" s="9"/>
      <c r="G1309" s="7">
        <v>550.0</v>
      </c>
      <c r="H1309" s="6"/>
      <c r="I1309" s="11">
        <v>66004.49</v>
      </c>
      <c r="K1309" s="2" t="s">
        <v>123</v>
      </c>
      <c r="M1309" s="2" t="s">
        <v>114</v>
      </c>
      <c r="N1309" s="2" t="s">
        <v>1835</v>
      </c>
      <c r="O1309" s="2">
        <v>1.10751038E8</v>
      </c>
      <c r="Q1309" s="8">
        <v>2025.0</v>
      </c>
      <c r="R1309" s="8" t="s">
        <v>3946</v>
      </c>
    </row>
    <row r="1310">
      <c r="A1310" s="4" t="s">
        <v>18</v>
      </c>
      <c r="B1310" s="2" t="s">
        <v>4406</v>
      </c>
      <c r="C1310" s="5">
        <v>45974.0</v>
      </c>
      <c r="D1310" s="5">
        <v>45974.0</v>
      </c>
      <c r="E1310" s="4" t="s">
        <v>4407</v>
      </c>
      <c r="F1310" s="9"/>
      <c r="G1310" s="6"/>
      <c r="H1310" s="7">
        <v>517.0</v>
      </c>
      <c r="I1310" s="11">
        <v>66521.49</v>
      </c>
      <c r="K1310" s="12" t="str">
        <f t="shared" ref="K1310:K1315" si="172">RIGHT(E1310,6)</f>
        <v>SL1610</v>
      </c>
      <c r="L1310" s="2" t="s">
        <v>4408</v>
      </c>
      <c r="M1310" s="2" t="s">
        <v>24</v>
      </c>
      <c r="N1310" s="2" t="s">
        <v>60</v>
      </c>
      <c r="O1310" s="2">
        <v>1.10751038E8</v>
      </c>
      <c r="P1310" s="15"/>
      <c r="Q1310" s="8">
        <v>2025.0</v>
      </c>
      <c r="R1310" s="8" t="s">
        <v>3946</v>
      </c>
    </row>
    <row r="1311">
      <c r="A1311" s="4" t="s">
        <v>18</v>
      </c>
      <c r="B1311" s="2" t="s">
        <v>4409</v>
      </c>
      <c r="C1311" s="5">
        <v>45974.0</v>
      </c>
      <c r="D1311" s="5">
        <v>45974.0</v>
      </c>
      <c r="E1311" s="4" t="s">
        <v>4410</v>
      </c>
      <c r="F1311" s="9"/>
      <c r="G1311" s="6"/>
      <c r="H1311" s="7">
        <v>299.0</v>
      </c>
      <c r="I1311" s="11">
        <v>66820.49</v>
      </c>
      <c r="K1311" s="12" t="str">
        <f t="shared" si="172"/>
        <v>SC3567</v>
      </c>
      <c r="L1311" s="2" t="s">
        <v>4411</v>
      </c>
      <c r="M1311" s="2" t="s">
        <v>24</v>
      </c>
      <c r="N1311" s="2" t="s">
        <v>60</v>
      </c>
      <c r="O1311" s="2">
        <v>1.10751038E8</v>
      </c>
      <c r="P1311" s="15"/>
      <c r="Q1311" s="8">
        <v>2025.0</v>
      </c>
      <c r="R1311" s="8" t="s">
        <v>3946</v>
      </c>
    </row>
    <row r="1312">
      <c r="A1312" s="4" t="s">
        <v>18</v>
      </c>
      <c r="B1312" s="2" t="s">
        <v>4412</v>
      </c>
      <c r="C1312" s="5">
        <v>45974.0</v>
      </c>
      <c r="D1312" s="5">
        <v>45974.0</v>
      </c>
      <c r="E1312" s="4" t="s">
        <v>4413</v>
      </c>
      <c r="F1312" s="9"/>
      <c r="G1312" s="6"/>
      <c r="H1312" s="7">
        <v>752.0</v>
      </c>
      <c r="I1312" s="11">
        <v>67572.49</v>
      </c>
      <c r="K1312" s="12" t="str">
        <f t="shared" si="172"/>
        <v>UN3668</v>
      </c>
      <c r="L1312" s="2" t="s">
        <v>4414</v>
      </c>
      <c r="M1312" s="2" t="s">
        <v>24</v>
      </c>
      <c r="N1312" s="2" t="s">
        <v>60</v>
      </c>
      <c r="O1312" s="2">
        <v>1.10751038E8</v>
      </c>
      <c r="P1312" s="15"/>
      <c r="Q1312" s="8">
        <v>2025.0</v>
      </c>
      <c r="R1312" s="8" t="s">
        <v>3946</v>
      </c>
    </row>
    <row r="1313">
      <c r="A1313" s="4" t="s">
        <v>18</v>
      </c>
      <c r="B1313" s="2" t="s">
        <v>4415</v>
      </c>
      <c r="C1313" s="5">
        <v>45974.0</v>
      </c>
      <c r="D1313" s="5">
        <v>45974.0</v>
      </c>
      <c r="E1313" s="4" t="s">
        <v>4416</v>
      </c>
      <c r="F1313" s="9"/>
      <c r="G1313" s="6"/>
      <c r="H1313" s="7">
        <v>752.0</v>
      </c>
      <c r="I1313" s="11">
        <v>68324.49</v>
      </c>
      <c r="K1313" s="12" t="str">
        <f t="shared" si="172"/>
        <v>UN3668</v>
      </c>
      <c r="M1313" s="2" t="s">
        <v>24</v>
      </c>
      <c r="N1313" s="2" t="s">
        <v>60</v>
      </c>
      <c r="O1313" s="2">
        <v>1.10751038E8</v>
      </c>
      <c r="P1313" s="15" t="str">
        <f>IFERROR(__xludf.DUMMYFUNCTION("CONCATENATE(B1313,"", "", to_text(D1313),"", "", E1313,"", "", H1313)"),"TSV-11-0169, 13-Nov-2025, UPI/CR/392225329895/Harshita/SBIN/harshit/UN3668, 752")</f>
        <v>TSV-11-0169, 13-Nov-2025, UPI/CR/392225329895/Harshita/SBIN/harshit/UN3668, 752</v>
      </c>
      <c r="Q1313" s="8">
        <v>2025.0</v>
      </c>
      <c r="R1313" s="8" t="s">
        <v>3946</v>
      </c>
    </row>
    <row r="1314">
      <c r="A1314" s="4" t="s">
        <v>18</v>
      </c>
      <c r="B1314" s="2" t="s">
        <v>4417</v>
      </c>
      <c r="C1314" s="5">
        <v>45974.0</v>
      </c>
      <c r="D1314" s="5">
        <v>45974.0</v>
      </c>
      <c r="E1314" s="4" t="s">
        <v>4418</v>
      </c>
      <c r="F1314" s="9"/>
      <c r="G1314" s="6"/>
      <c r="H1314" s="11">
        <v>1152.0</v>
      </c>
      <c r="I1314" s="11">
        <v>69476.49</v>
      </c>
      <c r="K1314" s="12" t="str">
        <f t="shared" si="172"/>
        <v>UN3668</v>
      </c>
      <c r="L1314" s="2" t="s">
        <v>4419</v>
      </c>
      <c r="M1314" s="2" t="s">
        <v>24</v>
      </c>
      <c r="N1314" s="2" t="s">
        <v>60</v>
      </c>
      <c r="O1314" s="2">
        <v>1.10751038E8</v>
      </c>
      <c r="P1314" s="15"/>
      <c r="Q1314" s="8">
        <v>2025.0</v>
      </c>
      <c r="R1314" s="8" t="s">
        <v>3946</v>
      </c>
    </row>
    <row r="1315">
      <c r="A1315" s="4" t="s">
        <v>18</v>
      </c>
      <c r="B1315" s="2" t="s">
        <v>4420</v>
      </c>
      <c r="C1315" s="5">
        <v>45974.0</v>
      </c>
      <c r="D1315" s="5">
        <v>45974.0</v>
      </c>
      <c r="E1315" s="4" t="s">
        <v>4421</v>
      </c>
      <c r="F1315" s="9"/>
      <c r="G1315" s="6"/>
      <c r="H1315" s="7">
        <v>626.0</v>
      </c>
      <c r="I1315" s="11">
        <v>70102.49</v>
      </c>
      <c r="K1315" s="12" t="str">
        <f t="shared" si="172"/>
        <v>SC3567</v>
      </c>
      <c r="L1315" s="2" t="s">
        <v>4422</v>
      </c>
      <c r="M1315" s="2" t="s">
        <v>24</v>
      </c>
      <c r="N1315" s="2" t="s">
        <v>60</v>
      </c>
      <c r="O1315" s="2">
        <v>1.10751038E8</v>
      </c>
      <c r="P1315" s="15"/>
      <c r="Q1315" s="8">
        <v>2025.0</v>
      </c>
      <c r="R1315" s="8" t="s">
        <v>3946</v>
      </c>
    </row>
    <row r="1316">
      <c r="A1316" s="4" t="s">
        <v>18</v>
      </c>
      <c r="B1316" s="2" t="s">
        <v>4423</v>
      </c>
      <c r="C1316" s="5">
        <v>45974.0</v>
      </c>
      <c r="D1316" s="5">
        <v>45974.0</v>
      </c>
      <c r="E1316" s="4" t="s">
        <v>4424</v>
      </c>
      <c r="F1316" s="9"/>
      <c r="G1316" s="7">
        <v>700.0</v>
      </c>
      <c r="H1316" s="6"/>
      <c r="I1316" s="11">
        <v>69402.49</v>
      </c>
      <c r="K1316" s="2" t="s">
        <v>127</v>
      </c>
      <c r="M1316" s="2" t="s">
        <v>114</v>
      </c>
      <c r="N1316" s="2" t="s">
        <v>1835</v>
      </c>
      <c r="O1316" s="2">
        <v>1.10751038E8</v>
      </c>
      <c r="Q1316" s="8">
        <v>2025.0</v>
      </c>
      <c r="R1316" s="8" t="s">
        <v>3946</v>
      </c>
    </row>
    <row r="1317">
      <c r="A1317" s="4" t="s">
        <v>18</v>
      </c>
      <c r="B1317" s="2" t="s">
        <v>4425</v>
      </c>
      <c r="C1317" s="5">
        <v>45975.0</v>
      </c>
      <c r="D1317" s="5">
        <v>45975.0</v>
      </c>
      <c r="E1317" s="4" t="s">
        <v>4426</v>
      </c>
      <c r="F1317" s="9"/>
      <c r="G1317" s="6"/>
      <c r="H1317" s="7">
        <v>350.0</v>
      </c>
      <c r="I1317" s="11">
        <v>69752.49</v>
      </c>
      <c r="K1317" s="12" t="str">
        <f t="shared" ref="K1317:K1318" si="173">RIGHT(E1317,6)</f>
        <v>SL1610</v>
      </c>
      <c r="L1317" s="2" t="s">
        <v>4427</v>
      </c>
      <c r="M1317" s="2" t="s">
        <v>24</v>
      </c>
      <c r="N1317" s="2" t="s">
        <v>60</v>
      </c>
      <c r="O1317" s="2">
        <v>1.10751038E8</v>
      </c>
      <c r="P1317" s="15"/>
      <c r="Q1317" s="8">
        <v>2025.0</v>
      </c>
      <c r="R1317" s="8" t="s">
        <v>3946</v>
      </c>
    </row>
    <row r="1318">
      <c r="A1318" s="4" t="s">
        <v>18</v>
      </c>
      <c r="B1318" s="2" t="s">
        <v>4428</v>
      </c>
      <c r="C1318" s="5">
        <v>45975.0</v>
      </c>
      <c r="D1318" s="5">
        <v>45975.0</v>
      </c>
      <c r="E1318" s="4" t="s">
        <v>4429</v>
      </c>
      <c r="F1318" s="9"/>
      <c r="G1318" s="6"/>
      <c r="H1318" s="11">
        <v>1623.0</v>
      </c>
      <c r="I1318" s="11">
        <v>71375.49</v>
      </c>
      <c r="K1318" s="12" t="str">
        <f t="shared" si="173"/>
        <v>SL1610</v>
      </c>
      <c r="L1318" s="2" t="s">
        <v>4430</v>
      </c>
      <c r="M1318" s="2" t="s">
        <v>24</v>
      </c>
      <c r="N1318" s="2" t="s">
        <v>60</v>
      </c>
      <c r="O1318" s="2">
        <v>1.10751038E8</v>
      </c>
      <c r="P1318" s="15"/>
      <c r="Q1318" s="8">
        <v>2025.0</v>
      </c>
      <c r="R1318" s="8" t="s">
        <v>3946</v>
      </c>
    </row>
    <row r="1319">
      <c r="A1319" s="4" t="s">
        <v>18</v>
      </c>
      <c r="B1319" s="2" t="s">
        <v>4431</v>
      </c>
      <c r="C1319" s="5">
        <v>45975.0</v>
      </c>
      <c r="D1319" s="5">
        <v>45975.0</v>
      </c>
      <c r="E1319" s="4" t="s">
        <v>4432</v>
      </c>
      <c r="F1319" s="9"/>
      <c r="G1319" s="6"/>
      <c r="H1319" s="7">
        <v>495.0</v>
      </c>
      <c r="I1319" s="11">
        <v>71870.49</v>
      </c>
      <c r="K1319" s="2" t="s">
        <v>539</v>
      </c>
      <c r="M1319" s="2" t="s">
        <v>24</v>
      </c>
      <c r="N1319" s="2" t="s">
        <v>60</v>
      </c>
      <c r="O1319" s="2">
        <v>1.10751038E8</v>
      </c>
      <c r="P1319" s="15" t="str">
        <f>IFERROR(__xludf.DUMMYFUNCTION("CONCATENATE(B1319,"", "", to_text(D1319),"", "", E1319,"", "", H1319)"),"TSV-11-0175, 14-Nov-2025, UPI/CR/114137760626/DHIRENDR/KKBK/dhirend/PAY BY, 495")</f>
        <v>TSV-11-0175, 14-Nov-2025, UPI/CR/114137760626/DHIRENDR/KKBK/dhirend/PAY BY, 495</v>
      </c>
      <c r="Q1319" s="8">
        <v>2025.0</v>
      </c>
      <c r="R1319" s="8" t="s">
        <v>3946</v>
      </c>
    </row>
    <row r="1320">
      <c r="A1320" s="4" t="s">
        <v>18</v>
      </c>
      <c r="B1320" s="2" t="s">
        <v>4433</v>
      </c>
      <c r="C1320" s="5">
        <v>45975.0</v>
      </c>
      <c r="D1320" s="5">
        <v>45975.0</v>
      </c>
      <c r="E1320" s="4" t="s">
        <v>4434</v>
      </c>
      <c r="F1320" s="9"/>
      <c r="G1320" s="6"/>
      <c r="H1320" s="7">
        <v>990.0</v>
      </c>
      <c r="I1320" s="11">
        <v>72860.49</v>
      </c>
      <c r="K1320" s="12" t="str">
        <f t="shared" ref="K1320:K1331" si="174">RIGHT(E1320,6)</f>
        <v>UN3668</v>
      </c>
      <c r="L1320" s="2" t="s">
        <v>4435</v>
      </c>
      <c r="M1320" s="2" t="s">
        <v>24</v>
      </c>
      <c r="N1320" s="2" t="s">
        <v>60</v>
      </c>
      <c r="O1320" s="2">
        <v>1.10751038E8</v>
      </c>
      <c r="P1320" s="15"/>
      <c r="Q1320" s="8">
        <v>2025.0</v>
      </c>
      <c r="R1320" s="8" t="s">
        <v>3946</v>
      </c>
    </row>
    <row r="1321">
      <c r="A1321" s="4" t="s">
        <v>18</v>
      </c>
      <c r="B1321" s="2" t="s">
        <v>4436</v>
      </c>
      <c r="C1321" s="5">
        <v>45975.0</v>
      </c>
      <c r="D1321" s="5">
        <v>45975.0</v>
      </c>
      <c r="E1321" s="4" t="s">
        <v>4437</v>
      </c>
      <c r="F1321" s="9"/>
      <c r="G1321" s="6"/>
      <c r="H1321" s="7">
        <v>396.0</v>
      </c>
      <c r="I1321" s="11">
        <v>73256.49</v>
      </c>
      <c r="K1321" s="12" t="str">
        <f t="shared" si="174"/>
        <v>UN3668</v>
      </c>
      <c r="L1321" s="2" t="s">
        <v>4438</v>
      </c>
      <c r="M1321" s="2" t="s">
        <v>24</v>
      </c>
      <c r="N1321" s="2" t="s">
        <v>60</v>
      </c>
      <c r="O1321" s="2">
        <v>1.10751038E8</v>
      </c>
      <c r="P1321" s="15"/>
      <c r="Q1321" s="8">
        <v>2025.0</v>
      </c>
      <c r="R1321" s="8" t="s">
        <v>3946</v>
      </c>
    </row>
    <row r="1322">
      <c r="A1322" s="4" t="s">
        <v>18</v>
      </c>
      <c r="B1322" s="2" t="s">
        <v>4439</v>
      </c>
      <c r="C1322" s="5">
        <v>45975.0</v>
      </c>
      <c r="D1322" s="5">
        <v>45975.0</v>
      </c>
      <c r="E1322" s="4" t="s">
        <v>4440</v>
      </c>
      <c r="F1322" s="9"/>
      <c r="G1322" s="6"/>
      <c r="H1322" s="11">
        <v>1565.0</v>
      </c>
      <c r="I1322" s="11">
        <v>74821.49</v>
      </c>
      <c r="K1322" s="12" t="str">
        <f t="shared" si="174"/>
        <v>KN3817</v>
      </c>
      <c r="L1322" s="2" t="s">
        <v>4441</v>
      </c>
      <c r="M1322" s="2" t="s">
        <v>24</v>
      </c>
      <c r="N1322" s="2" t="s">
        <v>60</v>
      </c>
      <c r="O1322" s="2">
        <v>1.10751038E8</v>
      </c>
      <c r="P1322" s="15"/>
      <c r="Q1322" s="8">
        <v>2025.0</v>
      </c>
      <c r="R1322" s="8" t="s">
        <v>3946</v>
      </c>
    </row>
    <row r="1323">
      <c r="A1323" s="4" t="s">
        <v>18</v>
      </c>
      <c r="B1323" s="2" t="s">
        <v>4442</v>
      </c>
      <c r="C1323" s="5">
        <v>45975.0</v>
      </c>
      <c r="D1323" s="5">
        <v>45975.0</v>
      </c>
      <c r="E1323" s="4" t="s">
        <v>4443</v>
      </c>
      <c r="F1323" s="9"/>
      <c r="G1323" s="6"/>
      <c r="H1323" s="7">
        <v>300.0</v>
      </c>
      <c r="I1323" s="11">
        <v>75121.49</v>
      </c>
      <c r="K1323" s="12" t="str">
        <f t="shared" si="174"/>
        <v>UN3668</v>
      </c>
      <c r="L1323" s="2" t="s">
        <v>4444</v>
      </c>
      <c r="M1323" s="2" t="s">
        <v>24</v>
      </c>
      <c r="N1323" s="2" t="s">
        <v>60</v>
      </c>
      <c r="O1323" s="2">
        <v>1.10751038E8</v>
      </c>
      <c r="P1323" s="15"/>
      <c r="Q1323" s="8">
        <v>2025.0</v>
      </c>
      <c r="R1323" s="8" t="s">
        <v>3946</v>
      </c>
    </row>
    <row r="1324">
      <c r="A1324" s="4" t="s">
        <v>18</v>
      </c>
      <c r="B1324" s="2" t="s">
        <v>4445</v>
      </c>
      <c r="C1324" s="5">
        <v>45975.0</v>
      </c>
      <c r="D1324" s="5">
        <v>45975.0</v>
      </c>
      <c r="E1324" s="4" t="s">
        <v>4446</v>
      </c>
      <c r="F1324" s="9"/>
      <c r="G1324" s="6"/>
      <c r="H1324" s="7">
        <v>520.0</v>
      </c>
      <c r="I1324" s="11">
        <v>75641.49</v>
      </c>
      <c r="K1324" s="12" t="str">
        <f t="shared" si="174"/>
        <v>UN3668</v>
      </c>
      <c r="L1324" s="2" t="s">
        <v>4447</v>
      </c>
      <c r="M1324" s="2" t="s">
        <v>24</v>
      </c>
      <c r="N1324" s="2" t="s">
        <v>60</v>
      </c>
      <c r="O1324" s="2">
        <v>1.10751038E8</v>
      </c>
      <c r="P1324" s="15"/>
      <c r="Q1324" s="8">
        <v>2025.0</v>
      </c>
      <c r="R1324" s="8" t="s">
        <v>3946</v>
      </c>
    </row>
    <row r="1325">
      <c r="A1325" s="4" t="s">
        <v>18</v>
      </c>
      <c r="B1325" s="2" t="s">
        <v>4448</v>
      </c>
      <c r="C1325" s="5">
        <v>45975.0</v>
      </c>
      <c r="D1325" s="5">
        <v>45975.0</v>
      </c>
      <c r="E1325" s="4" t="s">
        <v>4449</v>
      </c>
      <c r="F1325" s="9"/>
      <c r="G1325" s="6"/>
      <c r="H1325" s="7">
        <v>960.0</v>
      </c>
      <c r="I1325" s="11">
        <v>76601.49</v>
      </c>
      <c r="K1325" s="12" t="str">
        <f t="shared" si="174"/>
        <v>KN3817</v>
      </c>
      <c r="L1325" s="2" t="s">
        <v>4450</v>
      </c>
      <c r="M1325" s="2" t="s">
        <v>24</v>
      </c>
      <c r="N1325" s="2" t="s">
        <v>60</v>
      </c>
      <c r="O1325" s="2">
        <v>1.10751038E8</v>
      </c>
      <c r="P1325" s="15"/>
      <c r="Q1325" s="8">
        <v>2025.0</v>
      </c>
      <c r="R1325" s="8" t="s">
        <v>3946</v>
      </c>
    </row>
    <row r="1326">
      <c r="A1326" s="4" t="s">
        <v>18</v>
      </c>
      <c r="B1326" s="2" t="s">
        <v>4451</v>
      </c>
      <c r="C1326" s="5">
        <v>45975.0</v>
      </c>
      <c r="D1326" s="5">
        <v>45975.0</v>
      </c>
      <c r="E1326" s="4" t="s">
        <v>4452</v>
      </c>
      <c r="F1326" s="9"/>
      <c r="G1326" s="6"/>
      <c r="H1326" s="7">
        <v>350.0</v>
      </c>
      <c r="I1326" s="11">
        <v>76951.49</v>
      </c>
      <c r="K1326" s="12" t="str">
        <f t="shared" si="174"/>
        <v>SL1610</v>
      </c>
      <c r="L1326" s="2" t="s">
        <v>4453</v>
      </c>
      <c r="M1326" s="2" t="s">
        <v>24</v>
      </c>
      <c r="N1326" s="2" t="s">
        <v>60</v>
      </c>
      <c r="O1326" s="2">
        <v>1.10751038E8</v>
      </c>
      <c r="P1326" s="15"/>
      <c r="Q1326" s="8">
        <v>2025.0</v>
      </c>
      <c r="R1326" s="8" t="s">
        <v>3946</v>
      </c>
    </row>
    <row r="1327">
      <c r="A1327" s="4" t="s">
        <v>18</v>
      </c>
      <c r="B1327" s="2" t="s">
        <v>4454</v>
      </c>
      <c r="C1327" s="5">
        <v>45975.0</v>
      </c>
      <c r="D1327" s="5">
        <v>45975.0</v>
      </c>
      <c r="E1327" s="4" t="s">
        <v>4455</v>
      </c>
      <c r="F1327" s="9"/>
      <c r="G1327" s="6"/>
      <c r="H1327" s="7">
        <v>188.0</v>
      </c>
      <c r="I1327" s="11">
        <v>77139.49</v>
      </c>
      <c r="K1327" s="12" t="str">
        <f t="shared" si="174"/>
        <v>UN3668</v>
      </c>
      <c r="L1327" s="2" t="s">
        <v>4456</v>
      </c>
      <c r="M1327" s="2" t="s">
        <v>24</v>
      </c>
      <c r="N1327" s="2" t="s">
        <v>60</v>
      </c>
      <c r="O1327" s="2">
        <v>1.10751038E8</v>
      </c>
      <c r="P1327" s="15"/>
      <c r="Q1327" s="8">
        <v>2025.0</v>
      </c>
      <c r="R1327" s="8" t="s">
        <v>3946</v>
      </c>
    </row>
    <row r="1328">
      <c r="A1328" s="4" t="s">
        <v>18</v>
      </c>
      <c r="B1328" s="2" t="s">
        <v>4457</v>
      </c>
      <c r="C1328" s="5">
        <v>45975.0</v>
      </c>
      <c r="D1328" s="5">
        <v>45975.0</v>
      </c>
      <c r="E1328" s="4" t="s">
        <v>4458</v>
      </c>
      <c r="F1328" s="9"/>
      <c r="G1328" s="6"/>
      <c r="H1328" s="7">
        <v>396.0</v>
      </c>
      <c r="I1328" s="11">
        <v>77535.49</v>
      </c>
      <c r="K1328" s="12" t="str">
        <f t="shared" si="174"/>
        <v>UN3668</v>
      </c>
      <c r="L1328" s="2" t="s">
        <v>4459</v>
      </c>
      <c r="M1328" s="2" t="s">
        <v>24</v>
      </c>
      <c r="N1328" s="2" t="s">
        <v>60</v>
      </c>
      <c r="O1328" s="2">
        <v>1.10751038E8</v>
      </c>
      <c r="P1328" s="15"/>
      <c r="Q1328" s="8">
        <v>2025.0</v>
      </c>
      <c r="R1328" s="8" t="s">
        <v>3946</v>
      </c>
    </row>
    <row r="1329">
      <c r="A1329" s="4" t="s">
        <v>18</v>
      </c>
      <c r="B1329" s="2" t="s">
        <v>4460</v>
      </c>
      <c r="C1329" s="5">
        <v>45975.0</v>
      </c>
      <c r="D1329" s="5">
        <v>45975.0</v>
      </c>
      <c r="E1329" s="4" t="s">
        <v>4461</v>
      </c>
      <c r="F1329" s="9"/>
      <c r="G1329" s="6"/>
      <c r="H1329" s="11">
        <v>2050.0</v>
      </c>
      <c r="I1329" s="11">
        <v>79585.49</v>
      </c>
      <c r="K1329" s="12" t="str">
        <f t="shared" si="174"/>
        <v>UN3668</v>
      </c>
      <c r="L1329" s="2" t="s">
        <v>4462</v>
      </c>
      <c r="M1329" s="2" t="s">
        <v>24</v>
      </c>
      <c r="N1329" s="2" t="s">
        <v>60</v>
      </c>
      <c r="O1329" s="2">
        <v>1.10751038E8</v>
      </c>
      <c r="P1329" s="15"/>
      <c r="Q1329" s="8">
        <v>2025.0</v>
      </c>
      <c r="R1329" s="8" t="s">
        <v>3946</v>
      </c>
    </row>
    <row r="1330">
      <c r="A1330" s="4" t="s">
        <v>18</v>
      </c>
      <c r="B1330" s="2" t="s">
        <v>4463</v>
      </c>
      <c r="C1330" s="5">
        <v>45975.0</v>
      </c>
      <c r="D1330" s="5">
        <v>45975.0</v>
      </c>
      <c r="E1330" s="4" t="s">
        <v>4464</v>
      </c>
      <c r="F1330" s="9"/>
      <c r="G1330" s="6"/>
      <c r="H1330" s="7">
        <v>396.0</v>
      </c>
      <c r="I1330" s="11">
        <v>79981.49</v>
      </c>
      <c r="K1330" s="12" t="str">
        <f t="shared" si="174"/>
        <v>UN3668</v>
      </c>
      <c r="L1330" s="2" t="s">
        <v>4465</v>
      </c>
      <c r="M1330" s="2" t="s">
        <v>24</v>
      </c>
      <c r="N1330" s="2" t="s">
        <v>60</v>
      </c>
      <c r="O1330" s="2">
        <v>1.10751038E8</v>
      </c>
      <c r="P1330" s="15"/>
      <c r="Q1330" s="8">
        <v>2025.0</v>
      </c>
      <c r="R1330" s="8" t="s">
        <v>3946</v>
      </c>
    </row>
    <row r="1331">
      <c r="A1331" s="4" t="s">
        <v>18</v>
      </c>
      <c r="B1331" s="2" t="s">
        <v>4466</v>
      </c>
      <c r="C1331" s="5">
        <v>45975.0</v>
      </c>
      <c r="D1331" s="5">
        <v>45975.0</v>
      </c>
      <c r="E1331" s="4" t="s">
        <v>4467</v>
      </c>
      <c r="F1331" s="9"/>
      <c r="G1331" s="6"/>
      <c r="H1331" s="7">
        <v>650.0</v>
      </c>
      <c r="I1331" s="11">
        <v>80631.49</v>
      </c>
      <c r="K1331" s="12" t="str">
        <f t="shared" si="174"/>
        <v>KN3817</v>
      </c>
      <c r="L1331" s="21" t="s">
        <v>4468</v>
      </c>
      <c r="M1331" s="2" t="s">
        <v>24</v>
      </c>
      <c r="N1331" s="2" t="s">
        <v>60</v>
      </c>
      <c r="O1331" s="2">
        <v>1.10751038E8</v>
      </c>
      <c r="P1331" s="15"/>
      <c r="Q1331" s="8">
        <v>2025.0</v>
      </c>
      <c r="R1331" s="8" t="s">
        <v>3946</v>
      </c>
    </row>
    <row r="1332">
      <c r="A1332" s="4" t="s">
        <v>18</v>
      </c>
      <c r="B1332" s="2" t="s">
        <v>4469</v>
      </c>
      <c r="C1332" s="5">
        <v>45976.0</v>
      </c>
      <c r="D1332" s="5">
        <v>45976.0</v>
      </c>
      <c r="E1332" s="4" t="s">
        <v>4470</v>
      </c>
      <c r="F1332" s="9"/>
      <c r="G1332" s="11">
        <v>3000.0</v>
      </c>
      <c r="H1332" s="6"/>
      <c r="I1332" s="11">
        <v>77631.49</v>
      </c>
      <c r="K1332" s="2" t="s">
        <v>23</v>
      </c>
      <c r="M1332" s="2" t="s">
        <v>114</v>
      </c>
      <c r="N1332" s="2" t="s">
        <v>1835</v>
      </c>
      <c r="O1332" s="2">
        <v>1.10751038E8</v>
      </c>
      <c r="Q1332" s="8">
        <v>2025.0</v>
      </c>
      <c r="R1332" s="8" t="s">
        <v>3946</v>
      </c>
    </row>
    <row r="1333">
      <c r="A1333" s="4" t="s">
        <v>18</v>
      </c>
      <c r="B1333" s="2" t="s">
        <v>4471</v>
      </c>
      <c r="C1333" s="5">
        <v>45976.0</v>
      </c>
      <c r="D1333" s="5">
        <v>45976.0</v>
      </c>
      <c r="E1333" s="4" t="s">
        <v>4472</v>
      </c>
      <c r="F1333" s="9"/>
      <c r="G1333" s="6"/>
      <c r="H1333" s="7">
        <v>485.0</v>
      </c>
      <c r="I1333" s="11">
        <v>78116.49</v>
      </c>
      <c r="K1333" s="12" t="str">
        <f t="shared" ref="K1333:K1342" si="175">RIGHT(E1333,6)</f>
        <v>SL1610</v>
      </c>
      <c r="L1333" s="2" t="s">
        <v>4473</v>
      </c>
      <c r="M1333" s="2" t="s">
        <v>24</v>
      </c>
      <c r="N1333" s="2" t="s">
        <v>60</v>
      </c>
      <c r="O1333" s="2">
        <v>1.10751038E8</v>
      </c>
      <c r="P1333" s="15"/>
      <c r="Q1333" s="8">
        <v>2025.0</v>
      </c>
      <c r="R1333" s="8" t="s">
        <v>3946</v>
      </c>
    </row>
    <row r="1334">
      <c r="A1334" s="4" t="s">
        <v>18</v>
      </c>
      <c r="B1334" s="2" t="s">
        <v>4474</v>
      </c>
      <c r="C1334" s="5">
        <v>45976.0</v>
      </c>
      <c r="D1334" s="5">
        <v>45976.0</v>
      </c>
      <c r="E1334" s="4" t="s">
        <v>4475</v>
      </c>
      <c r="F1334" s="9"/>
      <c r="G1334" s="6"/>
      <c r="H1334" s="7">
        <v>372.0</v>
      </c>
      <c r="I1334" s="11">
        <v>78488.49</v>
      </c>
      <c r="K1334" s="12" t="str">
        <f t="shared" si="175"/>
        <v>SC3567</v>
      </c>
      <c r="M1334" s="2" t="s">
        <v>24</v>
      </c>
      <c r="N1334" s="2" t="s">
        <v>60</v>
      </c>
      <c r="O1334" s="2">
        <v>1.10751038E8</v>
      </c>
      <c r="P1334" s="15" t="str">
        <f>IFERROR(__xludf.DUMMYFUNCTION("CONCATENATE(B1334,"", "", to_text(D1334),"", "", E1334,"", "", H1334)"),"TSV-11-0190, 15-Nov-2025, UPI/CR/531903472756/SUDERSHA/SBIN/9911595/SC3567, 372")</f>
        <v>TSV-11-0190, 15-Nov-2025, UPI/CR/531903472756/SUDERSHA/SBIN/9911595/SC3567, 372</v>
      </c>
      <c r="Q1334" s="8">
        <v>2025.0</v>
      </c>
      <c r="R1334" s="8" t="s">
        <v>3946</v>
      </c>
    </row>
    <row r="1335">
      <c r="A1335" s="4" t="s">
        <v>18</v>
      </c>
      <c r="B1335" s="2" t="s">
        <v>4476</v>
      </c>
      <c r="C1335" s="5">
        <v>45976.0</v>
      </c>
      <c r="D1335" s="5">
        <v>45976.0</v>
      </c>
      <c r="E1335" s="4" t="s">
        <v>4477</v>
      </c>
      <c r="F1335" s="9"/>
      <c r="G1335" s="6"/>
      <c r="H1335" s="7">
        <v>752.0</v>
      </c>
      <c r="I1335" s="11">
        <v>79240.49</v>
      </c>
      <c r="K1335" s="12" t="str">
        <f t="shared" si="175"/>
        <v>UN3668</v>
      </c>
      <c r="L1335" s="2" t="s">
        <v>4478</v>
      </c>
      <c r="M1335" s="2" t="s">
        <v>24</v>
      </c>
      <c r="N1335" s="2" t="s">
        <v>60</v>
      </c>
      <c r="O1335" s="2">
        <v>1.10751038E8</v>
      </c>
      <c r="P1335" s="15"/>
      <c r="Q1335" s="8">
        <v>2025.0</v>
      </c>
      <c r="R1335" s="8" t="s">
        <v>3946</v>
      </c>
    </row>
    <row r="1336">
      <c r="A1336" s="4" t="s">
        <v>18</v>
      </c>
      <c r="B1336" s="2" t="s">
        <v>4479</v>
      </c>
      <c r="C1336" s="5">
        <v>45976.0</v>
      </c>
      <c r="D1336" s="5">
        <v>45976.0</v>
      </c>
      <c r="E1336" s="4" t="s">
        <v>4480</v>
      </c>
      <c r="F1336" s="9"/>
      <c r="G1336" s="6"/>
      <c r="H1336" s="7">
        <v>900.0</v>
      </c>
      <c r="I1336" s="11">
        <v>80140.49</v>
      </c>
      <c r="K1336" s="12" t="str">
        <f t="shared" si="175"/>
        <v>SC3567</v>
      </c>
      <c r="M1336" s="2" t="s">
        <v>24</v>
      </c>
      <c r="N1336" s="2" t="s">
        <v>60</v>
      </c>
      <c r="O1336" s="2">
        <v>1.10751038E8</v>
      </c>
      <c r="P1336" s="15" t="str">
        <f>IFERROR(__xludf.DUMMYFUNCTION("CONCATENATE(B1336,"", "", to_text(D1336),"", "", E1336,"", "", H1336)"),"TSV-11-0192, 15-Nov-2025, UPI/CR/531955281368/NARENDRA/SBIN/8130726/SC3567, 900")</f>
        <v>TSV-11-0192, 15-Nov-2025, UPI/CR/531955281368/NARENDRA/SBIN/8130726/SC3567, 900</v>
      </c>
      <c r="Q1336" s="8">
        <v>2025.0</v>
      </c>
      <c r="R1336" s="8" t="s">
        <v>3946</v>
      </c>
    </row>
    <row r="1337">
      <c r="A1337" s="4" t="s">
        <v>18</v>
      </c>
      <c r="B1337" s="2" t="s">
        <v>4481</v>
      </c>
      <c r="C1337" s="5">
        <v>45976.0</v>
      </c>
      <c r="D1337" s="5">
        <v>45976.0</v>
      </c>
      <c r="E1337" s="4" t="s">
        <v>4482</v>
      </c>
      <c r="F1337" s="9"/>
      <c r="G1337" s="6"/>
      <c r="H1337" s="7">
        <v>376.0</v>
      </c>
      <c r="I1337" s="11">
        <v>80516.49</v>
      </c>
      <c r="K1337" s="12" t="str">
        <f t="shared" si="175"/>
        <v>UN3668</v>
      </c>
      <c r="L1337" s="2" t="s">
        <v>4483</v>
      </c>
      <c r="M1337" s="2" t="s">
        <v>24</v>
      </c>
      <c r="N1337" s="2" t="s">
        <v>60</v>
      </c>
      <c r="O1337" s="2">
        <v>1.10751038E8</v>
      </c>
      <c r="P1337" s="15"/>
      <c r="Q1337" s="8">
        <v>2025.0</v>
      </c>
      <c r="R1337" s="8" t="s">
        <v>3946</v>
      </c>
    </row>
    <row r="1338">
      <c r="A1338" s="4" t="s">
        <v>18</v>
      </c>
      <c r="B1338" s="2" t="s">
        <v>4484</v>
      </c>
      <c r="C1338" s="5">
        <v>45976.0</v>
      </c>
      <c r="D1338" s="5">
        <v>45976.0</v>
      </c>
      <c r="E1338" s="4" t="s">
        <v>4485</v>
      </c>
      <c r="F1338" s="9"/>
      <c r="G1338" s="6"/>
      <c r="H1338" s="7">
        <v>550.0</v>
      </c>
      <c r="I1338" s="11">
        <v>81066.49</v>
      </c>
      <c r="K1338" s="12" t="str">
        <f t="shared" si="175"/>
        <v>KN3817</v>
      </c>
      <c r="L1338" s="2" t="s">
        <v>1560</v>
      </c>
      <c r="M1338" s="2" t="s">
        <v>24</v>
      </c>
      <c r="N1338" s="2" t="s">
        <v>60</v>
      </c>
      <c r="O1338" s="2">
        <v>1.10751038E8</v>
      </c>
      <c r="P1338" s="15"/>
      <c r="Q1338" s="8">
        <v>2025.0</v>
      </c>
      <c r="R1338" s="8" t="s">
        <v>3946</v>
      </c>
    </row>
    <row r="1339">
      <c r="A1339" s="4" t="s">
        <v>18</v>
      </c>
      <c r="B1339" s="2" t="s">
        <v>4486</v>
      </c>
      <c r="C1339" s="5">
        <v>45976.0</v>
      </c>
      <c r="D1339" s="5">
        <v>45976.0</v>
      </c>
      <c r="E1339" s="4" t="s">
        <v>4487</v>
      </c>
      <c r="F1339" s="9"/>
      <c r="G1339" s="6"/>
      <c r="H1339" s="7">
        <v>850.0</v>
      </c>
      <c r="I1339" s="11">
        <v>81916.49</v>
      </c>
      <c r="K1339" s="12" t="str">
        <f t="shared" si="175"/>
        <v>SC3567</v>
      </c>
      <c r="L1339" s="2" t="s">
        <v>4488</v>
      </c>
      <c r="M1339" s="2" t="s">
        <v>24</v>
      </c>
      <c r="N1339" s="2" t="s">
        <v>60</v>
      </c>
      <c r="O1339" s="2">
        <v>1.10751038E8</v>
      </c>
      <c r="P1339" s="15"/>
      <c r="Q1339" s="8">
        <v>2025.0</v>
      </c>
      <c r="R1339" s="8" t="s">
        <v>3946</v>
      </c>
    </row>
    <row r="1340">
      <c r="A1340" s="4" t="s">
        <v>18</v>
      </c>
      <c r="B1340" s="2" t="s">
        <v>4489</v>
      </c>
      <c r="C1340" s="5">
        <v>45976.0</v>
      </c>
      <c r="D1340" s="5">
        <v>45976.0</v>
      </c>
      <c r="E1340" s="4" t="s">
        <v>4490</v>
      </c>
      <c r="F1340" s="9"/>
      <c r="G1340" s="6"/>
      <c r="H1340" s="7">
        <v>480.0</v>
      </c>
      <c r="I1340" s="11">
        <v>82396.49</v>
      </c>
      <c r="K1340" s="12" t="str">
        <f t="shared" si="175"/>
        <v>KN3817</v>
      </c>
      <c r="L1340" s="2" t="s">
        <v>4491</v>
      </c>
      <c r="M1340" s="2" t="s">
        <v>24</v>
      </c>
      <c r="N1340" s="2" t="s">
        <v>60</v>
      </c>
      <c r="O1340" s="2">
        <v>1.10751038E8</v>
      </c>
      <c r="P1340" s="15"/>
      <c r="Q1340" s="8">
        <v>2025.0</v>
      </c>
      <c r="R1340" s="8" t="s">
        <v>3946</v>
      </c>
    </row>
    <row r="1341">
      <c r="A1341" s="4" t="s">
        <v>18</v>
      </c>
      <c r="B1341" s="2" t="s">
        <v>4492</v>
      </c>
      <c r="C1341" s="5">
        <v>45976.0</v>
      </c>
      <c r="D1341" s="5">
        <v>45976.0</v>
      </c>
      <c r="E1341" s="4" t="s">
        <v>4493</v>
      </c>
      <c r="F1341" s="9"/>
      <c r="G1341" s="6"/>
      <c r="H1341" s="7">
        <v>413.0</v>
      </c>
      <c r="I1341" s="11">
        <v>82809.49</v>
      </c>
      <c r="K1341" s="12" t="str">
        <f t="shared" si="175"/>
        <v>SC3567</v>
      </c>
      <c r="L1341" s="2" t="s">
        <v>4494</v>
      </c>
      <c r="M1341" s="2" t="s">
        <v>24</v>
      </c>
      <c r="N1341" s="2" t="s">
        <v>60</v>
      </c>
      <c r="O1341" s="2">
        <v>1.10751038E8</v>
      </c>
      <c r="P1341" s="15"/>
      <c r="Q1341" s="8">
        <v>2025.0</v>
      </c>
      <c r="R1341" s="8" t="s">
        <v>3946</v>
      </c>
    </row>
    <row r="1342">
      <c r="A1342" s="4" t="s">
        <v>18</v>
      </c>
      <c r="B1342" s="2" t="s">
        <v>4495</v>
      </c>
      <c r="C1342" s="5">
        <v>45976.0</v>
      </c>
      <c r="D1342" s="5">
        <v>45976.0</v>
      </c>
      <c r="E1342" s="4" t="s">
        <v>4496</v>
      </c>
      <c r="F1342" s="9"/>
      <c r="G1342" s="6"/>
      <c r="H1342" s="11">
        <v>1332.0</v>
      </c>
      <c r="I1342" s="11">
        <v>84141.49</v>
      </c>
      <c r="K1342" s="12" t="str">
        <f t="shared" si="175"/>
        <v>SC3567</v>
      </c>
      <c r="L1342" s="2" t="s">
        <v>4497</v>
      </c>
      <c r="M1342" s="2" t="s">
        <v>24</v>
      </c>
      <c r="N1342" s="2" t="s">
        <v>60</v>
      </c>
      <c r="O1342" s="2">
        <v>1.10751038E8</v>
      </c>
      <c r="P1342" s="15"/>
      <c r="Q1342" s="8">
        <v>2025.0</v>
      </c>
      <c r="R1342" s="8" t="s">
        <v>3946</v>
      </c>
    </row>
    <row r="1343">
      <c r="A1343" s="4" t="s">
        <v>18</v>
      </c>
      <c r="B1343" s="2" t="s">
        <v>4498</v>
      </c>
      <c r="C1343" s="5">
        <v>45976.0</v>
      </c>
      <c r="D1343" s="5">
        <v>45976.0</v>
      </c>
      <c r="E1343" s="4" t="s">
        <v>4499</v>
      </c>
      <c r="F1343" s="9"/>
      <c r="G1343" s="7">
        <v>320.0</v>
      </c>
      <c r="H1343" s="6"/>
      <c r="I1343" s="11">
        <v>83821.49</v>
      </c>
      <c r="K1343" s="2" t="s">
        <v>127</v>
      </c>
      <c r="M1343" s="2" t="s">
        <v>114</v>
      </c>
      <c r="N1343" s="2" t="s">
        <v>1835</v>
      </c>
      <c r="O1343" s="2">
        <v>1.10751038E8</v>
      </c>
      <c r="Q1343" s="8">
        <v>2025.0</v>
      </c>
      <c r="R1343" s="8" t="s">
        <v>3946</v>
      </c>
    </row>
    <row r="1344">
      <c r="A1344" s="4" t="s">
        <v>18</v>
      </c>
      <c r="B1344" s="2" t="s">
        <v>4500</v>
      </c>
      <c r="C1344" s="5">
        <v>45977.0</v>
      </c>
      <c r="D1344" s="5">
        <v>45977.0</v>
      </c>
      <c r="E1344" s="4" t="s">
        <v>4501</v>
      </c>
      <c r="F1344" s="9"/>
      <c r="G1344" s="6"/>
      <c r="H1344" s="11">
        <v>2000.0</v>
      </c>
      <c r="I1344" s="11">
        <v>85821.49</v>
      </c>
      <c r="K1344" s="2" t="s">
        <v>113</v>
      </c>
      <c r="L1344" s="2" t="s">
        <v>4502</v>
      </c>
      <c r="M1344" s="2" t="s">
        <v>24</v>
      </c>
      <c r="N1344" s="2" t="s">
        <v>60</v>
      </c>
      <c r="O1344" s="2">
        <v>1.10751038E8</v>
      </c>
      <c r="P1344" s="15"/>
      <c r="Q1344" s="8">
        <v>2025.0</v>
      </c>
      <c r="R1344" s="8" t="s">
        <v>3946</v>
      </c>
    </row>
    <row r="1345">
      <c r="A1345" s="4" t="s">
        <v>18</v>
      </c>
      <c r="B1345" s="2" t="s">
        <v>4503</v>
      </c>
      <c r="C1345" s="5">
        <v>45977.0</v>
      </c>
      <c r="D1345" s="5">
        <v>45977.0</v>
      </c>
      <c r="E1345" s="4" t="s">
        <v>4504</v>
      </c>
      <c r="F1345" s="9"/>
      <c r="G1345" s="6"/>
      <c r="H1345" s="7">
        <v>22.0</v>
      </c>
      <c r="I1345" s="11">
        <v>85843.49</v>
      </c>
      <c r="K1345" s="2" t="s">
        <v>113</v>
      </c>
      <c r="L1345" s="2" t="s">
        <v>4502</v>
      </c>
      <c r="M1345" s="2" t="s">
        <v>24</v>
      </c>
      <c r="N1345" s="2" t="s">
        <v>60</v>
      </c>
      <c r="O1345" s="2">
        <v>1.10751038E8</v>
      </c>
      <c r="P1345" s="15"/>
      <c r="Q1345" s="8">
        <v>2025.0</v>
      </c>
      <c r="R1345" s="8" t="s">
        <v>3946</v>
      </c>
    </row>
    <row r="1346">
      <c r="A1346" s="4" t="s">
        <v>18</v>
      </c>
      <c r="B1346" s="2" t="s">
        <v>4505</v>
      </c>
      <c r="C1346" s="5">
        <v>45977.0</v>
      </c>
      <c r="D1346" s="5">
        <v>45977.0</v>
      </c>
      <c r="E1346" s="4" t="s">
        <v>4506</v>
      </c>
      <c r="F1346" s="9"/>
      <c r="G1346" s="6"/>
      <c r="H1346" s="7">
        <v>280.0</v>
      </c>
      <c r="I1346" s="11">
        <v>86123.49</v>
      </c>
      <c r="K1346" s="12" t="str">
        <f>RIGHT(E1346,6)</f>
        <v>UN3668</v>
      </c>
      <c r="L1346" s="2" t="s">
        <v>4507</v>
      </c>
      <c r="M1346" s="2" t="s">
        <v>24</v>
      </c>
      <c r="N1346" s="2" t="s">
        <v>60</v>
      </c>
      <c r="O1346" s="2">
        <v>1.10751038E8</v>
      </c>
      <c r="P1346" s="15"/>
      <c r="Q1346" s="8">
        <v>2025.0</v>
      </c>
      <c r="R1346" s="8" t="s">
        <v>3946</v>
      </c>
    </row>
    <row r="1347">
      <c r="A1347" s="4" t="s">
        <v>18</v>
      </c>
      <c r="B1347" s="2" t="s">
        <v>4508</v>
      </c>
      <c r="C1347" s="5">
        <v>45977.0</v>
      </c>
      <c r="D1347" s="5">
        <v>45977.0</v>
      </c>
      <c r="E1347" s="4" t="s">
        <v>4509</v>
      </c>
      <c r="F1347" s="9"/>
      <c r="G1347" s="7">
        <v>65.0</v>
      </c>
      <c r="H1347" s="6"/>
      <c r="I1347" s="11">
        <v>86058.49</v>
      </c>
      <c r="K1347" s="2" t="s">
        <v>113</v>
      </c>
      <c r="M1347" s="2" t="s">
        <v>114</v>
      </c>
      <c r="N1347" s="2" t="s">
        <v>1835</v>
      </c>
      <c r="O1347" s="2">
        <v>1.10751038E8</v>
      </c>
      <c r="Q1347" s="8">
        <v>2025.0</v>
      </c>
      <c r="R1347" s="8" t="s">
        <v>3946</v>
      </c>
    </row>
    <row r="1348">
      <c r="A1348" s="4" t="s">
        <v>18</v>
      </c>
      <c r="B1348" s="2" t="s">
        <v>4510</v>
      </c>
      <c r="C1348" s="5">
        <v>45977.0</v>
      </c>
      <c r="D1348" s="5">
        <v>45977.0</v>
      </c>
      <c r="E1348" s="4" t="s">
        <v>4511</v>
      </c>
      <c r="F1348" s="9"/>
      <c r="G1348" s="6"/>
      <c r="H1348" s="7">
        <v>792.0</v>
      </c>
      <c r="I1348" s="11">
        <v>86850.49</v>
      </c>
      <c r="K1348" s="12" t="str">
        <f>RIGHT(E1348,6)</f>
        <v>UN3668</v>
      </c>
      <c r="L1348" s="2" t="s">
        <v>4512</v>
      </c>
      <c r="M1348" s="2" t="s">
        <v>24</v>
      </c>
      <c r="N1348" s="2" t="s">
        <v>60</v>
      </c>
      <c r="O1348" s="2">
        <v>1.10751038E8</v>
      </c>
      <c r="P1348" s="15"/>
      <c r="Q1348" s="8">
        <v>2025.0</v>
      </c>
      <c r="R1348" s="8" t="s">
        <v>3946</v>
      </c>
    </row>
    <row r="1349">
      <c r="A1349" s="4" t="s">
        <v>18</v>
      </c>
      <c r="B1349" s="2" t="s">
        <v>4513</v>
      </c>
      <c r="C1349" s="5">
        <v>45977.0</v>
      </c>
      <c r="D1349" s="5">
        <v>45977.0</v>
      </c>
      <c r="E1349" s="4" t="s">
        <v>4514</v>
      </c>
      <c r="F1349" s="9"/>
      <c r="G1349" s="6"/>
      <c r="H1349" s="11">
        <v>1073.0</v>
      </c>
      <c r="I1349" s="11">
        <v>87923.49</v>
      </c>
      <c r="K1349" s="2" t="s">
        <v>113</v>
      </c>
      <c r="L1349" s="2" t="s">
        <v>4515</v>
      </c>
      <c r="M1349" s="2" t="s">
        <v>24</v>
      </c>
      <c r="N1349" s="2" t="s">
        <v>60</v>
      </c>
      <c r="O1349" s="2">
        <v>1.10751038E8</v>
      </c>
      <c r="P1349" s="15"/>
      <c r="Q1349" s="8">
        <v>2025.0</v>
      </c>
      <c r="R1349" s="8" t="s">
        <v>3946</v>
      </c>
    </row>
    <row r="1350">
      <c r="A1350" s="4" t="s">
        <v>18</v>
      </c>
      <c r="B1350" s="2" t="s">
        <v>4516</v>
      </c>
      <c r="C1350" s="5">
        <v>45977.0</v>
      </c>
      <c r="D1350" s="5">
        <v>45977.0</v>
      </c>
      <c r="E1350" s="4" t="s">
        <v>4517</v>
      </c>
      <c r="F1350" s="9"/>
      <c r="G1350" s="7">
        <v>89.0</v>
      </c>
      <c r="H1350" s="6"/>
      <c r="I1350" s="11">
        <v>87834.49</v>
      </c>
      <c r="K1350" s="2" t="s">
        <v>123</v>
      </c>
      <c r="M1350" s="2" t="s">
        <v>114</v>
      </c>
      <c r="N1350" s="2" t="s">
        <v>1835</v>
      </c>
      <c r="O1350" s="2">
        <v>1.10751038E8</v>
      </c>
      <c r="Q1350" s="8">
        <v>2025.0</v>
      </c>
      <c r="R1350" s="8" t="s">
        <v>3946</v>
      </c>
    </row>
    <row r="1351">
      <c r="A1351" s="4" t="s">
        <v>18</v>
      </c>
      <c r="B1351" s="2" t="s">
        <v>4518</v>
      </c>
      <c r="C1351" s="5">
        <v>45977.0</v>
      </c>
      <c r="D1351" s="5">
        <v>45977.0</v>
      </c>
      <c r="E1351" s="4" t="s">
        <v>4519</v>
      </c>
      <c r="F1351" s="9"/>
      <c r="G1351" s="7">
        <v>92.0</v>
      </c>
      <c r="H1351" s="6"/>
      <c r="I1351" s="11">
        <v>87742.49</v>
      </c>
      <c r="K1351" s="2" t="s">
        <v>123</v>
      </c>
      <c r="M1351" s="2" t="s">
        <v>114</v>
      </c>
      <c r="N1351" s="2" t="s">
        <v>1835</v>
      </c>
      <c r="O1351" s="2">
        <v>1.10751038E8</v>
      </c>
      <c r="Q1351" s="8">
        <v>2025.0</v>
      </c>
      <c r="R1351" s="8" t="s">
        <v>3946</v>
      </c>
    </row>
    <row r="1352">
      <c r="A1352" s="4" t="s">
        <v>18</v>
      </c>
      <c r="B1352" s="2" t="s">
        <v>4520</v>
      </c>
      <c r="C1352" s="5">
        <v>45977.0</v>
      </c>
      <c r="D1352" s="5">
        <v>45977.0</v>
      </c>
      <c r="E1352" s="4" t="s">
        <v>4521</v>
      </c>
      <c r="F1352" s="9"/>
      <c r="G1352" s="6"/>
      <c r="H1352" s="7">
        <v>495.0</v>
      </c>
      <c r="I1352" s="11">
        <v>88237.49</v>
      </c>
      <c r="K1352" s="12" t="str">
        <f>RIGHT(E1352,6)</f>
        <v>UN3668</v>
      </c>
      <c r="L1352" s="2" t="s">
        <v>4522</v>
      </c>
      <c r="M1352" s="2" t="s">
        <v>24</v>
      </c>
      <c r="N1352" s="2" t="s">
        <v>60</v>
      </c>
      <c r="O1352" s="2">
        <v>1.10751038E8</v>
      </c>
      <c r="P1352" s="15"/>
      <c r="Q1352" s="8">
        <v>2025.0</v>
      </c>
      <c r="R1352" s="8" t="s">
        <v>3946</v>
      </c>
    </row>
    <row r="1353">
      <c r="A1353" s="4" t="s">
        <v>18</v>
      </c>
      <c r="B1353" s="2" t="s">
        <v>4523</v>
      </c>
      <c r="C1353" s="5">
        <v>45977.0</v>
      </c>
      <c r="D1353" s="5">
        <v>45977.0</v>
      </c>
      <c r="E1353" s="4" t="s">
        <v>4524</v>
      </c>
      <c r="F1353" s="9"/>
      <c r="G1353" s="6"/>
      <c r="H1353" s="7">
        <v>453.0</v>
      </c>
      <c r="I1353" s="11">
        <v>88690.49</v>
      </c>
      <c r="K1353" s="2" t="s">
        <v>113</v>
      </c>
      <c r="L1353" s="2" t="s">
        <v>4525</v>
      </c>
      <c r="M1353" s="2" t="s">
        <v>24</v>
      </c>
      <c r="N1353" s="2" t="s">
        <v>60</v>
      </c>
      <c r="O1353" s="2">
        <v>1.10751038E8</v>
      </c>
      <c r="P1353" s="15"/>
      <c r="Q1353" s="8">
        <v>2025.0</v>
      </c>
      <c r="R1353" s="8" t="s">
        <v>3946</v>
      </c>
    </row>
    <row r="1354">
      <c r="A1354" s="4" t="s">
        <v>18</v>
      </c>
      <c r="B1354" s="2" t="s">
        <v>4526</v>
      </c>
      <c r="C1354" s="5">
        <v>45977.0</v>
      </c>
      <c r="D1354" s="5">
        <v>45977.0</v>
      </c>
      <c r="E1354" s="4" t="s">
        <v>4527</v>
      </c>
      <c r="F1354" s="9"/>
      <c r="G1354" s="7">
        <v>92.0</v>
      </c>
      <c r="H1354" s="6"/>
      <c r="I1354" s="11">
        <v>88598.49</v>
      </c>
      <c r="K1354" s="2" t="s">
        <v>113</v>
      </c>
      <c r="M1354" s="2" t="s">
        <v>114</v>
      </c>
      <c r="N1354" s="2" t="s">
        <v>1835</v>
      </c>
      <c r="O1354" s="2">
        <v>1.10751038E8</v>
      </c>
      <c r="Q1354" s="8">
        <v>2025.0</v>
      </c>
      <c r="R1354" s="8" t="s">
        <v>3946</v>
      </c>
    </row>
    <row r="1355">
      <c r="A1355" s="4" t="s">
        <v>18</v>
      </c>
      <c r="B1355" s="2" t="s">
        <v>4528</v>
      </c>
      <c r="C1355" s="5">
        <v>45977.0</v>
      </c>
      <c r="D1355" s="5">
        <v>45977.0</v>
      </c>
      <c r="E1355" s="4" t="s">
        <v>4529</v>
      </c>
      <c r="F1355" s="9"/>
      <c r="G1355" s="7">
        <v>80.0</v>
      </c>
      <c r="H1355" s="6"/>
      <c r="I1355" s="11">
        <v>88518.49</v>
      </c>
      <c r="K1355" s="2" t="s">
        <v>113</v>
      </c>
      <c r="M1355" s="2" t="s">
        <v>114</v>
      </c>
      <c r="N1355" s="2" t="s">
        <v>1835</v>
      </c>
      <c r="O1355" s="2">
        <v>1.10751038E8</v>
      </c>
      <c r="Q1355" s="8">
        <v>2025.0</v>
      </c>
      <c r="R1355" s="8" t="s">
        <v>3946</v>
      </c>
    </row>
    <row r="1356">
      <c r="A1356" s="4" t="s">
        <v>18</v>
      </c>
      <c r="B1356" s="2" t="s">
        <v>4530</v>
      </c>
      <c r="C1356" s="5">
        <v>45977.0</v>
      </c>
      <c r="D1356" s="5">
        <v>45977.0</v>
      </c>
      <c r="E1356" s="4" t="s">
        <v>4531</v>
      </c>
      <c r="F1356" s="9"/>
      <c r="G1356" s="6"/>
      <c r="H1356" s="11">
        <v>1564.0</v>
      </c>
      <c r="I1356" s="11">
        <v>90082.49</v>
      </c>
      <c r="K1356" s="12" t="str">
        <f t="shared" ref="K1356:K1364" si="176">RIGHT(E1356,6)</f>
        <v>UN3668</v>
      </c>
      <c r="L1356" s="2" t="s">
        <v>4532</v>
      </c>
      <c r="M1356" s="2" t="s">
        <v>24</v>
      </c>
      <c r="N1356" s="2" t="s">
        <v>60</v>
      </c>
      <c r="O1356" s="2">
        <v>1.10751038E8</v>
      </c>
      <c r="P1356" s="15"/>
      <c r="Q1356" s="8">
        <v>2025.0</v>
      </c>
      <c r="R1356" s="8" t="s">
        <v>3946</v>
      </c>
    </row>
    <row r="1357">
      <c r="A1357" s="4" t="s">
        <v>18</v>
      </c>
      <c r="B1357" s="2" t="s">
        <v>4533</v>
      </c>
      <c r="C1357" s="5">
        <v>45977.0</v>
      </c>
      <c r="D1357" s="5">
        <v>45977.0</v>
      </c>
      <c r="E1357" s="4" t="s">
        <v>4534</v>
      </c>
      <c r="F1357" s="9"/>
      <c r="G1357" s="6"/>
      <c r="H1357" s="7">
        <v>149.0</v>
      </c>
      <c r="I1357" s="11">
        <v>90231.49</v>
      </c>
      <c r="K1357" s="12" t="str">
        <f t="shared" si="176"/>
        <v>SC3567</v>
      </c>
      <c r="L1357" s="2" t="s">
        <v>4535</v>
      </c>
      <c r="M1357" s="2" t="s">
        <v>24</v>
      </c>
      <c r="N1357" s="2" t="s">
        <v>60</v>
      </c>
      <c r="O1357" s="2">
        <v>1.10751038E8</v>
      </c>
      <c r="P1357" s="15"/>
      <c r="Q1357" s="8">
        <v>2025.0</v>
      </c>
      <c r="R1357" s="8" t="s">
        <v>3946</v>
      </c>
    </row>
    <row r="1358">
      <c r="A1358" s="4" t="s">
        <v>18</v>
      </c>
      <c r="B1358" s="2" t="s">
        <v>4536</v>
      </c>
      <c r="C1358" s="5">
        <v>45977.0</v>
      </c>
      <c r="D1358" s="5">
        <v>45977.0</v>
      </c>
      <c r="E1358" s="4" t="s">
        <v>4537</v>
      </c>
      <c r="F1358" s="9"/>
      <c r="G1358" s="6"/>
      <c r="H1358" s="7">
        <v>525.0</v>
      </c>
      <c r="I1358" s="11">
        <v>90756.49</v>
      </c>
      <c r="K1358" s="12" t="str">
        <f t="shared" si="176"/>
        <v>UN3668</v>
      </c>
      <c r="L1358" s="2" t="s">
        <v>4538</v>
      </c>
      <c r="M1358" s="2" t="s">
        <v>24</v>
      </c>
      <c r="N1358" s="2" t="s">
        <v>60</v>
      </c>
      <c r="O1358" s="2">
        <v>1.10751038E8</v>
      </c>
      <c r="P1358" s="15"/>
      <c r="Q1358" s="8">
        <v>2025.0</v>
      </c>
      <c r="R1358" s="8" t="s">
        <v>3946</v>
      </c>
    </row>
    <row r="1359">
      <c r="A1359" s="4" t="s">
        <v>18</v>
      </c>
      <c r="B1359" s="2" t="s">
        <v>4539</v>
      </c>
      <c r="C1359" s="5">
        <v>45977.0</v>
      </c>
      <c r="D1359" s="5">
        <v>45977.0</v>
      </c>
      <c r="E1359" s="4" t="s">
        <v>4540</v>
      </c>
      <c r="F1359" s="9"/>
      <c r="G1359" s="6"/>
      <c r="H1359" s="7">
        <v>280.0</v>
      </c>
      <c r="I1359" s="11">
        <v>91036.49</v>
      </c>
      <c r="K1359" s="12" t="str">
        <f t="shared" si="176"/>
        <v>UN3668</v>
      </c>
      <c r="L1359" s="2" t="s">
        <v>4541</v>
      </c>
      <c r="M1359" s="2" t="s">
        <v>24</v>
      </c>
      <c r="N1359" s="2" t="s">
        <v>60</v>
      </c>
      <c r="O1359" s="2">
        <v>1.10751038E8</v>
      </c>
      <c r="P1359" s="15"/>
      <c r="Q1359" s="8">
        <v>2025.0</v>
      </c>
      <c r="R1359" s="8" t="s">
        <v>3946</v>
      </c>
    </row>
    <row r="1360">
      <c r="A1360" s="4" t="s">
        <v>18</v>
      </c>
      <c r="B1360" s="2" t="s">
        <v>4542</v>
      </c>
      <c r="C1360" s="5">
        <v>45977.0</v>
      </c>
      <c r="D1360" s="5">
        <v>45977.0</v>
      </c>
      <c r="E1360" s="4" t="s">
        <v>4543</v>
      </c>
      <c r="F1360" s="9"/>
      <c r="G1360" s="6"/>
      <c r="H1360" s="11">
        <v>1600.0</v>
      </c>
      <c r="I1360" s="11">
        <v>92636.49</v>
      </c>
      <c r="K1360" s="12" t="str">
        <f t="shared" si="176"/>
        <v>UN3668</v>
      </c>
      <c r="L1360" s="2" t="s">
        <v>4544</v>
      </c>
      <c r="M1360" s="2" t="s">
        <v>24</v>
      </c>
      <c r="N1360" s="2" t="s">
        <v>60</v>
      </c>
      <c r="O1360" s="2">
        <v>1.10751038E8</v>
      </c>
      <c r="P1360" s="15"/>
      <c r="Q1360" s="8">
        <v>2025.0</v>
      </c>
      <c r="R1360" s="8" t="s">
        <v>3946</v>
      </c>
    </row>
    <row r="1361">
      <c r="A1361" s="4" t="s">
        <v>18</v>
      </c>
      <c r="B1361" s="2" t="s">
        <v>4545</v>
      </c>
      <c r="C1361" s="5">
        <v>45977.0</v>
      </c>
      <c r="D1361" s="5">
        <v>45977.0</v>
      </c>
      <c r="E1361" s="4" t="s">
        <v>4546</v>
      </c>
      <c r="F1361" s="9"/>
      <c r="G1361" s="6"/>
      <c r="H1361" s="11">
        <v>2210.0</v>
      </c>
      <c r="I1361" s="11">
        <v>94846.49</v>
      </c>
      <c r="K1361" s="12" t="str">
        <f t="shared" si="176"/>
        <v>KN3817</v>
      </c>
      <c r="L1361" s="2" t="s">
        <v>4547</v>
      </c>
      <c r="M1361" s="2" t="s">
        <v>24</v>
      </c>
      <c r="N1361" s="2" t="s">
        <v>60</v>
      </c>
      <c r="O1361" s="2">
        <v>1.10751038E8</v>
      </c>
      <c r="P1361" s="15"/>
      <c r="Q1361" s="8">
        <v>2025.0</v>
      </c>
      <c r="R1361" s="8" t="s">
        <v>3946</v>
      </c>
    </row>
    <row r="1362">
      <c r="A1362" s="4" t="s">
        <v>18</v>
      </c>
      <c r="B1362" s="2" t="s">
        <v>4548</v>
      </c>
      <c r="C1362" s="5">
        <v>45977.0</v>
      </c>
      <c r="D1362" s="5">
        <v>45977.0</v>
      </c>
      <c r="E1362" s="4" t="s">
        <v>4549</v>
      </c>
      <c r="F1362" s="9"/>
      <c r="G1362" s="6"/>
      <c r="H1362" s="11">
        <v>1000.0</v>
      </c>
      <c r="I1362" s="11">
        <v>95846.49</v>
      </c>
      <c r="K1362" s="12" t="str">
        <f t="shared" si="176"/>
        <v>KN3817</v>
      </c>
      <c r="L1362" s="21" t="s">
        <v>4550</v>
      </c>
      <c r="M1362" s="2" t="s">
        <v>24</v>
      </c>
      <c r="N1362" s="2" t="s">
        <v>60</v>
      </c>
      <c r="O1362" s="2">
        <v>1.10751038E8</v>
      </c>
      <c r="P1362" s="15"/>
      <c r="Q1362" s="8">
        <v>2025.0</v>
      </c>
      <c r="R1362" s="8" t="s">
        <v>3946</v>
      </c>
    </row>
    <row r="1363">
      <c r="A1363" s="4" t="s">
        <v>18</v>
      </c>
      <c r="B1363" s="2" t="s">
        <v>4551</v>
      </c>
      <c r="C1363" s="5">
        <v>45977.0</v>
      </c>
      <c r="D1363" s="5">
        <v>45977.0</v>
      </c>
      <c r="E1363" s="4" t="s">
        <v>4552</v>
      </c>
      <c r="F1363" s="9"/>
      <c r="G1363" s="6"/>
      <c r="H1363" s="11">
        <v>1300.0</v>
      </c>
      <c r="I1363" s="11">
        <v>97146.49</v>
      </c>
      <c r="K1363" s="12" t="str">
        <f t="shared" si="176"/>
        <v>SC3567</v>
      </c>
      <c r="L1363" s="2" t="s">
        <v>4553</v>
      </c>
      <c r="M1363" s="2" t="s">
        <v>24</v>
      </c>
      <c r="N1363" s="2" t="s">
        <v>60</v>
      </c>
      <c r="O1363" s="2">
        <v>1.10751038E8</v>
      </c>
      <c r="P1363" s="15"/>
      <c r="Q1363" s="8">
        <v>2025.0</v>
      </c>
      <c r="R1363" s="8" t="s">
        <v>3946</v>
      </c>
    </row>
    <row r="1364">
      <c r="A1364" s="4" t="s">
        <v>18</v>
      </c>
      <c r="B1364" s="2" t="s">
        <v>4554</v>
      </c>
      <c r="C1364" s="5">
        <v>45977.0</v>
      </c>
      <c r="D1364" s="5">
        <v>45977.0</v>
      </c>
      <c r="E1364" s="4" t="s">
        <v>4555</v>
      </c>
      <c r="F1364" s="9"/>
      <c r="G1364" s="6"/>
      <c r="H1364" s="7">
        <v>507.0</v>
      </c>
      <c r="I1364" s="11">
        <v>97653.49</v>
      </c>
      <c r="K1364" s="12" t="str">
        <f t="shared" si="176"/>
        <v>SC3567</v>
      </c>
      <c r="L1364" s="2" t="s">
        <v>4556</v>
      </c>
      <c r="M1364" s="2" t="s">
        <v>24</v>
      </c>
      <c r="N1364" s="2" t="s">
        <v>60</v>
      </c>
      <c r="O1364" s="2">
        <v>1.10751038E8</v>
      </c>
      <c r="P1364" s="15"/>
      <c r="Q1364" s="8">
        <v>2025.0</v>
      </c>
      <c r="R1364" s="8" t="s">
        <v>3946</v>
      </c>
    </row>
    <row r="1365">
      <c r="A1365" s="4" t="s">
        <v>18</v>
      </c>
      <c r="B1365" s="2" t="s">
        <v>4557</v>
      </c>
      <c r="C1365" s="5">
        <v>45977.0</v>
      </c>
      <c r="D1365" s="5">
        <v>45977.0</v>
      </c>
      <c r="E1365" s="4" t="s">
        <v>4558</v>
      </c>
      <c r="F1365" s="9"/>
      <c r="G1365" s="11">
        <v>2160.0</v>
      </c>
      <c r="H1365" s="6"/>
      <c r="I1365" s="11">
        <v>95493.49</v>
      </c>
      <c r="J1365" s="2" t="s">
        <v>3247</v>
      </c>
      <c r="K1365" s="2" t="s">
        <v>119</v>
      </c>
      <c r="M1365" s="2" t="s">
        <v>114</v>
      </c>
      <c r="N1365" s="2" t="s">
        <v>2883</v>
      </c>
      <c r="O1365" s="2">
        <v>1.10751038E8</v>
      </c>
      <c r="Q1365" s="8">
        <v>2025.0</v>
      </c>
      <c r="R1365" s="8" t="s">
        <v>3946</v>
      </c>
    </row>
    <row r="1366">
      <c r="A1366" s="4" t="s">
        <v>18</v>
      </c>
      <c r="B1366" s="2" t="s">
        <v>4559</v>
      </c>
      <c r="C1366" s="5">
        <v>45977.0</v>
      </c>
      <c r="D1366" s="5">
        <v>45977.0</v>
      </c>
      <c r="E1366" s="4" t="s">
        <v>4560</v>
      </c>
      <c r="F1366" s="9"/>
      <c r="G1366" s="6"/>
      <c r="H1366" s="7">
        <v>547.32</v>
      </c>
      <c r="I1366" s="11">
        <v>96040.81</v>
      </c>
      <c r="K1366" s="12" t="str">
        <f>RIGHT(E1366,6)</f>
        <v>SC3567</v>
      </c>
      <c r="L1366" s="2" t="s">
        <v>4561</v>
      </c>
      <c r="M1366" s="2" t="s">
        <v>24</v>
      </c>
      <c r="N1366" s="2" t="s">
        <v>60</v>
      </c>
      <c r="O1366" s="2">
        <v>1.10751038E8</v>
      </c>
      <c r="P1366" s="15"/>
      <c r="Q1366" s="8">
        <v>2025.0</v>
      </c>
      <c r="R1366" s="8" t="s">
        <v>3946</v>
      </c>
    </row>
    <row r="1367">
      <c r="A1367" s="4" t="s">
        <v>18</v>
      </c>
      <c r="B1367" s="2" t="s">
        <v>4562</v>
      </c>
      <c r="C1367" s="5">
        <v>45977.0</v>
      </c>
      <c r="D1367" s="5">
        <v>45977.0</v>
      </c>
      <c r="E1367" s="4" t="s">
        <v>4563</v>
      </c>
      <c r="F1367" s="9"/>
      <c r="G1367" s="11">
        <v>2465.19</v>
      </c>
      <c r="H1367" s="6"/>
      <c r="I1367" s="11">
        <v>93575.62</v>
      </c>
      <c r="K1367" s="2" t="s">
        <v>127</v>
      </c>
      <c r="M1367" s="2" t="s">
        <v>114</v>
      </c>
      <c r="N1367" s="2" t="s">
        <v>275</v>
      </c>
      <c r="O1367" s="2">
        <v>1.10751038E8</v>
      </c>
      <c r="Q1367" s="8">
        <v>2025.0</v>
      </c>
      <c r="R1367" s="8" t="s">
        <v>3946</v>
      </c>
    </row>
    <row r="1368">
      <c r="A1368" s="4" t="s">
        <v>18</v>
      </c>
      <c r="B1368" s="2" t="s">
        <v>4564</v>
      </c>
      <c r="C1368" s="5">
        <v>45978.0</v>
      </c>
      <c r="D1368" s="5">
        <v>45978.0</v>
      </c>
      <c r="E1368" s="4" t="s">
        <v>4565</v>
      </c>
      <c r="F1368" s="9"/>
      <c r="G1368" s="6"/>
      <c r="H1368" s="7">
        <v>650.0</v>
      </c>
      <c r="I1368" s="11">
        <v>94225.62</v>
      </c>
      <c r="K1368" s="12" t="str">
        <f t="shared" ref="K1368:K1372" si="177">RIGHT(E1368,6)</f>
        <v>KN3817</v>
      </c>
      <c r="L1368" s="2" t="s">
        <v>4468</v>
      </c>
      <c r="M1368" s="2" t="s">
        <v>24</v>
      </c>
      <c r="N1368" s="2" t="s">
        <v>60</v>
      </c>
      <c r="O1368" s="2">
        <v>1.10751038E8</v>
      </c>
      <c r="P1368" s="15"/>
      <c r="Q1368" s="8">
        <v>2025.0</v>
      </c>
      <c r="R1368" s="8" t="s">
        <v>3946</v>
      </c>
    </row>
    <row r="1369">
      <c r="A1369" s="4" t="s">
        <v>18</v>
      </c>
      <c r="B1369" s="2" t="s">
        <v>4566</v>
      </c>
      <c r="C1369" s="5">
        <v>45978.0</v>
      </c>
      <c r="D1369" s="5">
        <v>45978.0</v>
      </c>
      <c r="E1369" s="4" t="s">
        <v>4567</v>
      </c>
      <c r="F1369" s="9"/>
      <c r="G1369" s="6"/>
      <c r="H1369" s="11">
        <v>2000.0</v>
      </c>
      <c r="I1369" s="11">
        <v>96225.62</v>
      </c>
      <c r="K1369" s="12" t="str">
        <f t="shared" si="177"/>
        <v>UN3668</v>
      </c>
      <c r="L1369" s="2" t="s">
        <v>619</v>
      </c>
      <c r="M1369" s="2" t="s">
        <v>24</v>
      </c>
      <c r="N1369" s="2" t="s">
        <v>60</v>
      </c>
      <c r="O1369" s="2">
        <v>1.10751038E8</v>
      </c>
      <c r="P1369" s="15"/>
      <c r="Q1369" s="8">
        <v>2025.0</v>
      </c>
      <c r="R1369" s="8" t="s">
        <v>3946</v>
      </c>
    </row>
    <row r="1370">
      <c r="A1370" s="4" t="s">
        <v>18</v>
      </c>
      <c r="B1370" s="2" t="s">
        <v>4568</v>
      </c>
      <c r="C1370" s="5">
        <v>45978.0</v>
      </c>
      <c r="D1370" s="5">
        <v>45978.0</v>
      </c>
      <c r="E1370" s="4" t="s">
        <v>4569</v>
      </c>
      <c r="F1370" s="9"/>
      <c r="G1370" s="6"/>
      <c r="H1370" s="7">
        <v>123.0</v>
      </c>
      <c r="I1370" s="11">
        <v>96348.62</v>
      </c>
      <c r="K1370" s="12" t="str">
        <f t="shared" si="177"/>
        <v>SC3567</v>
      </c>
      <c r="L1370" s="2" t="s">
        <v>4570</v>
      </c>
      <c r="M1370" s="2" t="s">
        <v>24</v>
      </c>
      <c r="N1370" s="2" t="s">
        <v>60</v>
      </c>
      <c r="O1370" s="2">
        <v>1.10751038E8</v>
      </c>
      <c r="P1370" s="15"/>
      <c r="Q1370" s="8">
        <v>2025.0</v>
      </c>
      <c r="R1370" s="8" t="s">
        <v>3946</v>
      </c>
    </row>
    <row r="1371">
      <c r="A1371" s="4" t="s">
        <v>18</v>
      </c>
      <c r="B1371" s="2" t="s">
        <v>4571</v>
      </c>
      <c r="C1371" s="5">
        <v>45978.0</v>
      </c>
      <c r="D1371" s="5">
        <v>45978.0</v>
      </c>
      <c r="E1371" s="4" t="s">
        <v>4572</v>
      </c>
      <c r="F1371" s="9"/>
      <c r="G1371" s="6"/>
      <c r="H1371" s="11">
        <v>1544.0</v>
      </c>
      <c r="I1371" s="11">
        <v>97892.62</v>
      </c>
      <c r="K1371" s="12" t="str">
        <f t="shared" si="177"/>
        <v>UN3668</v>
      </c>
      <c r="L1371" s="2" t="s">
        <v>4573</v>
      </c>
      <c r="M1371" s="2" t="s">
        <v>24</v>
      </c>
      <c r="N1371" s="2" t="s">
        <v>60</v>
      </c>
      <c r="O1371" s="2">
        <v>1.10751038E8</v>
      </c>
      <c r="P1371" s="15"/>
      <c r="Q1371" s="8">
        <v>2025.0</v>
      </c>
      <c r="R1371" s="8" t="s">
        <v>3946</v>
      </c>
    </row>
    <row r="1372">
      <c r="A1372" s="4" t="s">
        <v>18</v>
      </c>
      <c r="B1372" s="2" t="s">
        <v>4574</v>
      </c>
      <c r="C1372" s="5">
        <v>45978.0</v>
      </c>
      <c r="D1372" s="5">
        <v>45978.0</v>
      </c>
      <c r="E1372" s="4" t="s">
        <v>4575</v>
      </c>
      <c r="F1372" s="9"/>
      <c r="G1372" s="6"/>
      <c r="H1372" s="7">
        <v>351.0</v>
      </c>
      <c r="I1372" s="11">
        <v>98243.62</v>
      </c>
      <c r="K1372" s="12" t="str">
        <f t="shared" si="177"/>
        <v>UN3668</v>
      </c>
      <c r="L1372" s="2" t="s">
        <v>4576</v>
      </c>
      <c r="M1372" s="2" t="s">
        <v>24</v>
      </c>
      <c r="N1372" s="2" t="s">
        <v>60</v>
      </c>
      <c r="O1372" s="2">
        <v>1.10751038E8</v>
      </c>
      <c r="P1372" s="15"/>
      <c r="Q1372" s="8">
        <v>2025.0</v>
      </c>
      <c r="R1372" s="8" t="s">
        <v>3946</v>
      </c>
    </row>
    <row r="1373">
      <c r="A1373" s="4" t="s">
        <v>18</v>
      </c>
      <c r="B1373" s="2" t="s">
        <v>4577</v>
      </c>
      <c r="C1373" s="5">
        <v>45978.0</v>
      </c>
      <c r="D1373" s="5">
        <v>45978.0</v>
      </c>
      <c r="E1373" s="4" t="s">
        <v>4578</v>
      </c>
      <c r="F1373" s="9"/>
      <c r="G1373" s="7">
        <v>668.0</v>
      </c>
      <c r="H1373" s="6"/>
      <c r="I1373" s="11">
        <v>97575.62</v>
      </c>
      <c r="K1373" s="2" t="s">
        <v>119</v>
      </c>
      <c r="M1373" s="2" t="s">
        <v>114</v>
      </c>
      <c r="N1373" s="2" t="s">
        <v>478</v>
      </c>
      <c r="O1373" s="2">
        <v>1.10751038E8</v>
      </c>
      <c r="Q1373" s="8">
        <v>2025.0</v>
      </c>
      <c r="R1373" s="8" t="s">
        <v>3946</v>
      </c>
    </row>
    <row r="1374">
      <c r="A1374" s="4" t="s">
        <v>18</v>
      </c>
      <c r="B1374" s="2" t="s">
        <v>4579</v>
      </c>
      <c r="C1374" s="5">
        <v>45978.0</v>
      </c>
      <c r="D1374" s="5">
        <v>45978.0</v>
      </c>
      <c r="E1374" s="4" t="s">
        <v>4580</v>
      </c>
      <c r="F1374" s="9"/>
      <c r="G1374" s="6"/>
      <c r="H1374" s="7">
        <v>658.0</v>
      </c>
      <c r="I1374" s="11">
        <v>98233.62</v>
      </c>
      <c r="K1374" s="12" t="str">
        <f t="shared" ref="K1374:K1376" si="178">RIGHT(E1374,6)</f>
        <v>SL1610</v>
      </c>
      <c r="L1374" s="2" t="s">
        <v>4581</v>
      </c>
      <c r="M1374" s="2" t="s">
        <v>24</v>
      </c>
      <c r="N1374" s="2" t="s">
        <v>60</v>
      </c>
      <c r="O1374" s="2">
        <v>1.10751038E8</v>
      </c>
      <c r="P1374" s="15"/>
      <c r="Q1374" s="8">
        <v>2025.0</v>
      </c>
      <c r="R1374" s="8" t="s">
        <v>3946</v>
      </c>
    </row>
    <row r="1375">
      <c r="A1375" s="4" t="s">
        <v>18</v>
      </c>
      <c r="B1375" s="2" t="s">
        <v>4582</v>
      </c>
      <c r="C1375" s="5">
        <v>45978.0</v>
      </c>
      <c r="D1375" s="5">
        <v>45978.0</v>
      </c>
      <c r="E1375" s="4" t="s">
        <v>4583</v>
      </c>
      <c r="F1375" s="9"/>
      <c r="G1375" s="6"/>
      <c r="H1375" s="7">
        <v>319.0</v>
      </c>
      <c r="I1375" s="11">
        <v>98552.62</v>
      </c>
      <c r="K1375" s="12" t="str">
        <f t="shared" si="178"/>
        <v>KN3817</v>
      </c>
      <c r="L1375" s="2" t="s">
        <v>4584</v>
      </c>
      <c r="M1375" s="2" t="s">
        <v>24</v>
      </c>
      <c r="N1375" s="2" t="s">
        <v>60</v>
      </c>
      <c r="O1375" s="2">
        <v>1.10751038E8</v>
      </c>
      <c r="P1375" s="15"/>
      <c r="Q1375" s="8">
        <v>2025.0</v>
      </c>
      <c r="R1375" s="8" t="s">
        <v>3946</v>
      </c>
    </row>
    <row r="1376">
      <c r="A1376" s="4" t="s">
        <v>18</v>
      </c>
      <c r="B1376" s="2" t="s">
        <v>4585</v>
      </c>
      <c r="C1376" s="5">
        <v>45978.0</v>
      </c>
      <c r="D1376" s="5">
        <v>45978.0</v>
      </c>
      <c r="E1376" s="4" t="s">
        <v>4586</v>
      </c>
      <c r="F1376" s="9"/>
      <c r="G1376" s="6"/>
      <c r="H1376" s="11">
        <v>1321.0</v>
      </c>
      <c r="I1376" s="11">
        <v>99873.62</v>
      </c>
      <c r="K1376" s="12" t="str">
        <f t="shared" si="178"/>
        <v>UN3668</v>
      </c>
      <c r="L1376" s="2" t="s">
        <v>4587</v>
      </c>
      <c r="M1376" s="2" t="s">
        <v>24</v>
      </c>
      <c r="N1376" s="2" t="s">
        <v>60</v>
      </c>
      <c r="O1376" s="2">
        <v>1.10751038E8</v>
      </c>
      <c r="P1376" s="15"/>
      <c r="Q1376" s="8">
        <v>2025.0</v>
      </c>
      <c r="R1376" s="8" t="s">
        <v>3946</v>
      </c>
    </row>
    <row r="1377">
      <c r="A1377" s="4" t="s">
        <v>18</v>
      </c>
      <c r="B1377" s="2" t="s">
        <v>4588</v>
      </c>
      <c r="C1377" s="5">
        <v>45979.0</v>
      </c>
      <c r="D1377" s="5">
        <v>45979.0</v>
      </c>
      <c r="E1377" s="4" t="s">
        <v>4589</v>
      </c>
      <c r="F1377" s="9"/>
      <c r="G1377" s="11">
        <v>4000.0</v>
      </c>
      <c r="H1377" s="6"/>
      <c r="I1377" s="11">
        <v>95873.62</v>
      </c>
      <c r="J1377" s="2" t="s">
        <v>3799</v>
      </c>
      <c r="K1377" s="2" t="s">
        <v>113</v>
      </c>
      <c r="M1377" s="2" t="s">
        <v>114</v>
      </c>
      <c r="N1377" s="2" t="s">
        <v>169</v>
      </c>
      <c r="O1377" s="2">
        <v>1.10751038E8</v>
      </c>
      <c r="Q1377" s="8">
        <v>2025.0</v>
      </c>
      <c r="R1377" s="8" t="s">
        <v>3946</v>
      </c>
    </row>
    <row r="1378">
      <c r="A1378" s="4" t="s">
        <v>18</v>
      </c>
      <c r="B1378" s="2" t="s">
        <v>4590</v>
      </c>
      <c r="C1378" s="5">
        <v>45979.0</v>
      </c>
      <c r="D1378" s="5">
        <v>45979.0</v>
      </c>
      <c r="E1378" s="4" t="s">
        <v>4591</v>
      </c>
      <c r="F1378" s="9"/>
      <c r="G1378" s="11">
        <v>3260.0</v>
      </c>
      <c r="H1378" s="6"/>
      <c r="I1378" s="11">
        <v>92613.62</v>
      </c>
      <c r="K1378" s="2" t="s">
        <v>123</v>
      </c>
      <c r="M1378" s="2" t="s">
        <v>114</v>
      </c>
      <c r="N1378" s="2" t="s">
        <v>1800</v>
      </c>
      <c r="O1378" s="2">
        <v>1.10751038E8</v>
      </c>
      <c r="Q1378" s="8">
        <v>2025.0</v>
      </c>
      <c r="R1378" s="8" t="s">
        <v>3946</v>
      </c>
    </row>
    <row r="1379">
      <c r="A1379" s="4" t="s">
        <v>18</v>
      </c>
      <c r="B1379" s="2" t="s">
        <v>4592</v>
      </c>
      <c r="C1379" s="5">
        <v>45979.0</v>
      </c>
      <c r="D1379" s="5">
        <v>45979.0</v>
      </c>
      <c r="E1379" s="4" t="s">
        <v>4593</v>
      </c>
      <c r="F1379" s="9"/>
      <c r="G1379" s="6"/>
      <c r="H1379" s="11">
        <v>1504.0</v>
      </c>
      <c r="I1379" s="11">
        <v>94117.62</v>
      </c>
      <c r="K1379" s="12" t="str">
        <f>RIGHT(E1379,6)</f>
        <v>UN3668</v>
      </c>
      <c r="L1379" s="2" t="s">
        <v>4594</v>
      </c>
      <c r="M1379" s="2" t="s">
        <v>24</v>
      </c>
      <c r="N1379" s="2" t="s">
        <v>60</v>
      </c>
      <c r="O1379" s="2">
        <v>1.10751038E8</v>
      </c>
      <c r="P1379" s="15"/>
      <c r="Q1379" s="8">
        <v>2025.0</v>
      </c>
      <c r="R1379" s="8" t="s">
        <v>3946</v>
      </c>
    </row>
    <row r="1380">
      <c r="A1380" s="4" t="s">
        <v>18</v>
      </c>
      <c r="B1380" s="2" t="s">
        <v>4595</v>
      </c>
      <c r="C1380" s="5">
        <v>45979.0</v>
      </c>
      <c r="D1380" s="5">
        <v>45979.0</v>
      </c>
      <c r="E1380" s="4" t="s">
        <v>4596</v>
      </c>
      <c r="F1380" s="9"/>
      <c r="G1380" s="11">
        <v>6458.0</v>
      </c>
      <c r="H1380" s="6"/>
      <c r="I1380" s="11">
        <v>87659.62</v>
      </c>
      <c r="K1380" s="2" t="s">
        <v>123</v>
      </c>
      <c r="M1380" s="2" t="s">
        <v>114</v>
      </c>
      <c r="N1380" s="2" t="s">
        <v>275</v>
      </c>
      <c r="O1380" s="2">
        <v>1.10751038E8</v>
      </c>
      <c r="Q1380" s="8">
        <v>2025.0</v>
      </c>
      <c r="R1380" s="8" t="s">
        <v>3946</v>
      </c>
    </row>
    <row r="1381">
      <c r="A1381" s="4" t="s">
        <v>18</v>
      </c>
      <c r="B1381" s="2" t="s">
        <v>4597</v>
      </c>
      <c r="C1381" s="5">
        <v>45979.0</v>
      </c>
      <c r="D1381" s="5">
        <v>45979.0</v>
      </c>
      <c r="E1381" s="4" t="s">
        <v>4598</v>
      </c>
      <c r="F1381" s="9"/>
      <c r="G1381" s="6"/>
      <c r="H1381" s="7">
        <v>640.0</v>
      </c>
      <c r="I1381" s="11">
        <v>88299.62</v>
      </c>
      <c r="K1381" s="12" t="str">
        <f t="shared" ref="K1381:K1393" si="179">RIGHT(E1381,6)</f>
        <v>UN3668</v>
      </c>
      <c r="L1381" s="2" t="s">
        <v>4599</v>
      </c>
      <c r="M1381" s="2" t="s">
        <v>24</v>
      </c>
      <c r="N1381" s="2" t="s">
        <v>60</v>
      </c>
      <c r="O1381" s="2">
        <v>1.10751038E8</v>
      </c>
      <c r="P1381" s="15"/>
      <c r="Q1381" s="8">
        <v>2025.0</v>
      </c>
      <c r="R1381" s="8" t="s">
        <v>3946</v>
      </c>
    </row>
    <row r="1382">
      <c r="A1382" s="4" t="s">
        <v>18</v>
      </c>
      <c r="B1382" s="2" t="s">
        <v>4600</v>
      </c>
      <c r="C1382" s="5">
        <v>45979.0</v>
      </c>
      <c r="D1382" s="5">
        <v>45979.0</v>
      </c>
      <c r="E1382" s="4" t="s">
        <v>4601</v>
      </c>
      <c r="F1382" s="9"/>
      <c r="G1382" s="6"/>
      <c r="H1382" s="7">
        <v>300.0</v>
      </c>
      <c r="I1382" s="11">
        <v>88599.62</v>
      </c>
      <c r="K1382" s="12" t="str">
        <f t="shared" si="179"/>
        <v>KN3817</v>
      </c>
      <c r="L1382" s="21" t="s">
        <v>1828</v>
      </c>
      <c r="M1382" s="2" t="s">
        <v>24</v>
      </c>
      <c r="N1382" s="2" t="s">
        <v>60</v>
      </c>
      <c r="O1382" s="2">
        <v>1.10751038E8</v>
      </c>
      <c r="P1382" s="15"/>
      <c r="Q1382" s="8">
        <v>2025.0</v>
      </c>
      <c r="R1382" s="8" t="s">
        <v>3946</v>
      </c>
    </row>
    <row r="1383">
      <c r="A1383" s="4" t="s">
        <v>18</v>
      </c>
      <c r="B1383" s="2" t="s">
        <v>4602</v>
      </c>
      <c r="C1383" s="5">
        <v>45979.0</v>
      </c>
      <c r="D1383" s="5">
        <v>45979.0</v>
      </c>
      <c r="E1383" s="4" t="s">
        <v>4603</v>
      </c>
      <c r="F1383" s="9"/>
      <c r="G1383" s="6"/>
      <c r="H1383" s="7">
        <v>376.0</v>
      </c>
      <c r="I1383" s="11">
        <v>88975.62</v>
      </c>
      <c r="K1383" s="12" t="str">
        <f t="shared" si="179"/>
        <v>UN3668</v>
      </c>
      <c r="L1383" s="2" t="s">
        <v>4604</v>
      </c>
      <c r="M1383" s="2" t="s">
        <v>24</v>
      </c>
      <c r="N1383" s="2" t="s">
        <v>60</v>
      </c>
      <c r="O1383" s="2">
        <v>1.10751038E8</v>
      </c>
      <c r="P1383" s="15"/>
      <c r="Q1383" s="8">
        <v>2025.0</v>
      </c>
      <c r="R1383" s="8" t="s">
        <v>3946</v>
      </c>
    </row>
    <row r="1384">
      <c r="A1384" s="4" t="s">
        <v>18</v>
      </c>
      <c r="B1384" s="2" t="s">
        <v>4605</v>
      </c>
      <c r="C1384" s="5">
        <v>45979.0</v>
      </c>
      <c r="D1384" s="5">
        <v>45979.0</v>
      </c>
      <c r="E1384" s="4" t="s">
        <v>4606</v>
      </c>
      <c r="F1384" s="9"/>
      <c r="G1384" s="6"/>
      <c r="H1384" s="7">
        <v>450.0</v>
      </c>
      <c r="I1384" s="11">
        <v>89425.62</v>
      </c>
      <c r="K1384" s="12" t="str">
        <f t="shared" si="179"/>
        <v>SC3567</v>
      </c>
      <c r="L1384" s="2" t="s">
        <v>4607</v>
      </c>
      <c r="M1384" s="2" t="s">
        <v>24</v>
      </c>
      <c r="N1384" s="2" t="s">
        <v>60</v>
      </c>
      <c r="O1384" s="2">
        <v>1.10751038E8</v>
      </c>
      <c r="P1384" s="15"/>
      <c r="Q1384" s="8">
        <v>2025.0</v>
      </c>
      <c r="R1384" s="8" t="s">
        <v>3946</v>
      </c>
    </row>
    <row r="1385">
      <c r="A1385" s="4" t="s">
        <v>18</v>
      </c>
      <c r="B1385" s="2" t="s">
        <v>4608</v>
      </c>
      <c r="C1385" s="5">
        <v>45979.0</v>
      </c>
      <c r="D1385" s="5">
        <v>45979.0</v>
      </c>
      <c r="E1385" s="4" t="s">
        <v>4609</v>
      </c>
      <c r="F1385" s="9"/>
      <c r="G1385" s="6"/>
      <c r="H1385" s="7">
        <v>480.0</v>
      </c>
      <c r="I1385" s="11">
        <v>89905.62</v>
      </c>
      <c r="K1385" s="12" t="str">
        <f t="shared" si="179"/>
        <v>SL1610</v>
      </c>
      <c r="L1385" s="2" t="s">
        <v>4610</v>
      </c>
      <c r="M1385" s="2" t="s">
        <v>24</v>
      </c>
      <c r="N1385" s="2" t="s">
        <v>60</v>
      </c>
      <c r="O1385" s="2">
        <v>1.10751038E8</v>
      </c>
      <c r="P1385" s="15"/>
      <c r="Q1385" s="8">
        <v>2025.0</v>
      </c>
      <c r="R1385" s="8" t="s">
        <v>3946</v>
      </c>
    </row>
    <row r="1386">
      <c r="A1386" s="4" t="s">
        <v>18</v>
      </c>
      <c r="B1386" s="2" t="s">
        <v>4611</v>
      </c>
      <c r="C1386" s="5">
        <v>45979.0</v>
      </c>
      <c r="D1386" s="5">
        <v>45979.0</v>
      </c>
      <c r="E1386" s="4" t="s">
        <v>4612</v>
      </c>
      <c r="F1386" s="9"/>
      <c r="G1386" s="6"/>
      <c r="H1386" s="11">
        <v>2605.0</v>
      </c>
      <c r="I1386" s="11">
        <v>92510.62</v>
      </c>
      <c r="K1386" s="12" t="str">
        <f t="shared" si="179"/>
        <v>KN3817</v>
      </c>
      <c r="L1386" s="2" t="s">
        <v>4613</v>
      </c>
      <c r="M1386" s="2" t="s">
        <v>24</v>
      </c>
      <c r="N1386" s="2" t="s">
        <v>60</v>
      </c>
      <c r="O1386" s="2">
        <v>1.10751038E8</v>
      </c>
      <c r="P1386" s="15"/>
      <c r="Q1386" s="8">
        <v>2025.0</v>
      </c>
      <c r="R1386" s="8" t="s">
        <v>3946</v>
      </c>
    </row>
    <row r="1387">
      <c r="A1387" s="4" t="s">
        <v>18</v>
      </c>
      <c r="B1387" s="2" t="s">
        <v>4614</v>
      </c>
      <c r="C1387" s="5">
        <v>45979.0</v>
      </c>
      <c r="D1387" s="5">
        <v>45979.0</v>
      </c>
      <c r="E1387" s="4" t="s">
        <v>4615</v>
      </c>
      <c r="F1387" s="9"/>
      <c r="G1387" s="6"/>
      <c r="H1387" s="7">
        <v>936.0</v>
      </c>
      <c r="I1387" s="11">
        <v>93446.62</v>
      </c>
      <c r="K1387" s="12" t="str">
        <f t="shared" si="179"/>
        <v>UN3668</v>
      </c>
      <c r="L1387" s="2" t="s">
        <v>4616</v>
      </c>
      <c r="M1387" s="2" t="s">
        <v>24</v>
      </c>
      <c r="N1387" s="2" t="s">
        <v>60</v>
      </c>
      <c r="O1387" s="2">
        <v>1.10751038E8</v>
      </c>
      <c r="P1387" s="15"/>
      <c r="Q1387" s="8">
        <v>2025.0</v>
      </c>
      <c r="R1387" s="8" t="s">
        <v>3946</v>
      </c>
    </row>
    <row r="1388">
      <c r="A1388" s="4" t="s">
        <v>18</v>
      </c>
      <c r="B1388" s="2" t="s">
        <v>4617</v>
      </c>
      <c r="C1388" s="5">
        <v>45980.0</v>
      </c>
      <c r="D1388" s="5">
        <v>45980.0</v>
      </c>
      <c r="E1388" s="4" t="s">
        <v>4618</v>
      </c>
      <c r="F1388" s="9"/>
      <c r="G1388" s="6"/>
      <c r="H1388" s="7">
        <v>300.0</v>
      </c>
      <c r="I1388" s="11">
        <v>93746.62</v>
      </c>
      <c r="K1388" s="12" t="str">
        <f t="shared" si="179"/>
        <v>UN3668</v>
      </c>
      <c r="L1388" s="2" t="s">
        <v>4619</v>
      </c>
      <c r="M1388" s="2" t="s">
        <v>24</v>
      </c>
      <c r="N1388" s="2" t="s">
        <v>60</v>
      </c>
      <c r="O1388" s="2">
        <v>1.10751038E8</v>
      </c>
      <c r="P1388" s="15"/>
      <c r="Q1388" s="8">
        <v>2025.0</v>
      </c>
      <c r="R1388" s="8" t="s">
        <v>3946</v>
      </c>
    </row>
    <row r="1389">
      <c r="A1389" s="4" t="s">
        <v>18</v>
      </c>
      <c r="B1389" s="2" t="s">
        <v>4620</v>
      </c>
      <c r="C1389" s="5">
        <v>45980.0</v>
      </c>
      <c r="D1389" s="5">
        <v>45980.0</v>
      </c>
      <c r="E1389" s="4" t="s">
        <v>4621</v>
      </c>
      <c r="F1389" s="9"/>
      <c r="G1389" s="6"/>
      <c r="H1389" s="7">
        <v>337.0</v>
      </c>
      <c r="I1389" s="11">
        <v>94083.62</v>
      </c>
      <c r="K1389" s="12" t="str">
        <f t="shared" si="179"/>
        <v>SL1610</v>
      </c>
      <c r="L1389" s="2" t="s">
        <v>4622</v>
      </c>
      <c r="M1389" s="2" t="s">
        <v>24</v>
      </c>
      <c r="N1389" s="2" t="s">
        <v>60</v>
      </c>
      <c r="O1389" s="2">
        <v>1.10751038E8</v>
      </c>
      <c r="P1389" s="15"/>
      <c r="Q1389" s="8">
        <v>2025.0</v>
      </c>
      <c r="R1389" s="8" t="s">
        <v>3946</v>
      </c>
    </row>
    <row r="1390">
      <c r="A1390" s="4" t="s">
        <v>18</v>
      </c>
      <c r="B1390" s="2" t="s">
        <v>4623</v>
      </c>
      <c r="C1390" s="5">
        <v>45980.0</v>
      </c>
      <c r="D1390" s="5">
        <v>45980.0</v>
      </c>
      <c r="E1390" s="4" t="s">
        <v>4624</v>
      </c>
      <c r="F1390" s="9"/>
      <c r="G1390" s="6"/>
      <c r="H1390" s="11">
        <v>1716.0</v>
      </c>
      <c r="I1390" s="11">
        <v>95799.62</v>
      </c>
      <c r="K1390" s="12" t="str">
        <f t="shared" si="179"/>
        <v>UN3668</v>
      </c>
      <c r="L1390" s="2" t="s">
        <v>4625</v>
      </c>
      <c r="M1390" s="2" t="s">
        <v>24</v>
      </c>
      <c r="N1390" s="2" t="s">
        <v>60</v>
      </c>
      <c r="O1390" s="2">
        <v>1.10751038E8</v>
      </c>
      <c r="P1390" s="15"/>
      <c r="Q1390" s="8">
        <v>2025.0</v>
      </c>
      <c r="R1390" s="8" t="s">
        <v>3946</v>
      </c>
    </row>
    <row r="1391">
      <c r="A1391" s="4" t="s">
        <v>18</v>
      </c>
      <c r="B1391" s="2" t="s">
        <v>4626</v>
      </c>
      <c r="C1391" s="5">
        <v>45980.0</v>
      </c>
      <c r="D1391" s="5">
        <v>45980.0</v>
      </c>
      <c r="E1391" s="4" t="s">
        <v>4627</v>
      </c>
      <c r="F1391" s="9"/>
      <c r="G1391" s="6"/>
      <c r="H1391" s="11">
        <v>2000.0</v>
      </c>
      <c r="I1391" s="11">
        <v>97799.62</v>
      </c>
      <c r="K1391" s="12" t="str">
        <f t="shared" si="179"/>
        <v>SL1610</v>
      </c>
      <c r="L1391" s="2" t="s">
        <v>4628</v>
      </c>
      <c r="M1391" s="2" t="s">
        <v>24</v>
      </c>
      <c r="N1391" s="2" t="s">
        <v>60</v>
      </c>
      <c r="O1391" s="2">
        <v>1.10751038E8</v>
      </c>
      <c r="P1391" s="15"/>
      <c r="Q1391" s="8">
        <v>2025.0</v>
      </c>
      <c r="R1391" s="8" t="s">
        <v>3946</v>
      </c>
    </row>
    <row r="1392">
      <c r="A1392" s="4" t="s">
        <v>18</v>
      </c>
      <c r="B1392" s="2" t="s">
        <v>4629</v>
      </c>
      <c r="C1392" s="5">
        <v>45980.0</v>
      </c>
      <c r="D1392" s="5">
        <v>45980.0</v>
      </c>
      <c r="E1392" s="4" t="s">
        <v>4630</v>
      </c>
      <c r="F1392" s="9"/>
      <c r="G1392" s="6"/>
      <c r="H1392" s="11">
        <v>2000.0</v>
      </c>
      <c r="I1392" s="11">
        <v>99799.62</v>
      </c>
      <c r="K1392" s="12" t="str">
        <f t="shared" si="179"/>
        <v>SL1610</v>
      </c>
      <c r="L1392" s="2" t="s">
        <v>4628</v>
      </c>
      <c r="M1392" s="2" t="s">
        <v>24</v>
      </c>
      <c r="N1392" s="2" t="s">
        <v>60</v>
      </c>
      <c r="O1392" s="2">
        <v>1.10751038E8</v>
      </c>
      <c r="P1392" s="15"/>
      <c r="Q1392" s="8">
        <v>2025.0</v>
      </c>
      <c r="R1392" s="8" t="s">
        <v>3946</v>
      </c>
    </row>
    <row r="1393">
      <c r="A1393" s="4" t="s">
        <v>18</v>
      </c>
      <c r="B1393" s="2" t="s">
        <v>4631</v>
      </c>
      <c r="C1393" s="5">
        <v>45980.0</v>
      </c>
      <c r="D1393" s="5">
        <v>45980.0</v>
      </c>
      <c r="E1393" s="4" t="s">
        <v>4632</v>
      </c>
      <c r="F1393" s="9"/>
      <c r="G1393" s="6"/>
      <c r="H1393" s="7">
        <v>504.0</v>
      </c>
      <c r="I1393" s="7" t="s">
        <v>4633</v>
      </c>
      <c r="K1393" s="12" t="str">
        <f t="shared" si="179"/>
        <v>SL1610</v>
      </c>
      <c r="L1393" s="2" t="s">
        <v>4628</v>
      </c>
      <c r="M1393" s="2" t="s">
        <v>24</v>
      </c>
      <c r="N1393" s="2" t="s">
        <v>60</v>
      </c>
      <c r="O1393" s="2">
        <v>1.10751038E8</v>
      </c>
      <c r="P1393" s="15"/>
      <c r="Q1393" s="8">
        <v>2025.0</v>
      </c>
      <c r="R1393" s="8" t="s">
        <v>3946</v>
      </c>
    </row>
    <row r="1394">
      <c r="A1394" s="4" t="s">
        <v>18</v>
      </c>
      <c r="B1394" s="2" t="s">
        <v>4634</v>
      </c>
      <c r="C1394" s="5">
        <v>45980.0</v>
      </c>
      <c r="D1394" s="5">
        <v>45980.0</v>
      </c>
      <c r="E1394" s="4" t="s">
        <v>4635</v>
      </c>
      <c r="F1394" s="9"/>
      <c r="G1394" s="7">
        <v>160.0</v>
      </c>
      <c r="H1394" s="6"/>
      <c r="I1394" s="7" t="s">
        <v>4636</v>
      </c>
      <c r="K1394" s="2" t="s">
        <v>113</v>
      </c>
      <c r="M1394" s="2" t="s">
        <v>114</v>
      </c>
      <c r="N1394" s="2" t="s">
        <v>1835</v>
      </c>
      <c r="O1394" s="2">
        <v>1.10751038E8</v>
      </c>
      <c r="Q1394" s="8">
        <v>2025.0</v>
      </c>
      <c r="R1394" s="8" t="s">
        <v>3946</v>
      </c>
    </row>
    <row r="1395">
      <c r="A1395" s="4" t="s">
        <v>18</v>
      </c>
      <c r="B1395" s="2" t="s">
        <v>4637</v>
      </c>
      <c r="C1395" s="5">
        <v>45980.0</v>
      </c>
      <c r="D1395" s="5">
        <v>45980.0</v>
      </c>
      <c r="E1395" s="4" t="s">
        <v>4638</v>
      </c>
      <c r="F1395" s="9"/>
      <c r="G1395" s="6"/>
      <c r="H1395" s="7">
        <v>280.0</v>
      </c>
      <c r="I1395" s="7" t="s">
        <v>4639</v>
      </c>
      <c r="K1395" s="12" t="str">
        <f t="shared" ref="K1395:K1397" si="180">RIGHT(E1395,6)</f>
        <v>UN3668</v>
      </c>
      <c r="L1395" s="2" t="s">
        <v>4640</v>
      </c>
      <c r="M1395" s="2" t="s">
        <v>24</v>
      </c>
      <c r="N1395" s="2" t="s">
        <v>60</v>
      </c>
      <c r="O1395" s="2">
        <v>1.10751038E8</v>
      </c>
      <c r="P1395" s="15"/>
      <c r="Q1395" s="8">
        <v>2025.0</v>
      </c>
      <c r="R1395" s="8" t="s">
        <v>3946</v>
      </c>
    </row>
    <row r="1396">
      <c r="A1396" s="4" t="s">
        <v>18</v>
      </c>
      <c r="B1396" s="2" t="s">
        <v>4641</v>
      </c>
      <c r="C1396" s="5">
        <v>45980.0</v>
      </c>
      <c r="D1396" s="5">
        <v>45980.0</v>
      </c>
      <c r="E1396" s="4" t="s">
        <v>4642</v>
      </c>
      <c r="F1396" s="9"/>
      <c r="G1396" s="6"/>
      <c r="H1396" s="7">
        <v>396.0</v>
      </c>
      <c r="I1396" s="7" t="s">
        <v>4643</v>
      </c>
      <c r="K1396" s="12" t="str">
        <f t="shared" si="180"/>
        <v>UN3668</v>
      </c>
      <c r="L1396" s="2" t="s">
        <v>4644</v>
      </c>
      <c r="M1396" s="2" t="s">
        <v>24</v>
      </c>
      <c r="N1396" s="2" t="s">
        <v>60</v>
      </c>
      <c r="O1396" s="2">
        <v>1.10751038E8</v>
      </c>
      <c r="P1396" s="15"/>
      <c r="Q1396" s="8">
        <v>2025.0</v>
      </c>
      <c r="R1396" s="8" t="s">
        <v>3946</v>
      </c>
    </row>
    <row r="1397">
      <c r="A1397" s="4" t="s">
        <v>18</v>
      </c>
      <c r="B1397" s="2" t="s">
        <v>4645</v>
      </c>
      <c r="C1397" s="5">
        <v>45981.0</v>
      </c>
      <c r="D1397" s="5">
        <v>45981.0</v>
      </c>
      <c r="E1397" s="4" t="s">
        <v>4646</v>
      </c>
      <c r="F1397" s="9"/>
      <c r="G1397" s="6"/>
      <c r="H1397" s="11">
        <v>2346.0</v>
      </c>
      <c r="I1397" s="7" t="s">
        <v>4647</v>
      </c>
      <c r="K1397" s="12" t="str">
        <f t="shared" si="180"/>
        <v>SL1610</v>
      </c>
      <c r="L1397" s="2" t="s">
        <v>4648</v>
      </c>
      <c r="M1397" s="2" t="s">
        <v>24</v>
      </c>
      <c r="N1397" s="2" t="s">
        <v>60</v>
      </c>
      <c r="O1397" s="2">
        <v>1.10751038E8</v>
      </c>
      <c r="P1397" s="15"/>
      <c r="Q1397" s="8">
        <v>2025.0</v>
      </c>
      <c r="R1397" s="8" t="s">
        <v>3946</v>
      </c>
    </row>
    <row r="1398">
      <c r="A1398" s="4" t="s">
        <v>18</v>
      </c>
      <c r="B1398" s="2" t="s">
        <v>4649</v>
      </c>
      <c r="C1398" s="5">
        <v>45981.0</v>
      </c>
      <c r="D1398" s="5">
        <v>45981.0</v>
      </c>
      <c r="E1398" s="4" t="s">
        <v>4650</v>
      </c>
      <c r="F1398" s="9"/>
      <c r="G1398" s="6"/>
      <c r="H1398" s="7">
        <v>252.0</v>
      </c>
      <c r="I1398" s="7" t="s">
        <v>4651</v>
      </c>
      <c r="K1398" s="2" t="s">
        <v>539</v>
      </c>
      <c r="M1398" s="2" t="s">
        <v>24</v>
      </c>
      <c r="N1398" s="2" t="s">
        <v>60</v>
      </c>
      <c r="O1398" s="2">
        <v>1.10751038E8</v>
      </c>
      <c r="P1398" s="15" t="str">
        <f>IFERROR(__xludf.DUMMYFUNCTION("CONCATENATE(B1398,"", "", to_text(D1398),"", "", E1398,"", "", H1398)"),"TSV-11-0254, 20-Nov-2025, UPI/CR/532497567374/PRIYANKA/PUNB/priyank/Pay Req, 252")</f>
        <v>TSV-11-0254, 20-Nov-2025, UPI/CR/532497567374/PRIYANKA/PUNB/priyank/Pay Req, 252</v>
      </c>
      <c r="Q1398" s="8">
        <v>2025.0</v>
      </c>
      <c r="R1398" s="8" t="s">
        <v>3946</v>
      </c>
    </row>
    <row r="1399">
      <c r="A1399" s="4" t="s">
        <v>18</v>
      </c>
      <c r="B1399" s="2" t="s">
        <v>4652</v>
      </c>
      <c r="C1399" s="5">
        <v>45981.0</v>
      </c>
      <c r="D1399" s="5">
        <v>45981.0</v>
      </c>
      <c r="E1399" s="4" t="s">
        <v>4653</v>
      </c>
      <c r="F1399" s="9"/>
      <c r="G1399" s="6"/>
      <c r="H1399" s="7">
        <v>495.0</v>
      </c>
      <c r="I1399" s="7" t="s">
        <v>4654</v>
      </c>
      <c r="K1399" s="12" t="str">
        <f t="shared" ref="K1399:K1400" si="181">RIGHT(E1399,6)</f>
        <v>UN3668</v>
      </c>
      <c r="L1399" s="2" t="s">
        <v>4655</v>
      </c>
      <c r="M1399" s="2" t="s">
        <v>24</v>
      </c>
      <c r="N1399" s="2" t="s">
        <v>60</v>
      </c>
      <c r="O1399" s="2">
        <v>1.10751038E8</v>
      </c>
      <c r="P1399" s="15"/>
      <c r="Q1399" s="8">
        <v>2025.0</v>
      </c>
      <c r="R1399" s="8" t="s">
        <v>3946</v>
      </c>
    </row>
    <row r="1400">
      <c r="A1400" s="4" t="s">
        <v>18</v>
      </c>
      <c r="B1400" s="2" t="s">
        <v>4656</v>
      </c>
      <c r="C1400" s="5">
        <v>45981.0</v>
      </c>
      <c r="D1400" s="5">
        <v>45981.0</v>
      </c>
      <c r="E1400" s="4" t="s">
        <v>4657</v>
      </c>
      <c r="F1400" s="9"/>
      <c r="G1400" s="6"/>
      <c r="H1400" s="11">
        <v>2151.0</v>
      </c>
      <c r="I1400" s="7" t="s">
        <v>4658</v>
      </c>
      <c r="K1400" s="12" t="str">
        <f t="shared" si="181"/>
        <v>SC3567</v>
      </c>
      <c r="L1400" s="2" t="s">
        <v>4659</v>
      </c>
      <c r="M1400" s="2" t="s">
        <v>24</v>
      </c>
      <c r="N1400" s="2" t="s">
        <v>60</v>
      </c>
      <c r="O1400" s="2">
        <v>1.10751038E8</v>
      </c>
      <c r="P1400" s="15"/>
      <c r="Q1400" s="8">
        <v>2025.0</v>
      </c>
      <c r="R1400" s="8" t="s">
        <v>3946</v>
      </c>
    </row>
    <row r="1401">
      <c r="A1401" s="4" t="s">
        <v>18</v>
      </c>
      <c r="B1401" s="2" t="s">
        <v>4660</v>
      </c>
      <c r="C1401" s="5">
        <v>45981.0</v>
      </c>
      <c r="D1401" s="5">
        <v>45981.0</v>
      </c>
      <c r="E1401" s="4" t="s">
        <v>4661</v>
      </c>
      <c r="F1401" s="9"/>
      <c r="G1401" s="11">
        <v>3000.0</v>
      </c>
      <c r="H1401" s="6"/>
      <c r="I1401" s="7" t="s">
        <v>4662</v>
      </c>
      <c r="K1401" s="2" t="s">
        <v>23</v>
      </c>
      <c r="M1401" s="2" t="s">
        <v>114</v>
      </c>
      <c r="N1401" s="2" t="s">
        <v>1835</v>
      </c>
      <c r="O1401" s="2">
        <v>1.10751038E8</v>
      </c>
      <c r="Q1401" s="8">
        <v>2025.0</v>
      </c>
      <c r="R1401" s="8" t="s">
        <v>3946</v>
      </c>
    </row>
    <row r="1402">
      <c r="A1402" s="4" t="s">
        <v>18</v>
      </c>
      <c r="B1402" s="2" t="s">
        <v>4663</v>
      </c>
      <c r="C1402" s="5">
        <v>45981.0</v>
      </c>
      <c r="D1402" s="5">
        <v>45981.0</v>
      </c>
      <c r="E1402" s="4" t="s">
        <v>4664</v>
      </c>
      <c r="F1402" s="9"/>
      <c r="G1402" s="6"/>
      <c r="H1402" s="7">
        <v>436.0</v>
      </c>
      <c r="I1402" s="7" t="s">
        <v>4665</v>
      </c>
      <c r="K1402" s="12" t="str">
        <f t="shared" ref="K1402:K1403" si="182">RIGHT(E1402,6)</f>
        <v>SC3567</v>
      </c>
      <c r="L1402" s="2" t="s">
        <v>4666</v>
      </c>
      <c r="M1402" s="2" t="s">
        <v>24</v>
      </c>
      <c r="N1402" s="2" t="s">
        <v>60</v>
      </c>
      <c r="O1402" s="2">
        <v>1.10751038E8</v>
      </c>
      <c r="P1402" s="15"/>
      <c r="Q1402" s="8">
        <v>2025.0</v>
      </c>
      <c r="R1402" s="8" t="s">
        <v>3946</v>
      </c>
    </row>
    <row r="1403">
      <c r="A1403" s="4" t="s">
        <v>18</v>
      </c>
      <c r="B1403" s="2" t="s">
        <v>4667</v>
      </c>
      <c r="C1403" s="5">
        <v>45981.0</v>
      </c>
      <c r="D1403" s="5">
        <v>45981.0</v>
      </c>
      <c r="E1403" s="4" t="s">
        <v>4668</v>
      </c>
      <c r="F1403" s="9"/>
      <c r="G1403" s="6"/>
      <c r="H1403" s="7">
        <v>600.0</v>
      </c>
      <c r="I1403" s="7" t="s">
        <v>4669</v>
      </c>
      <c r="K1403" s="12" t="str">
        <f t="shared" si="182"/>
        <v>UN3668</v>
      </c>
      <c r="L1403" s="2" t="s">
        <v>4670</v>
      </c>
      <c r="M1403" s="2" t="s">
        <v>24</v>
      </c>
      <c r="N1403" s="2" t="s">
        <v>60</v>
      </c>
      <c r="O1403" s="2">
        <v>1.10751038E8</v>
      </c>
      <c r="P1403" s="15"/>
      <c r="Q1403" s="8">
        <v>2025.0</v>
      </c>
      <c r="R1403" s="8" t="s">
        <v>3946</v>
      </c>
    </row>
    <row r="1404">
      <c r="A1404" s="4" t="s">
        <v>18</v>
      </c>
      <c r="B1404" s="2" t="s">
        <v>4671</v>
      </c>
      <c r="C1404" s="5">
        <v>45981.0</v>
      </c>
      <c r="D1404" s="5">
        <v>45981.0</v>
      </c>
      <c r="E1404" s="4" t="s">
        <v>4672</v>
      </c>
      <c r="F1404" s="9"/>
      <c r="G1404" s="6"/>
      <c r="H1404" s="11">
        <v>1383.0</v>
      </c>
      <c r="I1404" s="7" t="s">
        <v>4673</v>
      </c>
      <c r="K1404" s="2" t="s">
        <v>113</v>
      </c>
      <c r="L1404" s="2" t="s">
        <v>4674</v>
      </c>
      <c r="M1404" s="2" t="s">
        <v>24</v>
      </c>
      <c r="N1404" s="2" t="s">
        <v>60</v>
      </c>
      <c r="O1404" s="2">
        <v>1.10751038E8</v>
      </c>
      <c r="P1404" s="15"/>
      <c r="Q1404" s="8">
        <v>2025.0</v>
      </c>
      <c r="R1404" s="8" t="s">
        <v>3946</v>
      </c>
    </row>
    <row r="1405">
      <c r="A1405" s="4" t="s">
        <v>18</v>
      </c>
      <c r="B1405" s="2" t="s">
        <v>4675</v>
      </c>
      <c r="C1405" s="5">
        <v>45981.0</v>
      </c>
      <c r="D1405" s="5">
        <v>45981.0</v>
      </c>
      <c r="E1405" s="4" t="s">
        <v>4676</v>
      </c>
      <c r="F1405" s="9"/>
      <c r="G1405" s="6"/>
      <c r="H1405" s="7">
        <v>600.0</v>
      </c>
      <c r="I1405" s="7" t="s">
        <v>4677</v>
      </c>
      <c r="K1405" s="12" t="str">
        <f t="shared" ref="K1405:K1409" si="183">RIGHT(E1405,6)</f>
        <v>UN3668</v>
      </c>
      <c r="L1405" s="2" t="s">
        <v>4678</v>
      </c>
      <c r="M1405" s="2" t="s">
        <v>24</v>
      </c>
      <c r="N1405" s="2" t="s">
        <v>60</v>
      </c>
      <c r="O1405" s="2">
        <v>1.10751038E8</v>
      </c>
      <c r="P1405" s="15"/>
      <c r="Q1405" s="8">
        <v>2025.0</v>
      </c>
      <c r="R1405" s="8" t="s">
        <v>3946</v>
      </c>
    </row>
    <row r="1406">
      <c r="A1406" s="4" t="s">
        <v>18</v>
      </c>
      <c r="B1406" s="2" t="s">
        <v>4679</v>
      </c>
      <c r="C1406" s="5">
        <v>45981.0</v>
      </c>
      <c r="D1406" s="5">
        <v>45981.0</v>
      </c>
      <c r="E1406" s="4" t="s">
        <v>4680</v>
      </c>
      <c r="F1406" s="9"/>
      <c r="G1406" s="6"/>
      <c r="H1406" s="7">
        <v>527.0</v>
      </c>
      <c r="I1406" s="7" t="s">
        <v>4681</v>
      </c>
      <c r="K1406" s="12" t="str">
        <f t="shared" si="183"/>
        <v>SL1610</v>
      </c>
      <c r="L1406" s="2" t="s">
        <v>4682</v>
      </c>
      <c r="M1406" s="2" t="s">
        <v>24</v>
      </c>
      <c r="N1406" s="2" t="s">
        <v>60</v>
      </c>
      <c r="O1406" s="2">
        <v>1.10751038E8</v>
      </c>
      <c r="P1406" s="15"/>
      <c r="Q1406" s="8">
        <v>2025.0</v>
      </c>
      <c r="R1406" s="8" t="s">
        <v>3946</v>
      </c>
    </row>
    <row r="1407">
      <c r="A1407" s="4" t="s">
        <v>18</v>
      </c>
      <c r="B1407" s="2" t="s">
        <v>4683</v>
      </c>
      <c r="C1407" s="5">
        <v>45981.0</v>
      </c>
      <c r="D1407" s="5">
        <v>45981.0</v>
      </c>
      <c r="E1407" s="4" t="s">
        <v>4684</v>
      </c>
      <c r="F1407" s="9"/>
      <c r="G1407" s="6"/>
      <c r="H1407" s="7">
        <v>200.0</v>
      </c>
      <c r="I1407" s="7" t="s">
        <v>4685</v>
      </c>
      <c r="K1407" s="12" t="str">
        <f t="shared" si="183"/>
        <v>SC3567</v>
      </c>
      <c r="L1407" s="2" t="s">
        <v>4686</v>
      </c>
      <c r="M1407" s="2" t="s">
        <v>24</v>
      </c>
      <c r="N1407" s="2" t="s">
        <v>60</v>
      </c>
      <c r="O1407" s="2">
        <v>1.10751038E8</v>
      </c>
      <c r="P1407" s="15"/>
      <c r="Q1407" s="8">
        <v>2025.0</v>
      </c>
      <c r="R1407" s="8" t="s">
        <v>3946</v>
      </c>
    </row>
    <row r="1408">
      <c r="A1408" s="4" t="s">
        <v>18</v>
      </c>
      <c r="B1408" s="2" t="s">
        <v>4687</v>
      </c>
      <c r="C1408" s="5">
        <v>45981.0</v>
      </c>
      <c r="D1408" s="5">
        <v>45981.0</v>
      </c>
      <c r="E1408" s="4" t="s">
        <v>4688</v>
      </c>
      <c r="F1408" s="9"/>
      <c r="G1408" s="6"/>
      <c r="H1408" s="11">
        <v>1204.0</v>
      </c>
      <c r="I1408" s="7" t="s">
        <v>4689</v>
      </c>
      <c r="K1408" s="12" t="str">
        <f t="shared" si="183"/>
        <v>SL1610</v>
      </c>
      <c r="L1408" s="2" t="s">
        <v>4690</v>
      </c>
      <c r="M1408" s="2" t="s">
        <v>24</v>
      </c>
      <c r="N1408" s="2" t="s">
        <v>60</v>
      </c>
      <c r="O1408" s="2">
        <v>1.10751038E8</v>
      </c>
      <c r="P1408" s="15"/>
      <c r="Q1408" s="8">
        <v>2025.0</v>
      </c>
      <c r="R1408" s="8" t="s">
        <v>3946</v>
      </c>
    </row>
    <row r="1409">
      <c r="A1409" s="4" t="s">
        <v>18</v>
      </c>
      <c r="B1409" s="2" t="s">
        <v>4691</v>
      </c>
      <c r="C1409" s="5">
        <v>45981.0</v>
      </c>
      <c r="D1409" s="5">
        <v>45981.0</v>
      </c>
      <c r="E1409" s="4" t="s">
        <v>4692</v>
      </c>
      <c r="F1409" s="9"/>
      <c r="G1409" s="6"/>
      <c r="H1409" s="7">
        <v>392.0</v>
      </c>
      <c r="I1409" s="7" t="s">
        <v>4693</v>
      </c>
      <c r="K1409" s="12" t="str">
        <f t="shared" si="183"/>
        <v>KN3817</v>
      </c>
      <c r="L1409" s="2" t="s">
        <v>4694</v>
      </c>
      <c r="M1409" s="2" t="s">
        <v>24</v>
      </c>
      <c r="N1409" s="2" t="s">
        <v>60</v>
      </c>
      <c r="O1409" s="2">
        <v>1.10751038E8</v>
      </c>
      <c r="P1409" s="15"/>
      <c r="Q1409" s="8">
        <v>2025.0</v>
      </c>
      <c r="R1409" s="8" t="s">
        <v>3946</v>
      </c>
    </row>
    <row r="1410">
      <c r="A1410" s="4" t="s">
        <v>18</v>
      </c>
      <c r="B1410" s="2" t="s">
        <v>4695</v>
      </c>
      <c r="C1410" s="5">
        <v>45981.0</v>
      </c>
      <c r="D1410" s="5">
        <v>45981.0</v>
      </c>
      <c r="E1410" s="4" t="s">
        <v>4696</v>
      </c>
      <c r="F1410" s="9"/>
      <c r="G1410" s="6"/>
      <c r="H1410" s="7">
        <v>584.0</v>
      </c>
      <c r="I1410" s="7" t="s">
        <v>4697</v>
      </c>
      <c r="K1410" s="2" t="s">
        <v>113</v>
      </c>
      <c r="L1410" s="2" t="s">
        <v>4698</v>
      </c>
      <c r="M1410" s="2" t="s">
        <v>24</v>
      </c>
      <c r="N1410" s="2" t="s">
        <v>60</v>
      </c>
      <c r="O1410" s="2">
        <v>1.10751038E8</v>
      </c>
      <c r="P1410" s="15"/>
      <c r="Q1410" s="8">
        <v>2025.0</v>
      </c>
      <c r="R1410" s="8" t="s">
        <v>3946</v>
      </c>
    </row>
    <row r="1411">
      <c r="A1411" s="4" t="s">
        <v>18</v>
      </c>
      <c r="B1411" s="2" t="s">
        <v>4699</v>
      </c>
      <c r="C1411" s="5">
        <v>45981.0</v>
      </c>
      <c r="D1411" s="5">
        <v>45981.0</v>
      </c>
      <c r="E1411" s="4" t="s">
        <v>4700</v>
      </c>
      <c r="F1411" s="9"/>
      <c r="G1411" s="6"/>
      <c r="H1411" s="11">
        <v>1248.0</v>
      </c>
      <c r="I1411" s="7" t="s">
        <v>4701</v>
      </c>
      <c r="K1411" s="12" t="str">
        <f t="shared" ref="K1411:K1412" si="184">RIGHT(E1411,6)</f>
        <v>UN3668</v>
      </c>
      <c r="L1411" s="2" t="s">
        <v>4702</v>
      </c>
      <c r="M1411" s="2" t="s">
        <v>24</v>
      </c>
      <c r="N1411" s="2" t="s">
        <v>60</v>
      </c>
      <c r="O1411" s="2">
        <v>1.10751038E8</v>
      </c>
      <c r="P1411" s="15"/>
      <c r="Q1411" s="8">
        <v>2025.0</v>
      </c>
      <c r="R1411" s="8" t="s">
        <v>3946</v>
      </c>
    </row>
    <row r="1412">
      <c r="A1412" s="4" t="s">
        <v>18</v>
      </c>
      <c r="B1412" s="2" t="s">
        <v>4703</v>
      </c>
      <c r="C1412" s="5">
        <v>45982.0</v>
      </c>
      <c r="D1412" s="5">
        <v>45982.0</v>
      </c>
      <c r="E1412" s="4" t="s">
        <v>4704</v>
      </c>
      <c r="F1412" s="9"/>
      <c r="G1412" s="6"/>
      <c r="H1412" s="11">
        <v>2312.0</v>
      </c>
      <c r="I1412" s="7" t="s">
        <v>4705</v>
      </c>
      <c r="K1412" s="12" t="str">
        <f t="shared" si="184"/>
        <v>SC3567</v>
      </c>
      <c r="L1412" s="2" t="s">
        <v>4706</v>
      </c>
      <c r="M1412" s="2" t="s">
        <v>24</v>
      </c>
      <c r="N1412" s="2" t="s">
        <v>60</v>
      </c>
      <c r="O1412" s="2">
        <v>1.10751038E8</v>
      </c>
      <c r="P1412" s="15"/>
      <c r="Q1412" s="8">
        <v>2025.0</v>
      </c>
      <c r="R1412" s="8" t="s">
        <v>3946</v>
      </c>
    </row>
    <row r="1413">
      <c r="A1413" s="4" t="s">
        <v>18</v>
      </c>
      <c r="B1413" s="2" t="s">
        <v>4707</v>
      </c>
      <c r="C1413" s="5">
        <v>45982.0</v>
      </c>
      <c r="D1413" s="5">
        <v>45982.0</v>
      </c>
      <c r="E1413" s="4" t="s">
        <v>4708</v>
      </c>
      <c r="F1413" s="9"/>
      <c r="G1413" s="11">
        <v>1613.0</v>
      </c>
      <c r="H1413" s="6"/>
      <c r="I1413" s="7" t="s">
        <v>4709</v>
      </c>
      <c r="K1413" s="2" t="s">
        <v>119</v>
      </c>
      <c r="M1413" s="2" t="s">
        <v>114</v>
      </c>
      <c r="N1413" s="2" t="s">
        <v>1800</v>
      </c>
      <c r="O1413" s="2">
        <v>1.10751038E8</v>
      </c>
      <c r="Q1413" s="8">
        <v>2025.0</v>
      </c>
      <c r="R1413" s="8" t="s">
        <v>3946</v>
      </c>
    </row>
    <row r="1414">
      <c r="A1414" s="4" t="s">
        <v>18</v>
      </c>
      <c r="B1414" s="2" t="s">
        <v>4710</v>
      </c>
      <c r="C1414" s="5">
        <v>45982.0</v>
      </c>
      <c r="D1414" s="5">
        <v>45982.0</v>
      </c>
      <c r="E1414" s="4" t="s">
        <v>4711</v>
      </c>
      <c r="F1414" s="9"/>
      <c r="G1414" s="6"/>
      <c r="H1414" s="7">
        <v>728.0</v>
      </c>
      <c r="I1414" s="7" t="s">
        <v>4712</v>
      </c>
      <c r="K1414" s="12" t="str">
        <f t="shared" ref="K1414:K1418" si="185">RIGHT(E1414,6)</f>
        <v>UN3668</v>
      </c>
      <c r="L1414" s="2" t="s">
        <v>4713</v>
      </c>
      <c r="M1414" s="2" t="s">
        <v>24</v>
      </c>
      <c r="N1414" s="2" t="s">
        <v>60</v>
      </c>
      <c r="O1414" s="2">
        <v>1.10751038E8</v>
      </c>
      <c r="P1414" s="15"/>
      <c r="Q1414" s="8">
        <v>2025.0</v>
      </c>
      <c r="R1414" s="8" t="s">
        <v>3946</v>
      </c>
    </row>
    <row r="1415">
      <c r="A1415" s="4" t="s">
        <v>18</v>
      </c>
      <c r="B1415" s="2" t="s">
        <v>4714</v>
      </c>
      <c r="C1415" s="5">
        <v>45982.0</v>
      </c>
      <c r="D1415" s="5">
        <v>45982.0</v>
      </c>
      <c r="E1415" s="4" t="s">
        <v>4715</v>
      </c>
      <c r="F1415" s="9"/>
      <c r="G1415" s="6"/>
      <c r="H1415" s="7">
        <v>760.0</v>
      </c>
      <c r="I1415" s="7" t="s">
        <v>4716</v>
      </c>
      <c r="K1415" s="12" t="str">
        <f t="shared" si="185"/>
        <v>SC3567</v>
      </c>
      <c r="L1415" s="2" t="s">
        <v>4717</v>
      </c>
      <c r="M1415" s="2" t="s">
        <v>24</v>
      </c>
      <c r="N1415" s="2" t="s">
        <v>60</v>
      </c>
      <c r="O1415" s="2">
        <v>1.10751038E8</v>
      </c>
      <c r="P1415" s="15"/>
      <c r="Q1415" s="8">
        <v>2025.0</v>
      </c>
      <c r="R1415" s="8" t="s">
        <v>3946</v>
      </c>
    </row>
    <row r="1416">
      <c r="A1416" s="4" t="s">
        <v>18</v>
      </c>
      <c r="B1416" s="2" t="s">
        <v>4718</v>
      </c>
      <c r="C1416" s="5">
        <v>45982.0</v>
      </c>
      <c r="D1416" s="5">
        <v>45982.0</v>
      </c>
      <c r="E1416" s="4" t="s">
        <v>4719</v>
      </c>
      <c r="F1416" s="9"/>
      <c r="G1416" s="6"/>
      <c r="H1416" s="11">
        <v>2115.0</v>
      </c>
      <c r="I1416" s="7" t="s">
        <v>4720</v>
      </c>
      <c r="K1416" s="12" t="str">
        <f t="shared" si="185"/>
        <v>KN3817</v>
      </c>
      <c r="L1416" s="21" t="s">
        <v>4721</v>
      </c>
      <c r="M1416" s="2" t="s">
        <v>24</v>
      </c>
      <c r="N1416" s="2" t="s">
        <v>60</v>
      </c>
      <c r="O1416" s="2">
        <v>1.10751038E8</v>
      </c>
      <c r="P1416" s="15"/>
      <c r="Q1416" s="8">
        <v>2025.0</v>
      </c>
      <c r="R1416" s="8" t="s">
        <v>3946</v>
      </c>
    </row>
    <row r="1417">
      <c r="A1417" s="4" t="s">
        <v>18</v>
      </c>
      <c r="B1417" s="2" t="s">
        <v>4722</v>
      </c>
      <c r="C1417" s="5">
        <v>45982.0</v>
      </c>
      <c r="D1417" s="5">
        <v>45982.0</v>
      </c>
      <c r="E1417" s="4" t="s">
        <v>4723</v>
      </c>
      <c r="F1417" s="9"/>
      <c r="G1417" s="6"/>
      <c r="H1417" s="7">
        <v>370.0</v>
      </c>
      <c r="I1417" s="7" t="s">
        <v>4724</v>
      </c>
      <c r="K1417" s="12" t="str">
        <f t="shared" si="185"/>
        <v>UN3668</v>
      </c>
      <c r="L1417" s="2" t="s">
        <v>4725</v>
      </c>
      <c r="M1417" s="2" t="s">
        <v>24</v>
      </c>
      <c r="N1417" s="2" t="s">
        <v>60</v>
      </c>
      <c r="O1417" s="2">
        <v>1.10751038E8</v>
      </c>
      <c r="P1417" s="15"/>
      <c r="Q1417" s="8">
        <v>2025.0</v>
      </c>
      <c r="R1417" s="8" t="s">
        <v>3946</v>
      </c>
    </row>
    <row r="1418">
      <c r="A1418" s="4" t="s">
        <v>18</v>
      </c>
      <c r="B1418" s="2" t="s">
        <v>4726</v>
      </c>
      <c r="C1418" s="5">
        <v>45982.0</v>
      </c>
      <c r="D1418" s="5">
        <v>45982.0</v>
      </c>
      <c r="E1418" s="4" t="s">
        <v>4727</v>
      </c>
      <c r="F1418" s="9"/>
      <c r="G1418" s="6"/>
      <c r="H1418" s="11">
        <v>1350.0</v>
      </c>
      <c r="I1418" s="7" t="s">
        <v>4728</v>
      </c>
      <c r="K1418" s="12" t="str">
        <f t="shared" si="185"/>
        <v>KN3817</v>
      </c>
      <c r="L1418" s="2" t="s">
        <v>4729</v>
      </c>
      <c r="M1418" s="2" t="s">
        <v>24</v>
      </c>
      <c r="N1418" s="2" t="s">
        <v>60</v>
      </c>
      <c r="O1418" s="2">
        <v>1.10751038E8</v>
      </c>
      <c r="P1418" s="15"/>
      <c r="Q1418" s="8">
        <v>2025.0</v>
      </c>
      <c r="R1418" s="8" t="s">
        <v>3946</v>
      </c>
    </row>
    <row r="1419">
      <c r="A1419" s="4" t="s">
        <v>18</v>
      </c>
      <c r="B1419" s="2" t="s">
        <v>4730</v>
      </c>
      <c r="C1419" s="5">
        <v>45982.0</v>
      </c>
      <c r="D1419" s="5">
        <v>45982.0</v>
      </c>
      <c r="E1419" s="4" t="s">
        <v>4731</v>
      </c>
      <c r="F1419" s="9"/>
      <c r="G1419" s="7">
        <v>387.0</v>
      </c>
      <c r="H1419" s="6"/>
      <c r="I1419" s="7" t="s">
        <v>4732</v>
      </c>
      <c r="K1419" s="2" t="s">
        <v>127</v>
      </c>
      <c r="M1419" s="2" t="s">
        <v>114</v>
      </c>
      <c r="N1419" s="2" t="s">
        <v>478</v>
      </c>
      <c r="O1419" s="2">
        <v>1.10751038E8</v>
      </c>
      <c r="Q1419" s="8">
        <v>2025.0</v>
      </c>
      <c r="R1419" s="8" t="s">
        <v>3946</v>
      </c>
    </row>
    <row r="1420">
      <c r="A1420" s="4" t="s">
        <v>18</v>
      </c>
      <c r="B1420" s="2" t="s">
        <v>4733</v>
      </c>
      <c r="C1420" s="5">
        <v>45982.0</v>
      </c>
      <c r="D1420" s="5">
        <v>45982.0</v>
      </c>
      <c r="E1420" s="4" t="s">
        <v>4734</v>
      </c>
      <c r="F1420" s="9"/>
      <c r="G1420" s="6"/>
      <c r="H1420" s="7">
        <v>500.0</v>
      </c>
      <c r="I1420" s="7" t="s">
        <v>4735</v>
      </c>
      <c r="K1420" s="12" t="str">
        <f t="shared" ref="K1420:K1433" si="186">RIGHT(E1420,6)</f>
        <v>UN3668</v>
      </c>
      <c r="L1420" s="2" t="s">
        <v>4736</v>
      </c>
      <c r="M1420" s="2" t="s">
        <v>24</v>
      </c>
      <c r="N1420" s="2" t="s">
        <v>60</v>
      </c>
      <c r="O1420" s="2">
        <v>1.10751038E8</v>
      </c>
      <c r="P1420" s="15"/>
      <c r="Q1420" s="8">
        <v>2025.0</v>
      </c>
      <c r="R1420" s="8" t="s">
        <v>3946</v>
      </c>
    </row>
    <row r="1421">
      <c r="A1421" s="4" t="s">
        <v>18</v>
      </c>
      <c r="B1421" s="2" t="s">
        <v>4737</v>
      </c>
      <c r="C1421" s="5">
        <v>45982.0</v>
      </c>
      <c r="D1421" s="5">
        <v>45982.0</v>
      </c>
      <c r="E1421" s="4" t="s">
        <v>4738</v>
      </c>
      <c r="F1421" s="9"/>
      <c r="G1421" s="6"/>
      <c r="H1421" s="7">
        <v>396.0</v>
      </c>
      <c r="I1421" s="7" t="s">
        <v>4739</v>
      </c>
      <c r="K1421" s="12" t="str">
        <f t="shared" si="186"/>
        <v>UN3668</v>
      </c>
      <c r="L1421" s="2" t="s">
        <v>4740</v>
      </c>
      <c r="M1421" s="2" t="s">
        <v>24</v>
      </c>
      <c r="N1421" s="2" t="s">
        <v>60</v>
      </c>
      <c r="O1421" s="2">
        <v>1.10751038E8</v>
      </c>
      <c r="P1421" s="15"/>
      <c r="Q1421" s="8">
        <v>2025.0</v>
      </c>
      <c r="R1421" s="8" t="s">
        <v>3946</v>
      </c>
    </row>
    <row r="1422">
      <c r="A1422" s="4" t="s">
        <v>18</v>
      </c>
      <c r="B1422" s="2" t="s">
        <v>4741</v>
      </c>
      <c r="C1422" s="5">
        <v>45982.0</v>
      </c>
      <c r="D1422" s="5">
        <v>45982.0</v>
      </c>
      <c r="E1422" s="4" t="s">
        <v>4742</v>
      </c>
      <c r="F1422" s="9"/>
      <c r="G1422" s="6"/>
      <c r="H1422" s="7">
        <v>99.0</v>
      </c>
      <c r="I1422" s="7" t="s">
        <v>4743</v>
      </c>
      <c r="K1422" s="12" t="str">
        <f t="shared" si="186"/>
        <v>SL1610</v>
      </c>
      <c r="L1422" s="2" t="s">
        <v>4352</v>
      </c>
      <c r="M1422" s="2" t="s">
        <v>24</v>
      </c>
      <c r="N1422" s="2" t="s">
        <v>60</v>
      </c>
      <c r="O1422" s="2">
        <v>1.10751038E8</v>
      </c>
      <c r="P1422" s="15"/>
      <c r="Q1422" s="8">
        <v>2025.0</v>
      </c>
      <c r="R1422" s="8" t="s">
        <v>3946</v>
      </c>
    </row>
    <row r="1423">
      <c r="A1423" s="4" t="s">
        <v>18</v>
      </c>
      <c r="B1423" s="2" t="s">
        <v>4744</v>
      </c>
      <c r="C1423" s="5">
        <v>45982.0</v>
      </c>
      <c r="D1423" s="5">
        <v>45982.0</v>
      </c>
      <c r="E1423" s="4" t="s">
        <v>4745</v>
      </c>
      <c r="F1423" s="9"/>
      <c r="G1423" s="6"/>
      <c r="H1423" s="11">
        <v>1050.0</v>
      </c>
      <c r="I1423" s="7" t="s">
        <v>4746</v>
      </c>
      <c r="K1423" s="12" t="str">
        <f t="shared" si="186"/>
        <v>SC3567</v>
      </c>
      <c r="L1423" s="2" t="s">
        <v>4747</v>
      </c>
      <c r="M1423" s="2" t="s">
        <v>24</v>
      </c>
      <c r="N1423" s="2" t="s">
        <v>60</v>
      </c>
      <c r="O1423" s="2">
        <v>1.10751038E8</v>
      </c>
      <c r="P1423" s="15"/>
      <c r="Q1423" s="8">
        <v>2025.0</v>
      </c>
      <c r="R1423" s="8" t="s">
        <v>3946</v>
      </c>
    </row>
    <row r="1424">
      <c r="A1424" s="4" t="s">
        <v>18</v>
      </c>
      <c r="B1424" s="2" t="s">
        <v>4748</v>
      </c>
      <c r="C1424" s="5">
        <v>45982.0</v>
      </c>
      <c r="D1424" s="5">
        <v>45982.0</v>
      </c>
      <c r="E1424" s="4" t="s">
        <v>4749</v>
      </c>
      <c r="F1424" s="9"/>
      <c r="G1424" s="6"/>
      <c r="H1424" s="7">
        <v>560.0</v>
      </c>
      <c r="I1424" s="7" t="s">
        <v>4750</v>
      </c>
      <c r="K1424" s="12" t="str">
        <f t="shared" si="186"/>
        <v>KN3817</v>
      </c>
      <c r="L1424" s="2" t="s">
        <v>2414</v>
      </c>
      <c r="M1424" s="2" t="s">
        <v>24</v>
      </c>
      <c r="N1424" s="2" t="s">
        <v>60</v>
      </c>
      <c r="O1424" s="2">
        <v>1.10751038E8</v>
      </c>
      <c r="P1424" s="15"/>
      <c r="Q1424" s="8">
        <v>2025.0</v>
      </c>
      <c r="R1424" s="8" t="s">
        <v>3946</v>
      </c>
    </row>
    <row r="1425">
      <c r="A1425" s="4" t="s">
        <v>18</v>
      </c>
      <c r="B1425" s="2" t="s">
        <v>4751</v>
      </c>
      <c r="C1425" s="5">
        <v>45982.0</v>
      </c>
      <c r="D1425" s="5">
        <v>45982.0</v>
      </c>
      <c r="E1425" s="4" t="s">
        <v>4752</v>
      </c>
      <c r="F1425" s="9"/>
      <c r="G1425" s="6"/>
      <c r="H1425" s="11">
        <v>1436.0</v>
      </c>
      <c r="I1425" s="7" t="s">
        <v>4753</v>
      </c>
      <c r="K1425" s="12" t="str">
        <f t="shared" si="186"/>
        <v>UN3668</v>
      </c>
      <c r="L1425" s="2" t="s">
        <v>4754</v>
      </c>
      <c r="M1425" s="2" t="s">
        <v>24</v>
      </c>
      <c r="N1425" s="2" t="s">
        <v>60</v>
      </c>
      <c r="O1425" s="2">
        <v>1.10751038E8</v>
      </c>
      <c r="P1425" s="15"/>
      <c r="Q1425" s="8">
        <v>2025.0</v>
      </c>
      <c r="R1425" s="8" t="s">
        <v>3946</v>
      </c>
    </row>
    <row r="1426">
      <c r="A1426" s="4" t="s">
        <v>18</v>
      </c>
      <c r="B1426" s="2" t="s">
        <v>4755</v>
      </c>
      <c r="C1426" s="5">
        <v>45982.0</v>
      </c>
      <c r="D1426" s="5">
        <v>45982.0</v>
      </c>
      <c r="E1426" s="4" t="s">
        <v>4756</v>
      </c>
      <c r="F1426" s="9"/>
      <c r="G1426" s="6"/>
      <c r="H1426" s="7">
        <v>600.0</v>
      </c>
      <c r="I1426" s="7" t="s">
        <v>4757</v>
      </c>
      <c r="K1426" s="12" t="str">
        <f t="shared" si="186"/>
        <v>UN3668</v>
      </c>
      <c r="L1426" s="2" t="s">
        <v>4758</v>
      </c>
      <c r="M1426" s="2" t="s">
        <v>24</v>
      </c>
      <c r="N1426" s="2" t="s">
        <v>60</v>
      </c>
      <c r="O1426" s="2">
        <v>1.10751038E8</v>
      </c>
      <c r="P1426" s="15"/>
      <c r="Q1426" s="8">
        <v>2025.0</v>
      </c>
      <c r="R1426" s="8" t="s">
        <v>3946</v>
      </c>
    </row>
    <row r="1427">
      <c r="A1427" s="4" t="s">
        <v>18</v>
      </c>
      <c r="B1427" s="2" t="s">
        <v>4759</v>
      </c>
      <c r="C1427" s="5">
        <v>45982.0</v>
      </c>
      <c r="D1427" s="5">
        <v>45982.0</v>
      </c>
      <c r="E1427" s="4" t="s">
        <v>4760</v>
      </c>
      <c r="F1427" s="9"/>
      <c r="G1427" s="6"/>
      <c r="H1427" s="7">
        <v>250.0</v>
      </c>
      <c r="I1427" s="7" t="s">
        <v>4761</v>
      </c>
      <c r="K1427" s="12" t="str">
        <f t="shared" si="186"/>
        <v>SC3567</v>
      </c>
      <c r="L1427" s="2" t="s">
        <v>4762</v>
      </c>
      <c r="M1427" s="2" t="s">
        <v>24</v>
      </c>
      <c r="N1427" s="2" t="s">
        <v>60</v>
      </c>
      <c r="O1427" s="2">
        <v>1.10751038E8</v>
      </c>
      <c r="P1427" s="15"/>
      <c r="Q1427" s="8">
        <v>2025.0</v>
      </c>
      <c r="R1427" s="8" t="s">
        <v>3946</v>
      </c>
    </row>
    <row r="1428">
      <c r="A1428" s="4" t="s">
        <v>18</v>
      </c>
      <c r="B1428" s="2" t="s">
        <v>4763</v>
      </c>
      <c r="C1428" s="5">
        <v>45982.0</v>
      </c>
      <c r="D1428" s="5">
        <v>45982.0</v>
      </c>
      <c r="E1428" s="4" t="s">
        <v>4764</v>
      </c>
      <c r="F1428" s="9"/>
      <c r="G1428" s="6"/>
      <c r="H1428" s="7">
        <v>760.0</v>
      </c>
      <c r="I1428" s="7" t="s">
        <v>4765</v>
      </c>
      <c r="K1428" s="12" t="str">
        <f t="shared" si="186"/>
        <v>SC3567</v>
      </c>
      <c r="L1428" s="2" t="s">
        <v>4766</v>
      </c>
      <c r="M1428" s="2" t="s">
        <v>24</v>
      </c>
      <c r="N1428" s="2" t="s">
        <v>60</v>
      </c>
      <c r="O1428" s="2">
        <v>1.10751038E8</v>
      </c>
      <c r="P1428" s="15"/>
      <c r="Q1428" s="8">
        <v>2025.0</v>
      </c>
      <c r="R1428" s="8" t="s">
        <v>3946</v>
      </c>
    </row>
    <row r="1429">
      <c r="A1429" s="4" t="s">
        <v>18</v>
      </c>
      <c r="B1429" s="2" t="s">
        <v>4767</v>
      </c>
      <c r="C1429" s="5">
        <v>45982.0</v>
      </c>
      <c r="D1429" s="5">
        <v>45982.0</v>
      </c>
      <c r="E1429" s="4" t="s">
        <v>4768</v>
      </c>
      <c r="F1429" s="9"/>
      <c r="G1429" s="6"/>
      <c r="H1429" s="7">
        <v>390.0</v>
      </c>
      <c r="I1429" s="7" t="s">
        <v>4769</v>
      </c>
      <c r="K1429" s="12" t="str">
        <f t="shared" si="186"/>
        <v>UN3668</v>
      </c>
      <c r="L1429" s="2" t="s">
        <v>4770</v>
      </c>
      <c r="M1429" s="2" t="s">
        <v>24</v>
      </c>
      <c r="N1429" s="2" t="s">
        <v>60</v>
      </c>
      <c r="O1429" s="2">
        <v>1.10751038E8</v>
      </c>
      <c r="P1429" s="15"/>
      <c r="Q1429" s="8">
        <v>2025.0</v>
      </c>
      <c r="R1429" s="8" t="s">
        <v>3946</v>
      </c>
    </row>
    <row r="1430">
      <c r="A1430" s="4" t="s">
        <v>18</v>
      </c>
      <c r="B1430" s="2" t="s">
        <v>4771</v>
      </c>
      <c r="C1430" s="5">
        <v>45983.0</v>
      </c>
      <c r="D1430" s="5">
        <v>45983.0</v>
      </c>
      <c r="E1430" s="4" t="s">
        <v>4772</v>
      </c>
      <c r="F1430" s="9"/>
      <c r="G1430" s="6"/>
      <c r="H1430" s="7">
        <v>130.0</v>
      </c>
      <c r="I1430" s="7" t="s">
        <v>4773</v>
      </c>
      <c r="K1430" s="12" t="str">
        <f t="shared" si="186"/>
        <v>UN3668</v>
      </c>
      <c r="L1430" s="2" t="s">
        <v>4774</v>
      </c>
      <c r="M1430" s="2" t="s">
        <v>24</v>
      </c>
      <c r="N1430" s="2" t="s">
        <v>60</v>
      </c>
      <c r="O1430" s="2">
        <v>1.10751038E8</v>
      </c>
      <c r="P1430" s="15"/>
      <c r="Q1430" s="8">
        <v>2025.0</v>
      </c>
      <c r="R1430" s="8" t="s">
        <v>3946</v>
      </c>
    </row>
    <row r="1431">
      <c r="A1431" s="4" t="s">
        <v>18</v>
      </c>
      <c r="B1431" s="2" t="s">
        <v>4775</v>
      </c>
      <c r="C1431" s="5">
        <v>45983.0</v>
      </c>
      <c r="D1431" s="5">
        <v>45983.0</v>
      </c>
      <c r="E1431" s="4" t="s">
        <v>4776</v>
      </c>
      <c r="F1431" s="9"/>
      <c r="G1431" s="6"/>
      <c r="H1431" s="11">
        <v>2000.0</v>
      </c>
      <c r="I1431" s="7" t="s">
        <v>4777</v>
      </c>
      <c r="K1431" s="12" t="str">
        <f t="shared" si="186"/>
        <v>UN3668</v>
      </c>
      <c r="L1431" s="2" t="s">
        <v>619</v>
      </c>
      <c r="M1431" s="2" t="s">
        <v>24</v>
      </c>
      <c r="N1431" s="2" t="s">
        <v>60</v>
      </c>
      <c r="O1431" s="2">
        <v>1.10751038E8</v>
      </c>
      <c r="P1431" s="15"/>
      <c r="Q1431" s="8">
        <v>2025.0</v>
      </c>
      <c r="R1431" s="8" t="s">
        <v>3946</v>
      </c>
    </row>
    <row r="1432">
      <c r="A1432" s="4" t="s">
        <v>18</v>
      </c>
      <c r="B1432" s="2" t="s">
        <v>4778</v>
      </c>
      <c r="C1432" s="5">
        <v>45983.0</v>
      </c>
      <c r="D1432" s="5">
        <v>45983.0</v>
      </c>
      <c r="E1432" s="4" t="s">
        <v>4779</v>
      </c>
      <c r="F1432" s="9"/>
      <c r="G1432" s="6"/>
      <c r="H1432" s="7">
        <v>396.0</v>
      </c>
      <c r="I1432" s="7" t="s">
        <v>4780</v>
      </c>
      <c r="K1432" s="12" t="str">
        <f t="shared" si="186"/>
        <v>UN3668</v>
      </c>
      <c r="L1432" s="2" t="s">
        <v>4781</v>
      </c>
      <c r="M1432" s="2" t="s">
        <v>24</v>
      </c>
      <c r="N1432" s="2" t="s">
        <v>60</v>
      </c>
      <c r="O1432" s="2">
        <v>1.10751038E8</v>
      </c>
      <c r="P1432" s="15"/>
      <c r="Q1432" s="8">
        <v>2025.0</v>
      </c>
      <c r="R1432" s="8" t="s">
        <v>3946</v>
      </c>
    </row>
    <row r="1433">
      <c r="A1433" s="4" t="s">
        <v>18</v>
      </c>
      <c r="B1433" s="2" t="s">
        <v>4782</v>
      </c>
      <c r="C1433" s="5">
        <v>45983.0</v>
      </c>
      <c r="D1433" s="5">
        <v>45983.0</v>
      </c>
      <c r="E1433" s="4" t="s">
        <v>4783</v>
      </c>
      <c r="F1433" s="9"/>
      <c r="G1433" s="6"/>
      <c r="H1433" s="7">
        <v>280.0</v>
      </c>
      <c r="I1433" s="7" t="s">
        <v>4784</v>
      </c>
      <c r="K1433" s="12" t="str">
        <f t="shared" si="186"/>
        <v>UN3668</v>
      </c>
      <c r="L1433" s="2" t="s">
        <v>4785</v>
      </c>
      <c r="M1433" s="2" t="s">
        <v>24</v>
      </c>
      <c r="N1433" s="2" t="s">
        <v>60</v>
      </c>
      <c r="O1433" s="2">
        <v>1.10751038E8</v>
      </c>
      <c r="P1433" s="15"/>
      <c r="Q1433" s="8">
        <v>2025.0</v>
      </c>
      <c r="R1433" s="8" t="s">
        <v>3946</v>
      </c>
    </row>
    <row r="1434">
      <c r="A1434" s="4" t="s">
        <v>18</v>
      </c>
      <c r="B1434" s="2" t="s">
        <v>4786</v>
      </c>
      <c r="C1434" s="5">
        <v>45983.0</v>
      </c>
      <c r="D1434" s="5">
        <v>45983.0</v>
      </c>
      <c r="E1434" s="4" t="s">
        <v>4787</v>
      </c>
      <c r="F1434" s="9"/>
      <c r="G1434" s="6"/>
      <c r="H1434" s="7">
        <v>928.0</v>
      </c>
      <c r="I1434" s="7" t="s">
        <v>4788</v>
      </c>
      <c r="K1434" s="2" t="s">
        <v>539</v>
      </c>
      <c r="M1434" s="2" t="s">
        <v>24</v>
      </c>
      <c r="N1434" s="2" t="s">
        <v>60</v>
      </c>
      <c r="O1434" s="2">
        <v>1.10751038E8</v>
      </c>
      <c r="P1434" s="15" t="str">
        <f>IFERROR(__xludf.DUMMYFUNCTION("CONCATENATE(B1434,"", "", to_text(D1434),"", "", E1434,"", "", H1434)"),"TSV-11-0290, 22-Nov-2025, UPI/CR/108617879324/RAHUL/ICIC/9810972/na, 928")</f>
        <v>TSV-11-0290, 22-Nov-2025, UPI/CR/108617879324/RAHUL/ICIC/9810972/na, 928</v>
      </c>
      <c r="Q1434" s="8">
        <v>2025.0</v>
      </c>
      <c r="R1434" s="8" t="s">
        <v>3946</v>
      </c>
    </row>
    <row r="1435">
      <c r="A1435" s="4" t="s">
        <v>18</v>
      </c>
      <c r="B1435" s="2" t="s">
        <v>4789</v>
      </c>
      <c r="C1435" s="5">
        <v>45983.0</v>
      </c>
      <c r="D1435" s="5">
        <v>45983.0</v>
      </c>
      <c r="E1435" s="4" t="s">
        <v>4790</v>
      </c>
      <c r="F1435" s="9"/>
      <c r="G1435" s="6"/>
      <c r="H1435" s="11">
        <v>1670.0</v>
      </c>
      <c r="I1435" s="7" t="s">
        <v>4791</v>
      </c>
      <c r="K1435" s="12" t="str">
        <f t="shared" ref="K1435:K1444" si="187">RIGHT(E1435,6)</f>
        <v>KN3817</v>
      </c>
      <c r="L1435" s="2" t="s">
        <v>4792</v>
      </c>
      <c r="M1435" s="2" t="s">
        <v>24</v>
      </c>
      <c r="N1435" s="2" t="s">
        <v>60</v>
      </c>
      <c r="O1435" s="2">
        <v>1.10751038E8</v>
      </c>
      <c r="P1435" s="15"/>
      <c r="Q1435" s="8">
        <v>2025.0</v>
      </c>
      <c r="R1435" s="8" t="s">
        <v>3946</v>
      </c>
    </row>
    <row r="1436">
      <c r="A1436" s="4" t="s">
        <v>18</v>
      </c>
      <c r="B1436" s="2" t="s">
        <v>4793</v>
      </c>
      <c r="C1436" s="5">
        <v>45983.0</v>
      </c>
      <c r="D1436" s="5">
        <v>45983.0</v>
      </c>
      <c r="E1436" s="4" t="s">
        <v>4794</v>
      </c>
      <c r="F1436" s="9"/>
      <c r="G1436" s="6"/>
      <c r="H1436" s="11">
        <v>1248.0</v>
      </c>
      <c r="I1436" s="7" t="s">
        <v>4795</v>
      </c>
      <c r="K1436" s="12" t="str">
        <f t="shared" si="187"/>
        <v>UN3668</v>
      </c>
      <c r="L1436" s="2" t="s">
        <v>4796</v>
      </c>
      <c r="M1436" s="2" t="s">
        <v>24</v>
      </c>
      <c r="N1436" s="2" t="s">
        <v>60</v>
      </c>
      <c r="O1436" s="2">
        <v>1.10751038E8</v>
      </c>
      <c r="P1436" s="15"/>
      <c r="Q1436" s="8">
        <v>2025.0</v>
      </c>
      <c r="R1436" s="8" t="s">
        <v>3946</v>
      </c>
    </row>
    <row r="1437">
      <c r="A1437" s="4" t="s">
        <v>18</v>
      </c>
      <c r="B1437" s="2" t="s">
        <v>4797</v>
      </c>
      <c r="C1437" s="5">
        <v>45984.0</v>
      </c>
      <c r="D1437" s="5">
        <v>45984.0</v>
      </c>
      <c r="E1437" s="4" t="s">
        <v>4798</v>
      </c>
      <c r="F1437" s="9"/>
      <c r="G1437" s="6"/>
      <c r="H1437" s="7">
        <v>364.0</v>
      </c>
      <c r="I1437" s="7" t="s">
        <v>4799</v>
      </c>
      <c r="K1437" s="12" t="str">
        <f t="shared" si="187"/>
        <v>UN3668</v>
      </c>
      <c r="L1437" s="2" t="s">
        <v>4800</v>
      </c>
      <c r="M1437" s="2" t="s">
        <v>24</v>
      </c>
      <c r="N1437" s="2" t="s">
        <v>60</v>
      </c>
      <c r="O1437" s="2">
        <v>1.10751038E8</v>
      </c>
      <c r="P1437" s="15"/>
      <c r="Q1437" s="8">
        <v>2025.0</v>
      </c>
      <c r="R1437" s="8" t="s">
        <v>3946</v>
      </c>
    </row>
    <row r="1438">
      <c r="A1438" s="4" t="s">
        <v>18</v>
      </c>
      <c r="B1438" s="2" t="s">
        <v>4801</v>
      </c>
      <c r="C1438" s="5">
        <v>45984.0</v>
      </c>
      <c r="D1438" s="5">
        <v>45984.0</v>
      </c>
      <c r="E1438" s="4" t="s">
        <v>4802</v>
      </c>
      <c r="F1438" s="9"/>
      <c r="G1438" s="6"/>
      <c r="H1438" s="7">
        <v>256.0</v>
      </c>
      <c r="I1438" s="7" t="s">
        <v>4803</v>
      </c>
      <c r="K1438" s="12" t="str">
        <f t="shared" si="187"/>
        <v>SC3567</v>
      </c>
      <c r="L1438" s="2" t="s">
        <v>4804</v>
      </c>
      <c r="M1438" s="2" t="s">
        <v>24</v>
      </c>
      <c r="N1438" s="2" t="s">
        <v>60</v>
      </c>
      <c r="O1438" s="2">
        <v>1.10751038E8</v>
      </c>
      <c r="P1438" s="15"/>
      <c r="Q1438" s="8">
        <v>2025.0</v>
      </c>
      <c r="R1438" s="8" t="s">
        <v>3946</v>
      </c>
    </row>
    <row r="1439">
      <c r="A1439" s="4" t="s">
        <v>18</v>
      </c>
      <c r="B1439" s="2" t="s">
        <v>4805</v>
      </c>
      <c r="C1439" s="5">
        <v>45984.0</v>
      </c>
      <c r="D1439" s="5">
        <v>45984.0</v>
      </c>
      <c r="E1439" s="4" t="s">
        <v>4806</v>
      </c>
      <c r="F1439" s="9"/>
      <c r="G1439" s="6"/>
      <c r="H1439" s="7">
        <v>747.0</v>
      </c>
      <c r="I1439" s="7" t="s">
        <v>4807</v>
      </c>
      <c r="K1439" s="12" t="str">
        <f t="shared" si="187"/>
        <v>SC3567</v>
      </c>
      <c r="L1439" s="2" t="s">
        <v>4808</v>
      </c>
      <c r="M1439" s="2" t="s">
        <v>24</v>
      </c>
      <c r="N1439" s="2" t="s">
        <v>60</v>
      </c>
      <c r="O1439" s="2">
        <v>1.10751038E8</v>
      </c>
      <c r="P1439" s="15"/>
      <c r="Q1439" s="8">
        <v>2025.0</v>
      </c>
      <c r="R1439" s="8" t="s">
        <v>3946</v>
      </c>
    </row>
    <row r="1440">
      <c r="A1440" s="4" t="s">
        <v>18</v>
      </c>
      <c r="B1440" s="2" t="s">
        <v>4809</v>
      </c>
      <c r="C1440" s="5">
        <v>45984.0</v>
      </c>
      <c r="D1440" s="5">
        <v>45984.0</v>
      </c>
      <c r="E1440" s="4" t="s">
        <v>4810</v>
      </c>
      <c r="F1440" s="9"/>
      <c r="G1440" s="6"/>
      <c r="H1440" s="7">
        <v>600.0</v>
      </c>
      <c r="I1440" s="7" t="s">
        <v>4811</v>
      </c>
      <c r="K1440" s="12" t="str">
        <f t="shared" si="187"/>
        <v>UN3668</v>
      </c>
      <c r="L1440" s="2" t="s">
        <v>4812</v>
      </c>
      <c r="M1440" s="2" t="s">
        <v>24</v>
      </c>
      <c r="N1440" s="2" t="s">
        <v>60</v>
      </c>
      <c r="O1440" s="2">
        <v>1.10751038E8</v>
      </c>
      <c r="P1440" s="15"/>
      <c r="Q1440" s="8">
        <v>2025.0</v>
      </c>
      <c r="R1440" s="8" t="s">
        <v>3946</v>
      </c>
    </row>
    <row r="1441">
      <c r="A1441" s="4" t="s">
        <v>18</v>
      </c>
      <c r="B1441" s="2" t="s">
        <v>4813</v>
      </c>
      <c r="C1441" s="5">
        <v>45984.0</v>
      </c>
      <c r="D1441" s="5">
        <v>45984.0</v>
      </c>
      <c r="E1441" s="4" t="s">
        <v>4814</v>
      </c>
      <c r="F1441" s="9"/>
      <c r="G1441" s="6"/>
      <c r="H1441" s="7">
        <v>500.0</v>
      </c>
      <c r="I1441" s="7" t="s">
        <v>4815</v>
      </c>
      <c r="K1441" s="12" t="str">
        <f t="shared" si="187"/>
        <v>SL1610</v>
      </c>
      <c r="L1441" s="2" t="s">
        <v>4816</v>
      </c>
      <c r="M1441" s="2" t="s">
        <v>24</v>
      </c>
      <c r="N1441" s="2" t="s">
        <v>60</v>
      </c>
      <c r="O1441" s="2">
        <v>1.10751038E8</v>
      </c>
      <c r="P1441" s="15"/>
      <c r="Q1441" s="8">
        <v>2025.0</v>
      </c>
      <c r="R1441" s="8" t="s">
        <v>3946</v>
      </c>
    </row>
    <row r="1442">
      <c r="A1442" s="4" t="s">
        <v>18</v>
      </c>
      <c r="B1442" s="2" t="s">
        <v>4817</v>
      </c>
      <c r="C1442" s="5">
        <v>45984.0</v>
      </c>
      <c r="D1442" s="5">
        <v>45984.0</v>
      </c>
      <c r="E1442" s="4" t="s">
        <v>4818</v>
      </c>
      <c r="F1442" s="9"/>
      <c r="G1442" s="6"/>
      <c r="H1442" s="7">
        <v>789.0</v>
      </c>
      <c r="I1442" s="7" t="s">
        <v>4819</v>
      </c>
      <c r="K1442" s="12" t="str">
        <f t="shared" si="187"/>
        <v>SL1610</v>
      </c>
      <c r="L1442" s="2" t="s">
        <v>4820</v>
      </c>
      <c r="M1442" s="2" t="s">
        <v>24</v>
      </c>
      <c r="N1442" s="2" t="s">
        <v>60</v>
      </c>
      <c r="O1442" s="2">
        <v>1.10751038E8</v>
      </c>
      <c r="P1442" s="15"/>
      <c r="Q1442" s="8">
        <v>2025.0</v>
      </c>
      <c r="R1442" s="8" t="s">
        <v>3946</v>
      </c>
    </row>
    <row r="1443">
      <c r="A1443" s="4" t="s">
        <v>18</v>
      </c>
      <c r="B1443" s="2" t="s">
        <v>4821</v>
      </c>
      <c r="C1443" s="5">
        <v>45984.0</v>
      </c>
      <c r="D1443" s="5">
        <v>45984.0</v>
      </c>
      <c r="E1443" s="4" t="s">
        <v>4822</v>
      </c>
      <c r="F1443" s="9"/>
      <c r="G1443" s="6"/>
      <c r="H1443" s="7">
        <v>836.0</v>
      </c>
      <c r="I1443" s="7" t="s">
        <v>4823</v>
      </c>
      <c r="K1443" s="12" t="str">
        <f t="shared" si="187"/>
        <v>SL1610</v>
      </c>
      <c r="L1443" s="2" t="s">
        <v>4824</v>
      </c>
      <c r="M1443" s="2" t="s">
        <v>24</v>
      </c>
      <c r="N1443" s="2" t="s">
        <v>60</v>
      </c>
      <c r="O1443" s="2">
        <v>1.10751038E8</v>
      </c>
      <c r="P1443" s="15"/>
      <c r="Q1443" s="8">
        <v>2025.0</v>
      </c>
      <c r="R1443" s="8" t="s">
        <v>3946</v>
      </c>
    </row>
    <row r="1444">
      <c r="A1444" s="4" t="s">
        <v>18</v>
      </c>
      <c r="B1444" s="2" t="s">
        <v>4825</v>
      </c>
      <c r="C1444" s="5">
        <v>45984.0</v>
      </c>
      <c r="D1444" s="5">
        <v>45984.0</v>
      </c>
      <c r="E1444" s="4" t="s">
        <v>4826</v>
      </c>
      <c r="F1444" s="9"/>
      <c r="G1444" s="6"/>
      <c r="H1444" s="7">
        <v>140.0</v>
      </c>
      <c r="I1444" s="7" t="s">
        <v>4827</v>
      </c>
      <c r="K1444" s="12" t="str">
        <f t="shared" si="187"/>
        <v>KN3817</v>
      </c>
      <c r="M1444" s="2" t="s">
        <v>24</v>
      </c>
      <c r="N1444" s="2" t="s">
        <v>60</v>
      </c>
      <c r="O1444" s="2">
        <v>1.10751038E8</v>
      </c>
      <c r="P1444" s="15" t="str">
        <f>IFERROR(__xludf.DUMMYFUNCTION("CONCATENATE(B1444,"", "", to_text(D1444),"", "", E1444,"", "", H1444)"),"TSV-11-0300, 23-Nov-2025, UPI/CR/694386821358/CHIRAG /SBIN/9818721/KN3817, 140")</f>
        <v>TSV-11-0300, 23-Nov-2025, UPI/CR/694386821358/CHIRAG /SBIN/9818721/KN3817, 140</v>
      </c>
      <c r="Q1444" s="8">
        <v>2025.0</v>
      </c>
      <c r="R1444" s="8" t="s">
        <v>3946</v>
      </c>
    </row>
    <row r="1445">
      <c r="A1445" s="4" t="s">
        <v>18</v>
      </c>
      <c r="B1445" s="2" t="s">
        <v>4828</v>
      </c>
      <c r="C1445" s="5">
        <v>45984.0</v>
      </c>
      <c r="D1445" s="5">
        <v>45984.0</v>
      </c>
      <c r="E1445" s="4" t="s">
        <v>4829</v>
      </c>
      <c r="F1445" s="9"/>
      <c r="G1445" s="7">
        <v>200.0</v>
      </c>
      <c r="H1445" s="6"/>
      <c r="I1445" s="7" t="s">
        <v>4830</v>
      </c>
      <c r="K1445" s="2" t="s">
        <v>123</v>
      </c>
      <c r="M1445" s="2" t="s">
        <v>114</v>
      </c>
      <c r="N1445" s="2" t="s">
        <v>1835</v>
      </c>
      <c r="O1445" s="2">
        <v>1.10751038E8</v>
      </c>
      <c r="Q1445" s="8">
        <v>2025.0</v>
      </c>
      <c r="R1445" s="8" t="s">
        <v>3946</v>
      </c>
    </row>
    <row r="1446">
      <c r="A1446" s="4" t="s">
        <v>18</v>
      </c>
      <c r="B1446" s="2" t="s">
        <v>4831</v>
      </c>
      <c r="C1446" s="5">
        <v>45984.0</v>
      </c>
      <c r="D1446" s="5">
        <v>45984.0</v>
      </c>
      <c r="E1446" s="4" t="s">
        <v>4832</v>
      </c>
      <c r="F1446" s="9"/>
      <c r="G1446" s="7">
        <v>109.0</v>
      </c>
      <c r="H1446" s="6"/>
      <c r="I1446" s="7" t="s">
        <v>4833</v>
      </c>
      <c r="K1446" s="2" t="s">
        <v>123</v>
      </c>
      <c r="M1446" s="2" t="s">
        <v>114</v>
      </c>
      <c r="N1446" s="2" t="s">
        <v>1835</v>
      </c>
      <c r="O1446" s="2">
        <v>1.10751038E8</v>
      </c>
      <c r="Q1446" s="8">
        <v>2025.0</v>
      </c>
      <c r="R1446" s="8" t="s">
        <v>3946</v>
      </c>
    </row>
    <row r="1447">
      <c r="A1447" s="4" t="s">
        <v>18</v>
      </c>
      <c r="B1447" s="2" t="s">
        <v>4834</v>
      </c>
      <c r="C1447" s="5">
        <v>45984.0</v>
      </c>
      <c r="D1447" s="5">
        <v>45984.0</v>
      </c>
      <c r="E1447" s="4" t="s">
        <v>4835</v>
      </c>
      <c r="F1447" s="9"/>
      <c r="G1447" s="7">
        <v>100.0</v>
      </c>
      <c r="H1447" s="6"/>
      <c r="I1447" s="7" t="s">
        <v>4836</v>
      </c>
      <c r="K1447" s="2" t="s">
        <v>123</v>
      </c>
      <c r="M1447" s="2" t="s">
        <v>114</v>
      </c>
      <c r="N1447" s="2" t="s">
        <v>1835</v>
      </c>
      <c r="O1447" s="2">
        <v>1.10751038E8</v>
      </c>
      <c r="Q1447" s="8">
        <v>2025.0</v>
      </c>
      <c r="R1447" s="8" t="s">
        <v>3946</v>
      </c>
    </row>
    <row r="1448">
      <c r="A1448" s="4" t="s">
        <v>18</v>
      </c>
      <c r="B1448" s="2" t="s">
        <v>4837</v>
      </c>
      <c r="C1448" s="5">
        <v>45985.0</v>
      </c>
      <c r="D1448" s="5">
        <v>45985.0</v>
      </c>
      <c r="E1448" s="4" t="s">
        <v>4838</v>
      </c>
      <c r="F1448" s="9"/>
      <c r="G1448" s="6"/>
      <c r="H1448" s="7">
        <v>700.0</v>
      </c>
      <c r="I1448" s="7" t="s">
        <v>4839</v>
      </c>
      <c r="K1448" s="12" t="str">
        <f t="shared" ref="K1448:K1449" si="188">RIGHT(E1448,6)</f>
        <v>UN3668</v>
      </c>
      <c r="L1448" s="2" t="s">
        <v>4840</v>
      </c>
      <c r="M1448" s="2" t="s">
        <v>24</v>
      </c>
      <c r="N1448" s="2" t="s">
        <v>60</v>
      </c>
      <c r="O1448" s="2">
        <v>1.10751038E8</v>
      </c>
      <c r="P1448" s="15"/>
      <c r="Q1448" s="8">
        <v>2025.0</v>
      </c>
      <c r="R1448" s="8" t="s">
        <v>3946</v>
      </c>
    </row>
    <row r="1449">
      <c r="A1449" s="4" t="s">
        <v>18</v>
      </c>
      <c r="B1449" s="2" t="s">
        <v>4841</v>
      </c>
      <c r="C1449" s="5">
        <v>45985.0</v>
      </c>
      <c r="D1449" s="5">
        <v>45985.0</v>
      </c>
      <c r="E1449" s="4" t="s">
        <v>4842</v>
      </c>
      <c r="F1449" s="9"/>
      <c r="G1449" s="6"/>
      <c r="H1449" s="7">
        <v>350.0</v>
      </c>
      <c r="I1449" s="7" t="s">
        <v>4843</v>
      </c>
      <c r="K1449" s="12" t="str">
        <f t="shared" si="188"/>
        <v>KN3817</v>
      </c>
      <c r="L1449" s="2" t="s">
        <v>4844</v>
      </c>
      <c r="M1449" s="2" t="s">
        <v>24</v>
      </c>
      <c r="N1449" s="2" t="s">
        <v>60</v>
      </c>
      <c r="O1449" s="2">
        <v>1.10751038E8</v>
      </c>
      <c r="P1449" s="15" t="str">
        <f>IFERROR(__xludf.DUMMYFUNCTION("CONCATENATE(B1449,"", "", to_text(D1449),"", "", E1449,"", "", H1449)"),"TSV-11-0305, 24-Nov-2025, UPI/CR/532803887737/Rishabh /SBIN/7000584/KN3817, 350")</f>
        <v>TSV-11-0305, 24-Nov-2025, UPI/CR/532803887737/Rishabh /SBIN/7000584/KN3817, 350</v>
      </c>
      <c r="Q1449" s="8">
        <v>2025.0</v>
      </c>
      <c r="R1449" s="8" t="s">
        <v>3946</v>
      </c>
    </row>
    <row r="1450">
      <c r="A1450" s="4" t="s">
        <v>18</v>
      </c>
      <c r="B1450" s="2" t="s">
        <v>4845</v>
      </c>
      <c r="C1450" s="5">
        <v>45985.0</v>
      </c>
      <c r="D1450" s="5">
        <v>45985.0</v>
      </c>
      <c r="E1450" s="4" t="s">
        <v>4846</v>
      </c>
      <c r="F1450" s="9"/>
      <c r="G1450" s="11">
        <v>1613.0</v>
      </c>
      <c r="H1450" s="6"/>
      <c r="I1450" s="7" t="s">
        <v>4847</v>
      </c>
      <c r="K1450" s="2" t="s">
        <v>119</v>
      </c>
      <c r="M1450" s="2" t="s">
        <v>114</v>
      </c>
      <c r="N1450" s="2" t="s">
        <v>1800</v>
      </c>
      <c r="O1450" s="2">
        <v>1.10751038E8</v>
      </c>
      <c r="Q1450" s="8">
        <v>2025.0</v>
      </c>
      <c r="R1450" s="8" t="s">
        <v>3946</v>
      </c>
    </row>
    <row r="1451">
      <c r="A1451" s="4" t="s">
        <v>18</v>
      </c>
      <c r="B1451" s="2" t="s">
        <v>4848</v>
      </c>
      <c r="C1451" s="5">
        <v>45985.0</v>
      </c>
      <c r="D1451" s="5">
        <v>45985.0</v>
      </c>
      <c r="E1451" s="4" t="s">
        <v>4849</v>
      </c>
      <c r="F1451" s="9"/>
      <c r="G1451" s="11">
        <v>1334.22</v>
      </c>
      <c r="H1451" s="6"/>
      <c r="I1451" s="7" t="s">
        <v>4850</v>
      </c>
      <c r="K1451" s="2" t="s">
        <v>119</v>
      </c>
      <c r="M1451" s="2" t="s">
        <v>114</v>
      </c>
      <c r="N1451" s="2" t="s">
        <v>275</v>
      </c>
      <c r="O1451" s="2">
        <v>1.10751038E8</v>
      </c>
      <c r="Q1451" s="8">
        <v>2025.0</v>
      </c>
      <c r="R1451" s="8" t="s">
        <v>3946</v>
      </c>
    </row>
    <row r="1452">
      <c r="A1452" s="4" t="s">
        <v>18</v>
      </c>
      <c r="B1452" s="2" t="s">
        <v>4851</v>
      </c>
      <c r="C1452" s="5">
        <v>45985.0</v>
      </c>
      <c r="D1452" s="5">
        <v>45985.0</v>
      </c>
      <c r="E1452" s="4" t="s">
        <v>4852</v>
      </c>
      <c r="F1452" s="9"/>
      <c r="G1452" s="11">
        <v>1416.0</v>
      </c>
      <c r="H1452" s="6"/>
      <c r="I1452" s="7" t="s">
        <v>4853</v>
      </c>
      <c r="J1452" s="2" t="s">
        <v>4854</v>
      </c>
      <c r="K1452" s="2" t="s">
        <v>127</v>
      </c>
      <c r="M1452" s="2" t="s">
        <v>114</v>
      </c>
      <c r="N1452" s="2" t="s">
        <v>2883</v>
      </c>
      <c r="O1452" s="2">
        <v>1.10751038E8</v>
      </c>
      <c r="Q1452" s="8">
        <v>2025.0</v>
      </c>
      <c r="R1452" s="8" t="s">
        <v>3946</v>
      </c>
    </row>
    <row r="1453">
      <c r="A1453" s="4" t="s">
        <v>18</v>
      </c>
      <c r="B1453" s="2" t="s">
        <v>4855</v>
      </c>
      <c r="C1453" s="5">
        <v>45985.0</v>
      </c>
      <c r="D1453" s="5">
        <v>45985.0</v>
      </c>
      <c r="E1453" s="4" t="s">
        <v>4856</v>
      </c>
      <c r="F1453" s="9"/>
      <c r="G1453" s="6"/>
      <c r="H1453" s="11">
        <v>1424.0</v>
      </c>
      <c r="I1453" s="7" t="s">
        <v>4857</v>
      </c>
      <c r="K1453" s="12" t="str">
        <f t="shared" ref="K1453:K1459" si="189">RIGHT(E1453,6)</f>
        <v>UN3668</v>
      </c>
      <c r="L1453" s="2" t="s">
        <v>4858</v>
      </c>
      <c r="M1453" s="2" t="s">
        <v>24</v>
      </c>
      <c r="N1453" s="2" t="s">
        <v>60</v>
      </c>
      <c r="O1453" s="2">
        <v>1.10751038E8</v>
      </c>
      <c r="P1453" s="15"/>
      <c r="Q1453" s="8">
        <v>2025.0</v>
      </c>
      <c r="R1453" s="8" t="s">
        <v>3946</v>
      </c>
    </row>
    <row r="1454">
      <c r="A1454" s="4" t="s">
        <v>18</v>
      </c>
      <c r="B1454" s="2" t="s">
        <v>4859</v>
      </c>
      <c r="C1454" s="5">
        <v>45985.0</v>
      </c>
      <c r="D1454" s="5">
        <v>45985.0</v>
      </c>
      <c r="E1454" s="4" t="s">
        <v>4860</v>
      </c>
      <c r="F1454" s="9"/>
      <c r="G1454" s="6"/>
      <c r="H1454" s="7">
        <v>110.0</v>
      </c>
      <c r="I1454" s="7" t="s">
        <v>4861</v>
      </c>
      <c r="K1454" s="12" t="str">
        <f t="shared" si="189"/>
        <v>SL1610</v>
      </c>
      <c r="L1454" s="2" t="s">
        <v>4352</v>
      </c>
      <c r="M1454" s="2" t="s">
        <v>24</v>
      </c>
      <c r="N1454" s="2" t="s">
        <v>60</v>
      </c>
      <c r="O1454" s="2">
        <v>1.10751038E8</v>
      </c>
      <c r="P1454" s="15"/>
      <c r="Q1454" s="8">
        <v>2025.0</v>
      </c>
      <c r="R1454" s="8" t="s">
        <v>3946</v>
      </c>
    </row>
    <row r="1455">
      <c r="A1455" s="4" t="s">
        <v>18</v>
      </c>
      <c r="B1455" s="2" t="s">
        <v>4862</v>
      </c>
      <c r="C1455" s="5">
        <v>45985.0</v>
      </c>
      <c r="D1455" s="5">
        <v>45985.0</v>
      </c>
      <c r="E1455" s="4" t="s">
        <v>4863</v>
      </c>
      <c r="F1455" s="9"/>
      <c r="G1455" s="6"/>
      <c r="H1455" s="11">
        <v>1304.0</v>
      </c>
      <c r="I1455" s="7" t="s">
        <v>4864</v>
      </c>
      <c r="K1455" s="12" t="str">
        <f t="shared" si="189"/>
        <v>UN3668</v>
      </c>
      <c r="L1455" s="2" t="s">
        <v>4865</v>
      </c>
      <c r="M1455" s="2" t="s">
        <v>24</v>
      </c>
      <c r="N1455" s="2" t="s">
        <v>60</v>
      </c>
      <c r="O1455" s="2">
        <v>1.10751038E8</v>
      </c>
      <c r="P1455" s="15"/>
      <c r="Q1455" s="8">
        <v>2025.0</v>
      </c>
      <c r="R1455" s="8" t="s">
        <v>3946</v>
      </c>
    </row>
    <row r="1456">
      <c r="A1456" s="4" t="s">
        <v>18</v>
      </c>
      <c r="B1456" s="2" t="s">
        <v>4866</v>
      </c>
      <c r="C1456" s="5">
        <v>45985.0</v>
      </c>
      <c r="D1456" s="5">
        <v>45985.0</v>
      </c>
      <c r="E1456" s="4" t="s">
        <v>4867</v>
      </c>
      <c r="F1456" s="9"/>
      <c r="G1456" s="6"/>
      <c r="H1456" s="7">
        <v>372.0</v>
      </c>
      <c r="I1456" s="7" t="s">
        <v>4868</v>
      </c>
      <c r="K1456" s="12" t="str">
        <f t="shared" si="189"/>
        <v>SC3567</v>
      </c>
      <c r="L1456" s="2" t="s">
        <v>4869</v>
      </c>
      <c r="M1456" s="2" t="s">
        <v>24</v>
      </c>
      <c r="N1456" s="2" t="s">
        <v>60</v>
      </c>
      <c r="O1456" s="2">
        <v>1.10751038E8</v>
      </c>
      <c r="P1456" s="15"/>
      <c r="Q1456" s="8">
        <v>2025.0</v>
      </c>
      <c r="R1456" s="8" t="s">
        <v>3946</v>
      </c>
    </row>
    <row r="1457">
      <c r="A1457" s="4" t="s">
        <v>18</v>
      </c>
      <c r="B1457" s="2" t="s">
        <v>4870</v>
      </c>
      <c r="C1457" s="5">
        <v>45985.0</v>
      </c>
      <c r="D1457" s="5">
        <v>45985.0</v>
      </c>
      <c r="E1457" s="4" t="s">
        <v>4871</v>
      </c>
      <c r="F1457" s="9"/>
      <c r="G1457" s="6"/>
      <c r="H1457" s="7">
        <v>745.0</v>
      </c>
      <c r="I1457" s="7" t="s">
        <v>4872</v>
      </c>
      <c r="K1457" s="12" t="str">
        <f t="shared" si="189"/>
        <v>SC3567</v>
      </c>
      <c r="M1457" s="2" t="s">
        <v>24</v>
      </c>
      <c r="N1457" s="2" t="s">
        <v>60</v>
      </c>
      <c r="O1457" s="2">
        <v>1.10751038E8</v>
      </c>
      <c r="P1457" s="15" t="str">
        <f>IFERROR(__xludf.DUMMYFUNCTION("CONCATENATE(B1457,"", "", to_text(D1457),"", "", E1457,"", "", H1457)"),"TSV-11-0313, 24-Nov-2025, UPI/IFT/532827799808/IDFB/SC3567, 745")</f>
        <v>TSV-11-0313, 24-Nov-2025, UPI/IFT/532827799808/IDFB/SC3567, 745</v>
      </c>
      <c r="Q1457" s="8">
        <v>2025.0</v>
      </c>
      <c r="R1457" s="8" t="s">
        <v>3946</v>
      </c>
    </row>
    <row r="1458">
      <c r="A1458" s="4" t="s">
        <v>18</v>
      </c>
      <c r="B1458" s="2" t="s">
        <v>4873</v>
      </c>
      <c r="C1458" s="5">
        <v>45985.0</v>
      </c>
      <c r="D1458" s="5">
        <v>45985.0</v>
      </c>
      <c r="E1458" s="4" t="s">
        <v>4874</v>
      </c>
      <c r="F1458" s="9"/>
      <c r="G1458" s="6"/>
      <c r="H1458" s="7">
        <v>824.0</v>
      </c>
      <c r="I1458" s="7" t="s">
        <v>4875</v>
      </c>
      <c r="K1458" s="12" t="str">
        <f t="shared" si="189"/>
        <v>SL1610</v>
      </c>
      <c r="L1458" s="2" t="s">
        <v>4352</v>
      </c>
      <c r="M1458" s="2" t="s">
        <v>24</v>
      </c>
      <c r="N1458" s="2" t="s">
        <v>60</v>
      </c>
      <c r="O1458" s="2">
        <v>1.10751038E8</v>
      </c>
      <c r="P1458" s="15"/>
      <c r="Q1458" s="8">
        <v>2025.0</v>
      </c>
      <c r="R1458" s="8" t="s">
        <v>3946</v>
      </c>
    </row>
    <row r="1459">
      <c r="A1459" s="4" t="s">
        <v>18</v>
      </c>
      <c r="B1459" s="2" t="s">
        <v>4876</v>
      </c>
      <c r="C1459" s="5">
        <v>45985.0</v>
      </c>
      <c r="D1459" s="5">
        <v>45985.0</v>
      </c>
      <c r="E1459" s="4" t="s">
        <v>4877</v>
      </c>
      <c r="F1459" s="9"/>
      <c r="G1459" s="6"/>
      <c r="H1459" s="7">
        <v>365.0</v>
      </c>
      <c r="I1459" s="7" t="s">
        <v>4878</v>
      </c>
      <c r="K1459" s="12" t="str">
        <f t="shared" si="189"/>
        <v>KN3817</v>
      </c>
      <c r="L1459" s="2" t="s">
        <v>2085</v>
      </c>
      <c r="M1459" s="2" t="s">
        <v>24</v>
      </c>
      <c r="N1459" s="2" t="s">
        <v>60</v>
      </c>
      <c r="O1459" s="2">
        <v>1.10751038E8</v>
      </c>
      <c r="P1459" s="15"/>
      <c r="Q1459" s="8">
        <v>2025.0</v>
      </c>
      <c r="R1459" s="8" t="s">
        <v>3946</v>
      </c>
    </row>
    <row r="1460">
      <c r="A1460" s="4" t="s">
        <v>18</v>
      </c>
      <c r="B1460" s="2" t="s">
        <v>4879</v>
      </c>
      <c r="C1460" s="5">
        <v>45985.0</v>
      </c>
      <c r="D1460" s="5">
        <v>45985.0</v>
      </c>
      <c r="E1460" s="4" t="s">
        <v>4880</v>
      </c>
      <c r="F1460" s="9"/>
      <c r="G1460" s="6"/>
      <c r="H1460" s="11">
        <v>21939.0</v>
      </c>
      <c r="I1460" s="7" t="s">
        <v>4881</v>
      </c>
      <c r="K1460" s="2" t="s">
        <v>23</v>
      </c>
      <c r="L1460" s="2" t="s">
        <v>4882</v>
      </c>
      <c r="M1460" s="2" t="s">
        <v>24</v>
      </c>
      <c r="N1460" s="2" t="s">
        <v>60</v>
      </c>
      <c r="O1460" s="2">
        <v>1.10751038E8</v>
      </c>
      <c r="P1460" s="15" t="str">
        <f>IFERROR(__xludf.DUMMYFUNCTION("CONCATENATE(B1460,"", "", to_text(D1460),"", "", E1460,"", "", H1460)"),"TSV-11-0316, 24-Nov-2025, NEFT/CNRBH00091399038/ONORA HOSPITALITY PVT LTD/CN, 21939")</f>
        <v>TSV-11-0316, 24-Nov-2025, NEFT/CNRBH00091399038/ONORA HOSPITALITY PVT LTD/CN, 21939</v>
      </c>
      <c r="Q1460" s="8">
        <v>2025.0</v>
      </c>
      <c r="R1460" s="8" t="s">
        <v>3946</v>
      </c>
    </row>
    <row r="1461">
      <c r="A1461" s="4" t="s">
        <v>18</v>
      </c>
      <c r="B1461" s="2" t="s">
        <v>4883</v>
      </c>
      <c r="C1461" s="5">
        <v>45985.0</v>
      </c>
      <c r="D1461" s="5">
        <v>45985.0</v>
      </c>
      <c r="E1461" s="4" t="s">
        <v>4884</v>
      </c>
      <c r="F1461" s="9"/>
      <c r="G1461" s="6"/>
      <c r="H1461" s="7">
        <v>840.0</v>
      </c>
      <c r="I1461" s="7" t="s">
        <v>4885</v>
      </c>
      <c r="K1461" s="12" t="str">
        <f t="shared" ref="K1461:K1464" si="190">RIGHT(E1461,6)</f>
        <v>KN3817</v>
      </c>
      <c r="M1461" s="2" t="s">
        <v>24</v>
      </c>
      <c r="N1461" s="2" t="s">
        <v>60</v>
      </c>
      <c r="O1461" s="2">
        <v>1.10751038E8</v>
      </c>
      <c r="P1461" s="15" t="str">
        <f>IFERROR(__xludf.DUMMYFUNCTION("CONCATENATE(B1461,"", "", to_text(D1461),"", "", E1461,"", "", H1461)"),"TSV-11-0317, 24-Nov-2025, UPI/CR/114629032688/PARNIKA /HDFC/rastogi/KN3817, 840")</f>
        <v>TSV-11-0317, 24-Nov-2025, UPI/CR/114629032688/PARNIKA /HDFC/rastogi/KN3817, 840</v>
      </c>
      <c r="Q1461" s="8">
        <v>2025.0</v>
      </c>
      <c r="R1461" s="8" t="s">
        <v>3946</v>
      </c>
    </row>
    <row r="1462">
      <c r="A1462" s="4" t="s">
        <v>18</v>
      </c>
      <c r="B1462" s="2" t="s">
        <v>4886</v>
      </c>
      <c r="C1462" s="5">
        <v>45985.0</v>
      </c>
      <c r="D1462" s="5">
        <v>45985.0</v>
      </c>
      <c r="E1462" s="4" t="s">
        <v>4887</v>
      </c>
      <c r="F1462" s="9"/>
      <c r="G1462" s="6"/>
      <c r="H1462" s="7">
        <v>453.0</v>
      </c>
      <c r="I1462" s="7" t="s">
        <v>4888</v>
      </c>
      <c r="K1462" s="12" t="str">
        <f t="shared" si="190"/>
        <v>SC3567</v>
      </c>
      <c r="L1462" s="2" t="s">
        <v>4889</v>
      </c>
      <c r="M1462" s="2" t="s">
        <v>24</v>
      </c>
      <c r="N1462" s="2" t="s">
        <v>60</v>
      </c>
      <c r="O1462" s="2">
        <v>1.10751038E8</v>
      </c>
      <c r="P1462" s="15"/>
      <c r="Q1462" s="8">
        <v>2025.0</v>
      </c>
      <c r="R1462" s="8" t="s">
        <v>3946</v>
      </c>
    </row>
    <row r="1463">
      <c r="A1463" s="4" t="s">
        <v>18</v>
      </c>
      <c r="B1463" s="2" t="s">
        <v>4890</v>
      </c>
      <c r="C1463" s="5">
        <v>45985.0</v>
      </c>
      <c r="D1463" s="5">
        <v>45985.0</v>
      </c>
      <c r="E1463" s="4" t="s">
        <v>4891</v>
      </c>
      <c r="F1463" s="9"/>
      <c r="G1463" s="6"/>
      <c r="H1463" s="11">
        <v>2193.0</v>
      </c>
      <c r="I1463" s="7" t="s">
        <v>4892</v>
      </c>
      <c r="K1463" s="12" t="str">
        <f t="shared" si="190"/>
        <v>SC3567</v>
      </c>
      <c r="L1463" s="2" t="s">
        <v>4893</v>
      </c>
      <c r="M1463" s="2" t="s">
        <v>24</v>
      </c>
      <c r="N1463" s="2" t="s">
        <v>60</v>
      </c>
      <c r="O1463" s="2">
        <v>1.10751038E8</v>
      </c>
      <c r="P1463" s="15"/>
      <c r="Q1463" s="8">
        <v>2025.0</v>
      </c>
      <c r="R1463" s="8" t="s">
        <v>3946</v>
      </c>
    </row>
    <row r="1464">
      <c r="A1464" s="4" t="s">
        <v>18</v>
      </c>
      <c r="B1464" s="2" t="s">
        <v>4894</v>
      </c>
      <c r="C1464" s="5">
        <v>45985.0</v>
      </c>
      <c r="D1464" s="5">
        <v>45985.0</v>
      </c>
      <c r="E1464" s="4" t="s">
        <v>4895</v>
      </c>
      <c r="F1464" s="9"/>
      <c r="G1464" s="6"/>
      <c r="H1464" s="7">
        <v>417.0</v>
      </c>
      <c r="I1464" s="7" t="s">
        <v>4896</v>
      </c>
      <c r="K1464" s="12" t="str">
        <f t="shared" si="190"/>
        <v>SL1610</v>
      </c>
      <c r="L1464" s="2" t="s">
        <v>4897</v>
      </c>
      <c r="M1464" s="2" t="s">
        <v>24</v>
      </c>
      <c r="N1464" s="2" t="s">
        <v>60</v>
      </c>
      <c r="O1464" s="2">
        <v>1.10751038E8</v>
      </c>
      <c r="P1464" s="15"/>
      <c r="Q1464" s="8">
        <v>2025.0</v>
      </c>
      <c r="R1464" s="8" t="s">
        <v>3946</v>
      </c>
    </row>
    <row r="1465">
      <c r="A1465" s="4" t="s">
        <v>18</v>
      </c>
      <c r="B1465" s="2" t="s">
        <v>4898</v>
      </c>
      <c r="C1465" s="5">
        <v>45986.0</v>
      </c>
      <c r="D1465" s="5">
        <v>45986.0</v>
      </c>
      <c r="E1465" s="4" t="s">
        <v>4899</v>
      </c>
      <c r="F1465" s="9"/>
      <c r="G1465" s="11">
        <v>3000.0</v>
      </c>
      <c r="H1465" s="6"/>
      <c r="I1465" s="7" t="s">
        <v>4900</v>
      </c>
      <c r="K1465" s="2" t="s">
        <v>23</v>
      </c>
      <c r="M1465" s="2" t="s">
        <v>114</v>
      </c>
      <c r="N1465" s="2" t="s">
        <v>1835</v>
      </c>
      <c r="O1465" s="2">
        <v>1.10751038E8</v>
      </c>
      <c r="Q1465" s="8">
        <v>2025.0</v>
      </c>
      <c r="R1465" s="8" t="s">
        <v>3946</v>
      </c>
    </row>
    <row r="1466">
      <c r="A1466" s="4" t="s">
        <v>18</v>
      </c>
      <c r="B1466" s="2" t="s">
        <v>4901</v>
      </c>
      <c r="C1466" s="5">
        <v>45986.0</v>
      </c>
      <c r="D1466" s="5">
        <v>45986.0</v>
      </c>
      <c r="E1466" s="4" t="s">
        <v>4902</v>
      </c>
      <c r="F1466" s="9"/>
      <c r="G1466" s="6"/>
      <c r="H1466" s="7">
        <v>600.0</v>
      </c>
      <c r="I1466" s="7" t="s">
        <v>4903</v>
      </c>
      <c r="K1466" s="12" t="str">
        <f t="shared" ref="K1466:K1469" si="191">RIGHT(E1466,6)</f>
        <v>KN3817</v>
      </c>
      <c r="L1466" s="2" t="s">
        <v>4904</v>
      </c>
      <c r="M1466" s="2" t="s">
        <v>24</v>
      </c>
      <c r="N1466" s="2" t="s">
        <v>60</v>
      </c>
      <c r="O1466" s="2">
        <v>1.10751038E8</v>
      </c>
      <c r="P1466" s="15"/>
      <c r="Q1466" s="8">
        <v>2025.0</v>
      </c>
      <c r="R1466" s="8" t="s">
        <v>3946</v>
      </c>
    </row>
    <row r="1467">
      <c r="A1467" s="4" t="s">
        <v>18</v>
      </c>
      <c r="B1467" s="2" t="s">
        <v>4905</v>
      </c>
      <c r="C1467" s="5">
        <v>45986.0</v>
      </c>
      <c r="D1467" s="5">
        <v>45986.0</v>
      </c>
      <c r="E1467" s="4" t="s">
        <v>4906</v>
      </c>
      <c r="F1467" s="9"/>
      <c r="G1467" s="6"/>
      <c r="H1467" s="7">
        <v>480.0</v>
      </c>
      <c r="I1467" s="7" t="s">
        <v>4907</v>
      </c>
      <c r="K1467" s="12" t="str">
        <f t="shared" si="191"/>
        <v>UN3668</v>
      </c>
      <c r="L1467" s="2" t="s">
        <v>4908</v>
      </c>
      <c r="M1467" s="2" t="s">
        <v>24</v>
      </c>
      <c r="N1467" s="2" t="s">
        <v>60</v>
      </c>
      <c r="O1467" s="2">
        <v>1.10751038E8</v>
      </c>
      <c r="P1467" s="15"/>
      <c r="Q1467" s="8">
        <v>2025.0</v>
      </c>
      <c r="R1467" s="8" t="s">
        <v>3946</v>
      </c>
    </row>
    <row r="1468">
      <c r="A1468" s="4" t="s">
        <v>18</v>
      </c>
      <c r="B1468" s="2" t="s">
        <v>4909</v>
      </c>
      <c r="C1468" s="5">
        <v>45986.0</v>
      </c>
      <c r="D1468" s="5">
        <v>45986.0</v>
      </c>
      <c r="E1468" s="4" t="s">
        <v>4910</v>
      </c>
      <c r="F1468" s="9"/>
      <c r="G1468" s="6"/>
      <c r="H1468" s="7">
        <v>327.0</v>
      </c>
      <c r="I1468" s="7" t="s">
        <v>4911</v>
      </c>
      <c r="K1468" s="12" t="str">
        <f t="shared" si="191"/>
        <v>SC3567</v>
      </c>
      <c r="L1468" s="2" t="s">
        <v>4912</v>
      </c>
      <c r="M1468" s="2" t="s">
        <v>24</v>
      </c>
      <c r="N1468" s="2" t="s">
        <v>60</v>
      </c>
      <c r="O1468" s="2">
        <v>1.10751038E8</v>
      </c>
      <c r="P1468" s="15"/>
      <c r="Q1468" s="8">
        <v>2025.0</v>
      </c>
      <c r="R1468" s="8" t="s">
        <v>3946</v>
      </c>
    </row>
    <row r="1469">
      <c r="A1469" s="4" t="s">
        <v>18</v>
      </c>
      <c r="B1469" s="2" t="s">
        <v>4913</v>
      </c>
      <c r="C1469" s="5">
        <v>45986.0</v>
      </c>
      <c r="D1469" s="5">
        <v>45986.0</v>
      </c>
      <c r="E1469" s="4" t="s">
        <v>4914</v>
      </c>
      <c r="F1469" s="9"/>
      <c r="G1469" s="6"/>
      <c r="H1469" s="7">
        <v>320.0</v>
      </c>
      <c r="I1469" s="7" t="s">
        <v>4915</v>
      </c>
      <c r="K1469" s="12" t="str">
        <f t="shared" si="191"/>
        <v>KN3817</v>
      </c>
      <c r="L1469" s="2" t="s">
        <v>4916</v>
      </c>
      <c r="M1469" s="2" t="s">
        <v>24</v>
      </c>
      <c r="N1469" s="2" t="s">
        <v>60</v>
      </c>
      <c r="O1469" s="2">
        <v>1.10751038E8</v>
      </c>
      <c r="P1469" s="15"/>
      <c r="Q1469" s="8">
        <v>2025.0</v>
      </c>
      <c r="R1469" s="8" t="s">
        <v>3946</v>
      </c>
    </row>
    <row r="1470">
      <c r="A1470" s="4" t="s">
        <v>18</v>
      </c>
      <c r="B1470" s="2" t="s">
        <v>4917</v>
      </c>
      <c r="C1470" s="5">
        <v>45986.0</v>
      </c>
      <c r="D1470" s="5">
        <v>45986.0</v>
      </c>
      <c r="E1470" s="4" t="s">
        <v>4918</v>
      </c>
      <c r="F1470" s="9"/>
      <c r="G1470" s="6"/>
      <c r="H1470" s="7">
        <v>984.0</v>
      </c>
      <c r="I1470" s="7" t="s">
        <v>4919</v>
      </c>
      <c r="K1470" s="2" t="s">
        <v>539</v>
      </c>
      <c r="M1470" s="2" t="s">
        <v>24</v>
      </c>
      <c r="N1470" s="2" t="s">
        <v>60</v>
      </c>
      <c r="O1470" s="2">
        <v>1.10751038E8</v>
      </c>
      <c r="P1470" s="15" t="str">
        <f>IFERROR(__xludf.DUMMYFUNCTION("CONCATENATE(B1470,"", "", to_text(D1470),"", "", E1470,"", "", H1470)"),"TSV-11-0326, 25-Nov-2025, UPI/CR/117405603295/PRAKRITI/CNRB/prakrit/UPI, 984")</f>
        <v>TSV-11-0326, 25-Nov-2025, UPI/CR/117405603295/PRAKRITI/CNRB/prakrit/UPI, 984</v>
      </c>
      <c r="Q1470" s="8">
        <v>2025.0</v>
      </c>
      <c r="R1470" s="8" t="s">
        <v>3946</v>
      </c>
    </row>
    <row r="1471">
      <c r="A1471" s="4" t="s">
        <v>18</v>
      </c>
      <c r="B1471" s="2" t="s">
        <v>4920</v>
      </c>
      <c r="C1471" s="5">
        <v>45986.0</v>
      </c>
      <c r="D1471" s="5">
        <v>45986.0</v>
      </c>
      <c r="E1471" s="4" t="s">
        <v>4921</v>
      </c>
      <c r="F1471" s="9"/>
      <c r="G1471" s="11">
        <v>1600.0</v>
      </c>
      <c r="H1471" s="6"/>
      <c r="I1471" s="7" t="s">
        <v>4922</v>
      </c>
      <c r="K1471" s="2" t="s">
        <v>127</v>
      </c>
      <c r="M1471" s="2" t="s">
        <v>114</v>
      </c>
      <c r="N1471" s="2" t="s">
        <v>1800</v>
      </c>
      <c r="O1471" s="2">
        <v>1.10751038E8</v>
      </c>
      <c r="Q1471" s="8">
        <v>2025.0</v>
      </c>
      <c r="R1471" s="8" t="s">
        <v>3946</v>
      </c>
    </row>
    <row r="1472">
      <c r="A1472" s="4" t="s">
        <v>18</v>
      </c>
      <c r="B1472" s="2" t="s">
        <v>4923</v>
      </c>
      <c r="C1472" s="5">
        <v>45986.0</v>
      </c>
      <c r="D1472" s="5">
        <v>45986.0</v>
      </c>
      <c r="E1472" s="4" t="s">
        <v>4924</v>
      </c>
      <c r="F1472" s="9"/>
      <c r="G1472" s="11">
        <v>1600.0</v>
      </c>
      <c r="H1472" s="6"/>
      <c r="I1472" s="7" t="s">
        <v>4925</v>
      </c>
      <c r="K1472" s="2" t="s">
        <v>127</v>
      </c>
      <c r="M1472" s="2" t="s">
        <v>114</v>
      </c>
      <c r="N1472" s="2" t="s">
        <v>1800</v>
      </c>
      <c r="O1472" s="2">
        <v>1.10751038E8</v>
      </c>
      <c r="Q1472" s="8">
        <v>2025.0</v>
      </c>
      <c r="R1472" s="8" t="s">
        <v>3946</v>
      </c>
    </row>
    <row r="1473">
      <c r="A1473" s="4" t="s">
        <v>18</v>
      </c>
      <c r="B1473" s="2" t="s">
        <v>4926</v>
      </c>
      <c r="C1473" s="5">
        <v>45986.0</v>
      </c>
      <c r="D1473" s="5">
        <v>45986.0</v>
      </c>
      <c r="E1473" s="4" t="s">
        <v>4927</v>
      </c>
      <c r="F1473" s="9"/>
      <c r="G1473" s="6"/>
      <c r="H1473" s="7">
        <v>299.0</v>
      </c>
      <c r="I1473" s="7" t="s">
        <v>4928</v>
      </c>
      <c r="K1473" s="12" t="str">
        <f>RIGHT(E1473,6)</f>
        <v>SC3567</v>
      </c>
      <c r="L1473" s="2" t="s">
        <v>4929</v>
      </c>
      <c r="M1473" s="2" t="s">
        <v>24</v>
      </c>
      <c r="N1473" s="2" t="s">
        <v>60</v>
      </c>
      <c r="O1473" s="2">
        <v>1.10751038E8</v>
      </c>
      <c r="P1473" s="15"/>
      <c r="Q1473" s="8">
        <v>2025.0</v>
      </c>
      <c r="R1473" s="8" t="s">
        <v>3946</v>
      </c>
    </row>
    <row r="1474">
      <c r="A1474" s="4" t="s">
        <v>18</v>
      </c>
      <c r="B1474" s="2" t="s">
        <v>4930</v>
      </c>
      <c r="C1474" s="5">
        <v>45986.0</v>
      </c>
      <c r="D1474" s="5">
        <v>45986.0</v>
      </c>
      <c r="E1474" s="4" t="s">
        <v>4931</v>
      </c>
      <c r="F1474" s="9"/>
      <c r="G1474" s="11">
        <v>1649.64</v>
      </c>
      <c r="H1474" s="6"/>
      <c r="I1474" s="7" t="s">
        <v>4932</v>
      </c>
      <c r="K1474" s="2" t="s">
        <v>23</v>
      </c>
      <c r="M1474" s="2" t="s">
        <v>114</v>
      </c>
      <c r="N1474" s="2" t="s">
        <v>1351</v>
      </c>
      <c r="O1474" s="2">
        <v>1.10751038E8</v>
      </c>
      <c r="Q1474" s="8">
        <v>2025.0</v>
      </c>
      <c r="R1474" s="8" t="s">
        <v>3946</v>
      </c>
    </row>
    <row r="1475">
      <c r="A1475" s="4" t="s">
        <v>18</v>
      </c>
      <c r="B1475" s="2" t="s">
        <v>4933</v>
      </c>
      <c r="C1475" s="5">
        <v>45986.0</v>
      </c>
      <c r="D1475" s="5">
        <v>45986.0</v>
      </c>
      <c r="E1475" s="4" t="s">
        <v>4934</v>
      </c>
      <c r="F1475" s="9"/>
      <c r="G1475" s="6"/>
      <c r="H1475" s="7">
        <v>660.0</v>
      </c>
      <c r="I1475" s="7" t="s">
        <v>4935</v>
      </c>
      <c r="K1475" s="12" t="str">
        <f>RIGHT(E1475,6)</f>
        <v>KN3817</v>
      </c>
      <c r="L1475" s="2" t="s">
        <v>4936</v>
      </c>
      <c r="M1475" s="2" t="s">
        <v>24</v>
      </c>
      <c r="N1475" s="2" t="s">
        <v>60</v>
      </c>
      <c r="O1475" s="2">
        <v>1.10751038E8</v>
      </c>
      <c r="P1475" s="15"/>
      <c r="Q1475" s="8">
        <v>2025.0</v>
      </c>
      <c r="R1475" s="8" t="s">
        <v>3946</v>
      </c>
    </row>
    <row r="1476">
      <c r="A1476" s="4" t="s">
        <v>18</v>
      </c>
      <c r="B1476" s="2" t="s">
        <v>4937</v>
      </c>
      <c r="C1476" s="5">
        <v>45986.0</v>
      </c>
      <c r="D1476" s="5">
        <v>45986.0</v>
      </c>
      <c r="E1476" s="4" t="s">
        <v>4938</v>
      </c>
      <c r="F1476" s="9"/>
      <c r="G1476" s="11">
        <v>5030.0</v>
      </c>
      <c r="H1476" s="6"/>
      <c r="I1476" s="7" t="s">
        <v>4939</v>
      </c>
      <c r="K1476" s="2" t="s">
        <v>123</v>
      </c>
      <c r="M1476" s="2" t="s">
        <v>114</v>
      </c>
      <c r="N1476" s="2" t="s">
        <v>478</v>
      </c>
      <c r="O1476" s="2">
        <v>1.10751038E8</v>
      </c>
      <c r="Q1476" s="8">
        <v>2025.0</v>
      </c>
      <c r="R1476" s="8" t="s">
        <v>3946</v>
      </c>
    </row>
    <row r="1477">
      <c r="A1477" s="4" t="s">
        <v>18</v>
      </c>
      <c r="B1477" s="2" t="s">
        <v>4940</v>
      </c>
      <c r="C1477" s="5">
        <v>45986.0</v>
      </c>
      <c r="D1477" s="5">
        <v>45986.0</v>
      </c>
      <c r="E1477" s="4" t="s">
        <v>4941</v>
      </c>
      <c r="F1477" s="9"/>
      <c r="G1477" s="6"/>
      <c r="H1477" s="7">
        <v>600.0</v>
      </c>
      <c r="I1477" s="7" t="s">
        <v>4942</v>
      </c>
      <c r="K1477" s="12" t="str">
        <f t="shared" ref="K1477:K1481" si="192">RIGHT(E1477,6)</f>
        <v>KN3817</v>
      </c>
      <c r="L1477" s="21" t="s">
        <v>4936</v>
      </c>
      <c r="M1477" s="2" t="s">
        <v>24</v>
      </c>
      <c r="N1477" s="2" t="s">
        <v>60</v>
      </c>
      <c r="O1477" s="2">
        <v>1.10751038E8</v>
      </c>
      <c r="P1477" s="15"/>
      <c r="Q1477" s="8">
        <v>2025.0</v>
      </c>
      <c r="R1477" s="8" t="s">
        <v>3946</v>
      </c>
    </row>
    <row r="1478">
      <c r="A1478" s="4" t="s">
        <v>18</v>
      </c>
      <c r="B1478" s="2" t="s">
        <v>4943</v>
      </c>
      <c r="C1478" s="5">
        <v>45986.0</v>
      </c>
      <c r="D1478" s="5">
        <v>45986.0</v>
      </c>
      <c r="E1478" s="4" t="s">
        <v>4944</v>
      </c>
      <c r="F1478" s="9"/>
      <c r="G1478" s="6"/>
      <c r="H1478" s="11">
        <v>2160.0</v>
      </c>
      <c r="I1478" s="7" t="s">
        <v>4945</v>
      </c>
      <c r="K1478" s="12" t="str">
        <f t="shared" si="192"/>
        <v>SC3567</v>
      </c>
      <c r="L1478" s="2" t="s">
        <v>4946</v>
      </c>
      <c r="M1478" s="2" t="s">
        <v>24</v>
      </c>
      <c r="N1478" s="2" t="s">
        <v>60</v>
      </c>
      <c r="O1478" s="2">
        <v>1.10751038E8</v>
      </c>
      <c r="P1478" s="15"/>
      <c r="Q1478" s="8">
        <v>2025.0</v>
      </c>
      <c r="R1478" s="8" t="s">
        <v>3946</v>
      </c>
    </row>
    <row r="1479">
      <c r="A1479" s="4" t="s">
        <v>18</v>
      </c>
      <c r="B1479" s="2" t="s">
        <v>4947</v>
      </c>
      <c r="C1479" s="5">
        <v>45986.0</v>
      </c>
      <c r="D1479" s="5">
        <v>45986.0</v>
      </c>
      <c r="E1479" s="4" t="s">
        <v>4948</v>
      </c>
      <c r="F1479" s="9"/>
      <c r="G1479" s="6"/>
      <c r="H1479" s="11">
        <v>1868.0</v>
      </c>
      <c r="I1479" s="7" t="s">
        <v>4949</v>
      </c>
      <c r="K1479" s="12" t="str">
        <f t="shared" si="192"/>
        <v>UN3668</v>
      </c>
      <c r="L1479" s="2" t="s">
        <v>4950</v>
      </c>
      <c r="M1479" s="2" t="s">
        <v>24</v>
      </c>
      <c r="N1479" s="2" t="s">
        <v>60</v>
      </c>
      <c r="O1479" s="2">
        <v>1.10751038E8</v>
      </c>
      <c r="P1479" s="15"/>
      <c r="Q1479" s="8">
        <v>2025.0</v>
      </c>
      <c r="R1479" s="8" t="s">
        <v>3946</v>
      </c>
    </row>
    <row r="1480">
      <c r="A1480" s="4" t="s">
        <v>18</v>
      </c>
      <c r="B1480" s="2" t="s">
        <v>4951</v>
      </c>
      <c r="C1480" s="5">
        <v>45986.0</v>
      </c>
      <c r="D1480" s="5">
        <v>45986.0</v>
      </c>
      <c r="E1480" s="4" t="s">
        <v>4952</v>
      </c>
      <c r="F1480" s="9"/>
      <c r="G1480" s="6"/>
      <c r="H1480" s="11">
        <v>2760.0</v>
      </c>
      <c r="I1480" s="7" t="s">
        <v>4953</v>
      </c>
      <c r="K1480" s="12" t="str">
        <f t="shared" si="192"/>
        <v>UN3668</v>
      </c>
      <c r="L1480" s="2" t="s">
        <v>4954</v>
      </c>
      <c r="M1480" s="2" t="s">
        <v>24</v>
      </c>
      <c r="N1480" s="2" t="s">
        <v>60</v>
      </c>
      <c r="O1480" s="2">
        <v>1.10751038E8</v>
      </c>
      <c r="P1480" s="15"/>
      <c r="Q1480" s="8">
        <v>2025.0</v>
      </c>
      <c r="R1480" s="8" t="s">
        <v>3946</v>
      </c>
    </row>
    <row r="1481">
      <c r="A1481" s="4" t="s">
        <v>18</v>
      </c>
      <c r="B1481" s="2" t="s">
        <v>4955</v>
      </c>
      <c r="C1481" s="5">
        <v>45987.0</v>
      </c>
      <c r="D1481" s="5">
        <v>45987.0</v>
      </c>
      <c r="E1481" s="4" t="s">
        <v>4956</v>
      </c>
      <c r="F1481" s="9"/>
      <c r="G1481" s="6"/>
      <c r="H1481" s="7">
        <v>356.0</v>
      </c>
      <c r="I1481" s="7" t="s">
        <v>4957</v>
      </c>
      <c r="K1481" s="12" t="str">
        <f t="shared" si="192"/>
        <v>UN3668</v>
      </c>
      <c r="L1481" s="2" t="s">
        <v>4958</v>
      </c>
      <c r="M1481" s="2" t="s">
        <v>24</v>
      </c>
      <c r="N1481" s="2" t="s">
        <v>60</v>
      </c>
      <c r="O1481" s="2">
        <v>1.10751038E8</v>
      </c>
      <c r="P1481" s="15"/>
      <c r="Q1481" s="8">
        <v>2025.0</v>
      </c>
      <c r="R1481" s="8" t="s">
        <v>3946</v>
      </c>
    </row>
    <row r="1482">
      <c r="A1482" s="4" t="s">
        <v>18</v>
      </c>
      <c r="B1482" s="2" t="s">
        <v>4959</v>
      </c>
      <c r="C1482" s="5">
        <v>45987.0</v>
      </c>
      <c r="D1482" s="5">
        <v>45987.0</v>
      </c>
      <c r="E1482" s="4" t="s">
        <v>4960</v>
      </c>
      <c r="F1482" s="9"/>
      <c r="G1482" s="7">
        <v>80.0</v>
      </c>
      <c r="H1482" s="6"/>
      <c r="I1482" s="7" t="s">
        <v>4961</v>
      </c>
      <c r="J1482" s="2" t="s">
        <v>4962</v>
      </c>
      <c r="K1482" s="2" t="s">
        <v>127</v>
      </c>
      <c r="M1482" s="2" t="s">
        <v>114</v>
      </c>
      <c r="N1482" s="2" t="s">
        <v>385</v>
      </c>
      <c r="O1482" s="2">
        <v>1.10751038E8</v>
      </c>
      <c r="Q1482" s="8">
        <v>2025.0</v>
      </c>
      <c r="R1482" s="8" t="s">
        <v>3946</v>
      </c>
    </row>
    <row r="1483">
      <c r="A1483" s="4" t="s">
        <v>18</v>
      </c>
      <c r="B1483" s="2" t="s">
        <v>4963</v>
      </c>
      <c r="C1483" s="5">
        <v>45987.0</v>
      </c>
      <c r="D1483" s="5">
        <v>45987.0</v>
      </c>
      <c r="E1483" s="4" t="s">
        <v>4964</v>
      </c>
      <c r="F1483" s="9"/>
      <c r="G1483" s="6"/>
      <c r="H1483" s="7">
        <v>847.0</v>
      </c>
      <c r="I1483" s="7" t="s">
        <v>4965</v>
      </c>
      <c r="K1483" s="12" t="str">
        <f>RIGHT(E1483,6)</f>
        <v>SL1610</v>
      </c>
      <c r="L1483" s="2" t="s">
        <v>4966</v>
      </c>
      <c r="M1483" s="2" t="s">
        <v>24</v>
      </c>
      <c r="N1483" s="2" t="s">
        <v>60</v>
      </c>
      <c r="O1483" s="2">
        <v>1.10751038E8</v>
      </c>
      <c r="P1483" s="15"/>
      <c r="Q1483" s="8">
        <v>2025.0</v>
      </c>
      <c r="R1483" s="8" t="s">
        <v>3946</v>
      </c>
    </row>
    <row r="1484">
      <c r="A1484" s="4" t="s">
        <v>18</v>
      </c>
      <c r="B1484" s="2" t="s">
        <v>4967</v>
      </c>
      <c r="C1484" s="5">
        <v>45987.0</v>
      </c>
      <c r="D1484" s="5">
        <v>45987.0</v>
      </c>
      <c r="E1484" s="4" t="s">
        <v>4968</v>
      </c>
      <c r="F1484" s="9"/>
      <c r="G1484" s="11">
        <v>4140.0</v>
      </c>
      <c r="H1484" s="6"/>
      <c r="I1484" s="7" t="s">
        <v>4969</v>
      </c>
      <c r="J1484" s="2" t="s">
        <v>4970</v>
      </c>
      <c r="K1484" s="2" t="s">
        <v>119</v>
      </c>
      <c r="M1484" s="2" t="s">
        <v>114</v>
      </c>
      <c r="N1484" s="2" t="s">
        <v>385</v>
      </c>
      <c r="O1484" s="2">
        <v>1.10751038E8</v>
      </c>
      <c r="Q1484" s="8">
        <v>2025.0</v>
      </c>
      <c r="R1484" s="8" t="s">
        <v>3946</v>
      </c>
    </row>
    <row r="1485">
      <c r="A1485" s="4" t="s">
        <v>18</v>
      </c>
      <c r="B1485" s="2" t="s">
        <v>4971</v>
      </c>
      <c r="C1485" s="5">
        <v>45987.0</v>
      </c>
      <c r="D1485" s="5">
        <v>45987.0</v>
      </c>
      <c r="E1485" s="4" t="s">
        <v>4972</v>
      </c>
      <c r="F1485" s="9"/>
      <c r="G1485" s="6"/>
      <c r="H1485" s="7">
        <v>592.0</v>
      </c>
      <c r="I1485" s="7" t="s">
        <v>4973</v>
      </c>
      <c r="K1485" s="12" t="str">
        <f t="shared" ref="K1485:K1487" si="193">RIGHT(E1485,6)</f>
        <v>UN3668</v>
      </c>
      <c r="L1485" s="2" t="s">
        <v>4974</v>
      </c>
      <c r="M1485" s="2" t="s">
        <v>24</v>
      </c>
      <c r="N1485" s="2" t="s">
        <v>60</v>
      </c>
      <c r="O1485" s="2">
        <v>1.10751038E8</v>
      </c>
      <c r="P1485" s="15"/>
      <c r="Q1485" s="8">
        <v>2025.0</v>
      </c>
      <c r="R1485" s="8" t="s">
        <v>3946</v>
      </c>
    </row>
    <row r="1486">
      <c r="A1486" s="4" t="s">
        <v>18</v>
      </c>
      <c r="B1486" s="2" t="s">
        <v>4975</v>
      </c>
      <c r="C1486" s="5">
        <v>45987.0</v>
      </c>
      <c r="D1486" s="5">
        <v>45987.0</v>
      </c>
      <c r="E1486" s="4" t="s">
        <v>4976</v>
      </c>
      <c r="F1486" s="9"/>
      <c r="G1486" s="6"/>
      <c r="H1486" s="7">
        <v>356.0</v>
      </c>
      <c r="I1486" s="7" t="s">
        <v>4977</v>
      </c>
      <c r="K1486" s="12" t="str">
        <f t="shared" si="193"/>
        <v>UN3668</v>
      </c>
      <c r="L1486" s="2" t="s">
        <v>4978</v>
      </c>
      <c r="M1486" s="2" t="s">
        <v>24</v>
      </c>
      <c r="N1486" s="2" t="s">
        <v>60</v>
      </c>
      <c r="O1486" s="2">
        <v>1.10751038E8</v>
      </c>
      <c r="P1486" s="15"/>
      <c r="Q1486" s="8">
        <v>2025.0</v>
      </c>
      <c r="R1486" s="8" t="s">
        <v>3946</v>
      </c>
    </row>
    <row r="1487">
      <c r="A1487" s="4" t="s">
        <v>18</v>
      </c>
      <c r="B1487" s="2" t="s">
        <v>4979</v>
      </c>
      <c r="C1487" s="5">
        <v>45987.0</v>
      </c>
      <c r="D1487" s="5">
        <v>45987.0</v>
      </c>
      <c r="E1487" s="4" t="s">
        <v>4980</v>
      </c>
      <c r="F1487" s="9"/>
      <c r="G1487" s="6"/>
      <c r="H1487" s="7">
        <v>840.0</v>
      </c>
      <c r="I1487" s="7" t="s">
        <v>4981</v>
      </c>
      <c r="K1487" s="12" t="str">
        <f t="shared" si="193"/>
        <v>KN3817</v>
      </c>
      <c r="L1487" s="21" t="s">
        <v>4982</v>
      </c>
      <c r="M1487" s="2" t="s">
        <v>24</v>
      </c>
      <c r="N1487" s="2" t="s">
        <v>60</v>
      </c>
      <c r="O1487" s="2">
        <v>1.10751038E8</v>
      </c>
      <c r="P1487" s="15"/>
      <c r="Q1487" s="8">
        <v>2025.0</v>
      </c>
      <c r="R1487" s="8" t="s">
        <v>3946</v>
      </c>
    </row>
    <row r="1488">
      <c r="A1488" s="4" t="s">
        <v>18</v>
      </c>
      <c r="B1488" s="2" t="s">
        <v>4983</v>
      </c>
      <c r="C1488" s="5">
        <v>45987.0</v>
      </c>
      <c r="D1488" s="5">
        <v>45987.0</v>
      </c>
      <c r="E1488" s="4" t="s">
        <v>4984</v>
      </c>
      <c r="F1488" s="9"/>
      <c r="G1488" s="11">
        <v>1190.0</v>
      </c>
      <c r="H1488" s="6"/>
      <c r="I1488" s="7" t="s">
        <v>4985</v>
      </c>
      <c r="K1488" s="2" t="s">
        <v>127</v>
      </c>
      <c r="M1488" s="2" t="s">
        <v>114</v>
      </c>
      <c r="N1488" s="2" t="s">
        <v>478</v>
      </c>
      <c r="O1488" s="2">
        <v>1.10751038E8</v>
      </c>
      <c r="Q1488" s="8">
        <v>2025.0</v>
      </c>
      <c r="R1488" s="8" t="s">
        <v>3946</v>
      </c>
    </row>
    <row r="1489">
      <c r="A1489" s="4" t="s">
        <v>18</v>
      </c>
      <c r="B1489" s="2" t="s">
        <v>4986</v>
      </c>
      <c r="C1489" s="5">
        <v>45987.0</v>
      </c>
      <c r="D1489" s="5">
        <v>45987.0</v>
      </c>
      <c r="E1489" s="4" t="s">
        <v>4987</v>
      </c>
      <c r="F1489" s="9"/>
      <c r="G1489" s="6"/>
      <c r="H1489" s="11">
        <v>1200.0</v>
      </c>
      <c r="I1489" s="7" t="s">
        <v>4988</v>
      </c>
      <c r="K1489" s="12" t="str">
        <f t="shared" ref="K1489:K1491" si="194">RIGHT(E1489,6)</f>
        <v>KN3817</v>
      </c>
      <c r="L1489" s="2" t="s">
        <v>2474</v>
      </c>
      <c r="M1489" s="2" t="s">
        <v>24</v>
      </c>
      <c r="N1489" s="2" t="s">
        <v>60</v>
      </c>
      <c r="O1489" s="2">
        <v>1.10751038E8</v>
      </c>
      <c r="P1489" s="15"/>
      <c r="Q1489" s="8">
        <v>2025.0</v>
      </c>
      <c r="R1489" s="8" t="s">
        <v>3946</v>
      </c>
    </row>
    <row r="1490">
      <c r="A1490" s="4" t="s">
        <v>18</v>
      </c>
      <c r="B1490" s="2" t="s">
        <v>4989</v>
      </c>
      <c r="C1490" s="5">
        <v>45987.0</v>
      </c>
      <c r="D1490" s="5">
        <v>45987.0</v>
      </c>
      <c r="E1490" s="4" t="s">
        <v>4990</v>
      </c>
      <c r="F1490" s="9"/>
      <c r="G1490" s="6"/>
      <c r="H1490" s="11">
        <v>1040.0</v>
      </c>
      <c r="I1490" s="7" t="s">
        <v>4991</v>
      </c>
      <c r="K1490" s="12" t="str">
        <f t="shared" si="194"/>
        <v>SL1610</v>
      </c>
      <c r="L1490" s="2" t="s">
        <v>4992</v>
      </c>
      <c r="M1490" s="2" t="s">
        <v>24</v>
      </c>
      <c r="N1490" s="2" t="s">
        <v>60</v>
      </c>
      <c r="O1490" s="2">
        <v>1.10751038E8</v>
      </c>
      <c r="P1490" s="15"/>
      <c r="Q1490" s="8">
        <v>2025.0</v>
      </c>
      <c r="R1490" s="8" t="s">
        <v>3946</v>
      </c>
    </row>
    <row r="1491">
      <c r="A1491" s="4" t="s">
        <v>18</v>
      </c>
      <c r="B1491" s="2" t="s">
        <v>4993</v>
      </c>
      <c r="C1491" s="5">
        <v>45987.0</v>
      </c>
      <c r="D1491" s="5">
        <v>45987.0</v>
      </c>
      <c r="E1491" s="4" t="s">
        <v>4994</v>
      </c>
      <c r="F1491" s="9"/>
      <c r="G1491" s="6"/>
      <c r="H1491" s="11">
        <v>1030.0</v>
      </c>
      <c r="I1491" s="7" t="s">
        <v>4995</v>
      </c>
      <c r="K1491" s="12" t="str">
        <f t="shared" si="194"/>
        <v>UN3668</v>
      </c>
      <c r="L1491" s="2" t="s">
        <v>4996</v>
      </c>
      <c r="M1491" s="2" t="s">
        <v>24</v>
      </c>
      <c r="N1491" s="2" t="s">
        <v>60</v>
      </c>
      <c r="O1491" s="2">
        <v>1.10751038E8</v>
      </c>
      <c r="P1491" s="15"/>
      <c r="Q1491" s="8">
        <v>2025.0</v>
      </c>
      <c r="R1491" s="8" t="s">
        <v>3946</v>
      </c>
    </row>
    <row r="1492">
      <c r="A1492" s="4" t="s">
        <v>18</v>
      </c>
      <c r="B1492" s="2" t="s">
        <v>4997</v>
      </c>
      <c r="C1492" s="5">
        <v>45988.0</v>
      </c>
      <c r="D1492" s="5">
        <v>45988.0</v>
      </c>
      <c r="E1492" s="4" t="s">
        <v>4998</v>
      </c>
      <c r="F1492" s="9"/>
      <c r="G1492" s="7">
        <v>500.0</v>
      </c>
      <c r="H1492" s="6"/>
      <c r="I1492" s="7" t="s">
        <v>4999</v>
      </c>
      <c r="J1492" s="2" t="s">
        <v>4023</v>
      </c>
      <c r="K1492" s="2" t="s">
        <v>127</v>
      </c>
      <c r="M1492" s="2" t="s">
        <v>114</v>
      </c>
      <c r="N1492" s="2" t="s">
        <v>385</v>
      </c>
      <c r="O1492" s="2">
        <v>1.10751038E8</v>
      </c>
      <c r="Q1492" s="8">
        <v>2025.0</v>
      </c>
      <c r="R1492" s="8" t="s">
        <v>3946</v>
      </c>
    </row>
    <row r="1493">
      <c r="A1493" s="4" t="s">
        <v>18</v>
      </c>
      <c r="B1493" s="2" t="s">
        <v>5000</v>
      </c>
      <c r="C1493" s="5">
        <v>45988.0</v>
      </c>
      <c r="D1493" s="5">
        <v>45988.0</v>
      </c>
      <c r="E1493" s="4" t="s">
        <v>5001</v>
      </c>
      <c r="F1493" s="9"/>
      <c r="G1493" s="11">
        <v>3260.0</v>
      </c>
      <c r="H1493" s="6"/>
      <c r="I1493" s="7" t="s">
        <v>5002</v>
      </c>
      <c r="K1493" s="2" t="s">
        <v>123</v>
      </c>
      <c r="M1493" s="2" t="s">
        <v>114</v>
      </c>
      <c r="N1493" s="2" t="s">
        <v>1800</v>
      </c>
      <c r="O1493" s="2">
        <v>1.10751038E8</v>
      </c>
      <c r="Q1493" s="8">
        <v>2025.0</v>
      </c>
      <c r="R1493" s="8" t="s">
        <v>3946</v>
      </c>
    </row>
    <row r="1494">
      <c r="A1494" s="4" t="s">
        <v>18</v>
      </c>
      <c r="B1494" s="2" t="s">
        <v>5003</v>
      </c>
      <c r="C1494" s="5">
        <v>45988.0</v>
      </c>
      <c r="D1494" s="5">
        <v>45988.0</v>
      </c>
      <c r="E1494" s="4" t="s">
        <v>5004</v>
      </c>
      <c r="F1494" s="9"/>
      <c r="G1494" s="6"/>
      <c r="H1494" s="11">
        <v>2000.0</v>
      </c>
      <c r="I1494" s="7" t="s">
        <v>5005</v>
      </c>
      <c r="K1494" s="12" t="str">
        <f>RIGHT(E1494,6)</f>
        <v>UN3668</v>
      </c>
      <c r="L1494" s="2" t="s">
        <v>619</v>
      </c>
      <c r="M1494" s="2" t="s">
        <v>24</v>
      </c>
      <c r="N1494" s="2" t="s">
        <v>60</v>
      </c>
      <c r="O1494" s="2">
        <v>1.10751038E8</v>
      </c>
      <c r="P1494" s="15"/>
      <c r="Q1494" s="8">
        <v>2025.0</v>
      </c>
      <c r="R1494" s="8" t="s">
        <v>3946</v>
      </c>
    </row>
    <row r="1495">
      <c r="A1495" s="4" t="s">
        <v>18</v>
      </c>
      <c r="B1495" s="2" t="s">
        <v>5006</v>
      </c>
      <c r="C1495" s="5">
        <v>45988.0</v>
      </c>
      <c r="D1495" s="5">
        <v>45988.0</v>
      </c>
      <c r="E1495" s="4" t="s">
        <v>5007</v>
      </c>
      <c r="F1495" s="9"/>
      <c r="G1495" s="7">
        <v>25.0</v>
      </c>
      <c r="H1495" s="6"/>
      <c r="I1495" s="7" t="s">
        <v>5008</v>
      </c>
      <c r="J1495" s="2" t="s">
        <v>5009</v>
      </c>
      <c r="K1495" s="2" t="s">
        <v>127</v>
      </c>
      <c r="M1495" s="2" t="s">
        <v>114</v>
      </c>
      <c r="N1495" s="2" t="s">
        <v>385</v>
      </c>
      <c r="O1495" s="2">
        <v>1.10751038E8</v>
      </c>
      <c r="Q1495" s="8">
        <v>2025.0</v>
      </c>
      <c r="R1495" s="8" t="s">
        <v>3946</v>
      </c>
    </row>
    <row r="1496">
      <c r="A1496" s="4" t="s">
        <v>18</v>
      </c>
      <c r="B1496" s="2" t="s">
        <v>5010</v>
      </c>
      <c r="C1496" s="5">
        <v>45988.0</v>
      </c>
      <c r="D1496" s="5">
        <v>45988.0</v>
      </c>
      <c r="E1496" s="4" t="s">
        <v>5011</v>
      </c>
      <c r="F1496" s="9"/>
      <c r="G1496" s="11">
        <v>1218.0</v>
      </c>
      <c r="H1496" s="6"/>
      <c r="I1496" s="7" t="s">
        <v>5012</v>
      </c>
      <c r="J1496" s="2" t="s">
        <v>5013</v>
      </c>
      <c r="K1496" s="2" t="s">
        <v>127</v>
      </c>
      <c r="M1496" s="2" t="s">
        <v>114</v>
      </c>
      <c r="N1496" s="2" t="s">
        <v>2883</v>
      </c>
      <c r="O1496" s="2">
        <v>1.10751038E8</v>
      </c>
      <c r="Q1496" s="8">
        <v>2025.0</v>
      </c>
      <c r="R1496" s="8" t="s">
        <v>3946</v>
      </c>
    </row>
    <row r="1497">
      <c r="A1497" s="4" t="s">
        <v>18</v>
      </c>
      <c r="B1497" s="2" t="s">
        <v>5014</v>
      </c>
      <c r="C1497" s="5">
        <v>45988.0</v>
      </c>
      <c r="D1497" s="5">
        <v>45988.0</v>
      </c>
      <c r="E1497" s="4" t="s">
        <v>5015</v>
      </c>
      <c r="F1497" s="9"/>
      <c r="G1497" s="11">
        <v>2000.0</v>
      </c>
      <c r="H1497" s="6"/>
      <c r="I1497" s="7" t="s">
        <v>5016</v>
      </c>
      <c r="K1497" s="2" t="s">
        <v>127</v>
      </c>
      <c r="M1497" s="2" t="s">
        <v>114</v>
      </c>
      <c r="N1497" s="2" t="s">
        <v>2739</v>
      </c>
      <c r="O1497" s="2">
        <v>1.10751038E8</v>
      </c>
      <c r="Q1497" s="8">
        <v>2025.0</v>
      </c>
      <c r="R1497" s="8" t="s">
        <v>3946</v>
      </c>
    </row>
    <row r="1498">
      <c r="A1498" s="4" t="s">
        <v>18</v>
      </c>
      <c r="B1498" s="2" t="s">
        <v>5017</v>
      </c>
      <c r="C1498" s="5">
        <v>45988.0</v>
      </c>
      <c r="D1498" s="5">
        <v>45988.0</v>
      </c>
      <c r="E1498" s="4" t="s">
        <v>5018</v>
      </c>
      <c r="F1498" s="9"/>
      <c r="G1498" s="11">
        <v>1590.0</v>
      </c>
      <c r="H1498" s="6"/>
      <c r="I1498" s="7" t="s">
        <v>5019</v>
      </c>
      <c r="K1498" s="2" t="s">
        <v>127</v>
      </c>
      <c r="M1498" s="2" t="s">
        <v>114</v>
      </c>
      <c r="N1498" s="2" t="s">
        <v>2739</v>
      </c>
      <c r="O1498" s="2">
        <v>1.10751038E8</v>
      </c>
      <c r="Q1498" s="8">
        <v>2025.0</v>
      </c>
      <c r="R1498" s="8" t="s">
        <v>3946</v>
      </c>
    </row>
    <row r="1499">
      <c r="A1499" s="4" t="s">
        <v>18</v>
      </c>
      <c r="B1499" s="2" t="s">
        <v>5020</v>
      </c>
      <c r="C1499" s="5">
        <v>45988.0</v>
      </c>
      <c r="D1499" s="5">
        <v>45988.0</v>
      </c>
      <c r="E1499" s="4" t="s">
        <v>5021</v>
      </c>
      <c r="F1499" s="9"/>
      <c r="G1499" s="6"/>
      <c r="H1499" s="7">
        <v>992.0</v>
      </c>
      <c r="I1499" s="7" t="s">
        <v>5022</v>
      </c>
      <c r="K1499" s="12" t="str">
        <f t="shared" ref="K1499:K1513" si="195">RIGHT(E1499,6)</f>
        <v>UN3668</v>
      </c>
      <c r="L1499" s="2" t="s">
        <v>5023</v>
      </c>
      <c r="M1499" s="2" t="s">
        <v>24</v>
      </c>
      <c r="N1499" s="2" t="s">
        <v>60</v>
      </c>
      <c r="O1499" s="2">
        <v>1.10751038E8</v>
      </c>
      <c r="P1499" s="15"/>
      <c r="Q1499" s="8">
        <v>2025.0</v>
      </c>
      <c r="R1499" s="8" t="s">
        <v>3946</v>
      </c>
    </row>
    <row r="1500">
      <c r="A1500" s="4" t="s">
        <v>18</v>
      </c>
      <c r="B1500" s="2" t="s">
        <v>5024</v>
      </c>
      <c r="C1500" s="5">
        <v>45988.0</v>
      </c>
      <c r="D1500" s="5">
        <v>45988.0</v>
      </c>
      <c r="E1500" s="4" t="s">
        <v>5025</v>
      </c>
      <c r="F1500" s="9"/>
      <c r="G1500" s="11">
        <v>17220.0</v>
      </c>
      <c r="H1500" s="6"/>
      <c r="I1500" s="7" t="s">
        <v>5026</v>
      </c>
      <c r="K1500" s="12" t="str">
        <f t="shared" si="195"/>
        <v>SL1610</v>
      </c>
      <c r="M1500" s="2" t="s">
        <v>114</v>
      </c>
      <c r="N1500" s="2" t="s">
        <v>3715</v>
      </c>
      <c r="O1500" s="2">
        <v>1.10751038E8</v>
      </c>
      <c r="Q1500" s="8">
        <v>2025.0</v>
      </c>
      <c r="R1500" s="8" t="s">
        <v>3946</v>
      </c>
    </row>
    <row r="1501">
      <c r="A1501" s="4" t="s">
        <v>18</v>
      </c>
      <c r="B1501" s="2" t="s">
        <v>5027</v>
      </c>
      <c r="C1501" s="5">
        <v>45988.0</v>
      </c>
      <c r="D1501" s="5">
        <v>45988.0</v>
      </c>
      <c r="E1501" s="4" t="s">
        <v>5028</v>
      </c>
      <c r="F1501" s="9"/>
      <c r="G1501" s="11">
        <v>10455.0</v>
      </c>
      <c r="H1501" s="6"/>
      <c r="I1501" s="7" t="s">
        <v>5029</v>
      </c>
      <c r="K1501" s="12" t="str">
        <f t="shared" si="195"/>
        <v>SL1610</v>
      </c>
      <c r="M1501" s="2" t="s">
        <v>114</v>
      </c>
      <c r="N1501" s="2" t="s">
        <v>478</v>
      </c>
      <c r="O1501" s="2">
        <v>1.10751038E8</v>
      </c>
      <c r="Q1501" s="8">
        <v>2025.0</v>
      </c>
      <c r="R1501" s="8" t="s">
        <v>3946</v>
      </c>
    </row>
    <row r="1502">
      <c r="A1502" s="4" t="s">
        <v>18</v>
      </c>
      <c r="B1502" s="2" t="s">
        <v>5030</v>
      </c>
      <c r="C1502" s="5">
        <v>45988.0</v>
      </c>
      <c r="D1502" s="5">
        <v>45988.0</v>
      </c>
      <c r="E1502" s="4" t="s">
        <v>5031</v>
      </c>
      <c r="F1502" s="9"/>
      <c r="G1502" s="6"/>
      <c r="H1502" s="11">
        <v>1188.0</v>
      </c>
      <c r="I1502" s="7" t="s">
        <v>5032</v>
      </c>
      <c r="K1502" s="12" t="str">
        <f t="shared" si="195"/>
        <v>UN3668</v>
      </c>
      <c r="L1502" s="2" t="s">
        <v>5033</v>
      </c>
      <c r="M1502" s="2" t="s">
        <v>24</v>
      </c>
      <c r="N1502" s="2" t="s">
        <v>60</v>
      </c>
      <c r="O1502" s="2">
        <v>1.10751038E8</v>
      </c>
      <c r="P1502" s="15"/>
      <c r="Q1502" s="8">
        <v>2025.0</v>
      </c>
      <c r="R1502" s="8" t="s">
        <v>3946</v>
      </c>
    </row>
    <row r="1503">
      <c r="A1503" s="4" t="s">
        <v>18</v>
      </c>
      <c r="B1503" s="2" t="s">
        <v>5034</v>
      </c>
      <c r="C1503" s="5">
        <v>45988.0</v>
      </c>
      <c r="D1503" s="5">
        <v>45988.0</v>
      </c>
      <c r="E1503" s="4" t="s">
        <v>5035</v>
      </c>
      <c r="F1503" s="9"/>
      <c r="G1503" s="6"/>
      <c r="H1503" s="11">
        <v>1530.0</v>
      </c>
      <c r="I1503" s="7" t="s">
        <v>5036</v>
      </c>
      <c r="K1503" s="12" t="str">
        <f t="shared" si="195"/>
        <v>KN3817</v>
      </c>
      <c r="L1503" s="2" t="s">
        <v>5037</v>
      </c>
      <c r="M1503" s="2" t="s">
        <v>24</v>
      </c>
      <c r="N1503" s="2" t="s">
        <v>60</v>
      </c>
      <c r="O1503" s="2">
        <v>1.10751038E8</v>
      </c>
      <c r="P1503" s="15"/>
      <c r="Q1503" s="8">
        <v>2025.0</v>
      </c>
      <c r="R1503" s="8" t="s">
        <v>3946</v>
      </c>
    </row>
    <row r="1504">
      <c r="A1504" s="4" t="s">
        <v>18</v>
      </c>
      <c r="B1504" s="2" t="s">
        <v>5038</v>
      </c>
      <c r="C1504" s="5">
        <v>45988.0</v>
      </c>
      <c r="D1504" s="5">
        <v>45988.0</v>
      </c>
      <c r="E1504" s="4" t="s">
        <v>5039</v>
      </c>
      <c r="F1504" s="9"/>
      <c r="G1504" s="6"/>
      <c r="H1504" s="11">
        <v>5000.0</v>
      </c>
      <c r="I1504" s="7" t="s">
        <v>5040</v>
      </c>
      <c r="K1504" s="12" t="str">
        <f t="shared" si="195"/>
        <v>SL1610</v>
      </c>
      <c r="L1504" s="2" t="s">
        <v>5041</v>
      </c>
      <c r="M1504" s="2" t="s">
        <v>24</v>
      </c>
      <c r="N1504" s="2" t="s">
        <v>60</v>
      </c>
      <c r="O1504" s="2">
        <v>1.10751038E8</v>
      </c>
      <c r="P1504" s="15"/>
      <c r="Q1504" s="8">
        <v>2025.0</v>
      </c>
      <c r="R1504" s="8" t="s">
        <v>3946</v>
      </c>
    </row>
    <row r="1505">
      <c r="A1505" s="4" t="s">
        <v>18</v>
      </c>
      <c r="B1505" s="2" t="s">
        <v>5042</v>
      </c>
      <c r="C1505" s="5">
        <v>45988.0</v>
      </c>
      <c r="D1505" s="5">
        <v>45988.0</v>
      </c>
      <c r="E1505" s="4" t="s">
        <v>5043</v>
      </c>
      <c r="F1505" s="9"/>
      <c r="G1505" s="6"/>
      <c r="H1505" s="7">
        <v>413.0</v>
      </c>
      <c r="I1505" s="7" t="s">
        <v>5044</v>
      </c>
      <c r="K1505" s="12" t="str">
        <f t="shared" si="195"/>
        <v>UN3668</v>
      </c>
      <c r="L1505" s="2" t="s">
        <v>5045</v>
      </c>
      <c r="M1505" s="2" t="s">
        <v>24</v>
      </c>
      <c r="N1505" s="2" t="s">
        <v>60</v>
      </c>
      <c r="O1505" s="2">
        <v>1.10751038E8</v>
      </c>
      <c r="P1505" s="15"/>
      <c r="Q1505" s="8">
        <v>2025.0</v>
      </c>
      <c r="R1505" s="8" t="s">
        <v>3946</v>
      </c>
    </row>
    <row r="1506">
      <c r="A1506" s="4" t="s">
        <v>18</v>
      </c>
      <c r="B1506" s="2" t="s">
        <v>5046</v>
      </c>
      <c r="C1506" s="5">
        <v>45988.0</v>
      </c>
      <c r="D1506" s="5">
        <v>45988.0</v>
      </c>
      <c r="E1506" s="4" t="s">
        <v>5047</v>
      </c>
      <c r="F1506" s="9"/>
      <c r="G1506" s="6"/>
      <c r="H1506" s="7">
        <v>218.0</v>
      </c>
      <c r="I1506" s="7" t="s">
        <v>5048</v>
      </c>
      <c r="K1506" s="12" t="str">
        <f t="shared" si="195"/>
        <v>SC3567</v>
      </c>
      <c r="L1506" s="2" t="s">
        <v>5049</v>
      </c>
      <c r="M1506" s="2" t="s">
        <v>24</v>
      </c>
      <c r="N1506" s="2" t="s">
        <v>60</v>
      </c>
      <c r="O1506" s="2">
        <v>1.10751038E8</v>
      </c>
      <c r="P1506" s="15"/>
      <c r="Q1506" s="8">
        <v>2025.0</v>
      </c>
      <c r="R1506" s="8" t="s">
        <v>3946</v>
      </c>
    </row>
    <row r="1507">
      <c r="A1507" s="4" t="s">
        <v>18</v>
      </c>
      <c r="B1507" s="2" t="s">
        <v>5050</v>
      </c>
      <c r="C1507" s="5">
        <v>45988.0</v>
      </c>
      <c r="D1507" s="5">
        <v>45988.0</v>
      </c>
      <c r="E1507" s="4" t="s">
        <v>5051</v>
      </c>
      <c r="F1507" s="9"/>
      <c r="G1507" s="6"/>
      <c r="H1507" s="7">
        <v>500.0</v>
      </c>
      <c r="I1507" s="7" t="s">
        <v>5052</v>
      </c>
      <c r="K1507" s="12" t="str">
        <f t="shared" si="195"/>
        <v>KN3817</v>
      </c>
      <c r="L1507" s="2" t="s">
        <v>5053</v>
      </c>
      <c r="M1507" s="2" t="s">
        <v>24</v>
      </c>
      <c r="N1507" s="2" t="s">
        <v>60</v>
      </c>
      <c r="O1507" s="2">
        <v>1.10751038E8</v>
      </c>
      <c r="P1507" s="15"/>
      <c r="Q1507" s="8">
        <v>2025.0</v>
      </c>
      <c r="R1507" s="8" t="s">
        <v>3946</v>
      </c>
    </row>
    <row r="1508">
      <c r="A1508" s="4" t="s">
        <v>18</v>
      </c>
      <c r="B1508" s="2" t="s">
        <v>5054</v>
      </c>
      <c r="C1508" s="5">
        <v>45988.0</v>
      </c>
      <c r="D1508" s="5">
        <v>45988.0</v>
      </c>
      <c r="E1508" s="4" t="s">
        <v>5055</v>
      </c>
      <c r="F1508" s="9"/>
      <c r="G1508" s="6"/>
      <c r="H1508" s="7">
        <v>270.0</v>
      </c>
      <c r="I1508" s="7" t="s">
        <v>5056</v>
      </c>
      <c r="K1508" s="12" t="str">
        <f t="shared" si="195"/>
        <v>SC3567</v>
      </c>
      <c r="L1508" s="2" t="s">
        <v>5057</v>
      </c>
      <c r="M1508" s="2" t="s">
        <v>24</v>
      </c>
      <c r="N1508" s="2" t="s">
        <v>60</v>
      </c>
      <c r="O1508" s="2">
        <v>1.10751038E8</v>
      </c>
      <c r="P1508" s="15"/>
      <c r="Q1508" s="8">
        <v>2025.0</v>
      </c>
      <c r="R1508" s="8" t="s">
        <v>3946</v>
      </c>
    </row>
    <row r="1509">
      <c r="A1509" s="4" t="s">
        <v>18</v>
      </c>
      <c r="B1509" s="2" t="s">
        <v>5058</v>
      </c>
      <c r="C1509" s="5">
        <v>45988.0</v>
      </c>
      <c r="D1509" s="5">
        <v>45988.0</v>
      </c>
      <c r="E1509" s="4" t="s">
        <v>5059</v>
      </c>
      <c r="F1509" s="9"/>
      <c r="G1509" s="11">
        <v>10000.0</v>
      </c>
      <c r="H1509" s="6"/>
      <c r="I1509" s="7" t="s">
        <v>5060</v>
      </c>
      <c r="K1509" s="12" t="str">
        <f t="shared" si="195"/>
        <v>TSV001</v>
      </c>
      <c r="M1509" s="2" t="s">
        <v>114</v>
      </c>
      <c r="N1509" s="2" t="s">
        <v>169</v>
      </c>
      <c r="O1509" s="2">
        <v>1.10751038E8</v>
      </c>
      <c r="Q1509" s="8">
        <v>2025.0</v>
      </c>
      <c r="R1509" s="8" t="s">
        <v>3946</v>
      </c>
    </row>
    <row r="1510">
      <c r="A1510" s="4" t="s">
        <v>18</v>
      </c>
      <c r="B1510" s="2" t="s">
        <v>5061</v>
      </c>
      <c r="C1510" s="5">
        <v>45988.0</v>
      </c>
      <c r="D1510" s="5">
        <v>45988.0</v>
      </c>
      <c r="E1510" s="4" t="s">
        <v>5062</v>
      </c>
      <c r="F1510" s="9"/>
      <c r="G1510" s="6"/>
      <c r="H1510" s="7">
        <v>664.0</v>
      </c>
      <c r="I1510" s="7" t="s">
        <v>5063</v>
      </c>
      <c r="K1510" s="12" t="str">
        <f t="shared" si="195"/>
        <v>SL1610</v>
      </c>
      <c r="L1510" s="2" t="s">
        <v>5064</v>
      </c>
      <c r="M1510" s="2" t="s">
        <v>24</v>
      </c>
      <c r="N1510" s="2" t="s">
        <v>60</v>
      </c>
      <c r="O1510" s="2">
        <v>1.10751038E8</v>
      </c>
      <c r="P1510" s="15"/>
      <c r="Q1510" s="8">
        <v>2025.0</v>
      </c>
      <c r="R1510" s="8" t="s">
        <v>3946</v>
      </c>
    </row>
    <row r="1511">
      <c r="A1511" s="4" t="s">
        <v>18</v>
      </c>
      <c r="B1511" s="2" t="s">
        <v>5065</v>
      </c>
      <c r="C1511" s="5">
        <v>45988.0</v>
      </c>
      <c r="D1511" s="5">
        <v>45988.0</v>
      </c>
      <c r="E1511" s="4" t="s">
        <v>5066</v>
      </c>
      <c r="F1511" s="9"/>
      <c r="G1511" s="6"/>
      <c r="H1511" s="11">
        <v>1472.0</v>
      </c>
      <c r="I1511" s="7" t="s">
        <v>5067</v>
      </c>
      <c r="K1511" s="12" t="str">
        <f t="shared" si="195"/>
        <v>UN3668</v>
      </c>
      <c r="L1511" s="2" t="s">
        <v>5068</v>
      </c>
      <c r="M1511" s="2" t="s">
        <v>24</v>
      </c>
      <c r="N1511" s="2" t="s">
        <v>60</v>
      </c>
      <c r="O1511" s="2">
        <v>1.10751038E8</v>
      </c>
      <c r="P1511" s="15"/>
      <c r="Q1511" s="8">
        <v>2025.0</v>
      </c>
      <c r="R1511" s="8" t="s">
        <v>3946</v>
      </c>
    </row>
    <row r="1512">
      <c r="A1512" s="4" t="s">
        <v>18</v>
      </c>
      <c r="B1512" s="2" t="s">
        <v>5069</v>
      </c>
      <c r="C1512" s="5">
        <v>45989.0</v>
      </c>
      <c r="D1512" s="5">
        <v>45989.0</v>
      </c>
      <c r="E1512" s="4" t="s">
        <v>5070</v>
      </c>
      <c r="F1512" s="9"/>
      <c r="G1512" s="6"/>
      <c r="H1512" s="11">
        <v>3215.0</v>
      </c>
      <c r="I1512" s="7" t="s">
        <v>5071</v>
      </c>
      <c r="K1512" s="12" t="str">
        <f t="shared" si="195"/>
        <v>SL1610</v>
      </c>
      <c r="L1512" s="2" t="s">
        <v>5072</v>
      </c>
      <c r="M1512" s="2" t="s">
        <v>24</v>
      </c>
      <c r="N1512" s="2" t="s">
        <v>60</v>
      </c>
      <c r="O1512" s="2">
        <v>1.10751038E8</v>
      </c>
      <c r="P1512" s="15"/>
      <c r="Q1512" s="8">
        <v>2025.0</v>
      </c>
      <c r="R1512" s="8" t="s">
        <v>3946</v>
      </c>
    </row>
    <row r="1513">
      <c r="A1513" s="4" t="s">
        <v>18</v>
      </c>
      <c r="B1513" s="2" t="s">
        <v>5073</v>
      </c>
      <c r="C1513" s="5">
        <v>45989.0</v>
      </c>
      <c r="D1513" s="5">
        <v>45989.0</v>
      </c>
      <c r="E1513" s="4" t="s">
        <v>5074</v>
      </c>
      <c r="F1513" s="9"/>
      <c r="G1513" s="6"/>
      <c r="H1513" s="7">
        <v>456.0</v>
      </c>
      <c r="I1513" s="7" t="s">
        <v>5075</v>
      </c>
      <c r="K1513" s="12" t="str">
        <f t="shared" si="195"/>
        <v>SC3567</v>
      </c>
      <c r="L1513" s="2" t="s">
        <v>5076</v>
      </c>
      <c r="M1513" s="2" t="s">
        <v>24</v>
      </c>
      <c r="N1513" s="2" t="s">
        <v>60</v>
      </c>
      <c r="O1513" s="2">
        <v>1.10751038E8</v>
      </c>
      <c r="P1513" s="15"/>
      <c r="Q1513" s="8">
        <v>2025.0</v>
      </c>
      <c r="R1513" s="8" t="s">
        <v>3946</v>
      </c>
    </row>
    <row r="1514">
      <c r="A1514" s="4" t="s">
        <v>18</v>
      </c>
      <c r="B1514" s="2" t="s">
        <v>5077</v>
      </c>
      <c r="C1514" s="5">
        <v>45989.0</v>
      </c>
      <c r="D1514" s="5">
        <v>45989.0</v>
      </c>
      <c r="E1514" s="4" t="s">
        <v>5078</v>
      </c>
      <c r="F1514" s="9"/>
      <c r="G1514" s="7">
        <v>850.0</v>
      </c>
      <c r="H1514" s="6"/>
      <c r="I1514" s="7" t="s">
        <v>5079</v>
      </c>
      <c r="K1514" s="2" t="s">
        <v>123</v>
      </c>
      <c r="M1514" s="2" t="s">
        <v>114</v>
      </c>
      <c r="N1514" s="2" t="s">
        <v>478</v>
      </c>
      <c r="O1514" s="2">
        <v>1.10751038E8</v>
      </c>
      <c r="Q1514" s="8">
        <v>2025.0</v>
      </c>
      <c r="R1514" s="8" t="s">
        <v>3946</v>
      </c>
    </row>
    <row r="1515">
      <c r="A1515" s="4" t="s">
        <v>18</v>
      </c>
      <c r="B1515" s="2" t="s">
        <v>5080</v>
      </c>
      <c r="C1515" s="5">
        <v>45989.0</v>
      </c>
      <c r="D1515" s="5">
        <v>45989.0</v>
      </c>
      <c r="E1515" s="4" t="s">
        <v>5081</v>
      </c>
      <c r="F1515" s="9"/>
      <c r="G1515" s="6"/>
      <c r="H1515" s="7">
        <v>350.0</v>
      </c>
      <c r="I1515" s="7" t="s">
        <v>5082</v>
      </c>
      <c r="K1515" s="12" t="str">
        <f t="shared" ref="K1515:K1519" si="196">RIGHT(E1515,6)</f>
        <v>KN3817</v>
      </c>
      <c r="L1515" s="2" t="s">
        <v>2609</v>
      </c>
      <c r="M1515" s="2" t="s">
        <v>24</v>
      </c>
      <c r="N1515" s="2" t="s">
        <v>60</v>
      </c>
      <c r="O1515" s="2">
        <v>1.10751038E8</v>
      </c>
      <c r="P1515" s="15"/>
      <c r="Q1515" s="8">
        <v>2025.0</v>
      </c>
      <c r="R1515" s="8" t="s">
        <v>3946</v>
      </c>
    </row>
    <row r="1516">
      <c r="A1516" s="4" t="s">
        <v>18</v>
      </c>
      <c r="B1516" s="2" t="s">
        <v>5083</v>
      </c>
      <c r="C1516" s="5">
        <v>45989.0</v>
      </c>
      <c r="D1516" s="5">
        <v>45989.0</v>
      </c>
      <c r="E1516" s="4" t="s">
        <v>5084</v>
      </c>
      <c r="F1516" s="9"/>
      <c r="G1516" s="6"/>
      <c r="H1516" s="7">
        <v>664.0</v>
      </c>
      <c r="I1516" s="7" t="s">
        <v>5085</v>
      </c>
      <c r="K1516" s="12" t="str">
        <f t="shared" si="196"/>
        <v>UN3668</v>
      </c>
      <c r="L1516" s="2" t="s">
        <v>5086</v>
      </c>
      <c r="M1516" s="2" t="s">
        <v>24</v>
      </c>
      <c r="N1516" s="2" t="s">
        <v>60</v>
      </c>
      <c r="O1516" s="2">
        <v>1.10751038E8</v>
      </c>
      <c r="P1516" s="15"/>
      <c r="Q1516" s="8">
        <v>2025.0</v>
      </c>
      <c r="R1516" s="8" t="s">
        <v>3946</v>
      </c>
    </row>
    <row r="1517">
      <c r="A1517" s="4" t="s">
        <v>18</v>
      </c>
      <c r="B1517" s="2" t="s">
        <v>5087</v>
      </c>
      <c r="C1517" s="5">
        <v>45989.0</v>
      </c>
      <c r="D1517" s="5">
        <v>45989.0</v>
      </c>
      <c r="E1517" s="4" t="s">
        <v>5088</v>
      </c>
      <c r="F1517" s="9"/>
      <c r="G1517" s="6"/>
      <c r="H1517" s="7">
        <v>588.0</v>
      </c>
      <c r="I1517" s="7" t="s">
        <v>5089</v>
      </c>
      <c r="K1517" s="12" t="str">
        <f t="shared" si="196"/>
        <v>SC3567</v>
      </c>
      <c r="L1517" s="2" t="s">
        <v>5090</v>
      </c>
      <c r="M1517" s="2" t="s">
        <v>24</v>
      </c>
      <c r="N1517" s="2" t="s">
        <v>60</v>
      </c>
      <c r="O1517" s="2">
        <v>1.10751038E8</v>
      </c>
      <c r="P1517" s="15"/>
      <c r="Q1517" s="8">
        <v>2025.0</v>
      </c>
      <c r="R1517" s="8" t="s">
        <v>3946</v>
      </c>
    </row>
    <row r="1518">
      <c r="A1518" s="4" t="s">
        <v>18</v>
      </c>
      <c r="B1518" s="2" t="s">
        <v>5091</v>
      </c>
      <c r="C1518" s="5">
        <v>45989.0</v>
      </c>
      <c r="D1518" s="5">
        <v>45989.0</v>
      </c>
      <c r="E1518" s="4" t="s">
        <v>5092</v>
      </c>
      <c r="F1518" s="9"/>
      <c r="G1518" s="6"/>
      <c r="H1518" s="11">
        <v>1160.0</v>
      </c>
      <c r="I1518" s="7" t="s">
        <v>5093</v>
      </c>
      <c r="K1518" s="12" t="str">
        <f t="shared" si="196"/>
        <v>KN3817</v>
      </c>
      <c r="L1518" s="2" t="s">
        <v>5094</v>
      </c>
      <c r="M1518" s="2" t="s">
        <v>24</v>
      </c>
      <c r="N1518" s="2" t="s">
        <v>60</v>
      </c>
      <c r="O1518" s="2">
        <v>1.10751038E8</v>
      </c>
      <c r="P1518" s="15"/>
      <c r="Q1518" s="8">
        <v>2025.0</v>
      </c>
      <c r="R1518" s="8" t="s">
        <v>3946</v>
      </c>
    </row>
    <row r="1519">
      <c r="A1519" s="4" t="s">
        <v>18</v>
      </c>
      <c r="B1519" s="2" t="s">
        <v>5095</v>
      </c>
      <c r="C1519" s="5">
        <v>45989.0</v>
      </c>
      <c r="D1519" s="5">
        <v>45989.0</v>
      </c>
      <c r="E1519" s="4" t="s">
        <v>5096</v>
      </c>
      <c r="F1519" s="9"/>
      <c r="G1519" s="6"/>
      <c r="H1519" s="7">
        <v>263.0</v>
      </c>
      <c r="I1519" s="7" t="s">
        <v>5097</v>
      </c>
      <c r="K1519" s="12" t="str">
        <f t="shared" si="196"/>
        <v>SL1610</v>
      </c>
      <c r="L1519" s="2" t="s">
        <v>5098</v>
      </c>
      <c r="M1519" s="2" t="s">
        <v>24</v>
      </c>
      <c r="N1519" s="2" t="s">
        <v>60</v>
      </c>
      <c r="O1519" s="2">
        <v>1.10751038E8</v>
      </c>
      <c r="P1519" s="15"/>
      <c r="Q1519" s="8">
        <v>2025.0</v>
      </c>
      <c r="R1519" s="8" t="s">
        <v>3946</v>
      </c>
    </row>
    <row r="1520">
      <c r="A1520" s="4" t="s">
        <v>18</v>
      </c>
      <c r="B1520" s="2" t="s">
        <v>5099</v>
      </c>
      <c r="C1520" s="5">
        <v>45989.0</v>
      </c>
      <c r="D1520" s="5">
        <v>45989.0</v>
      </c>
      <c r="E1520" s="4" t="s">
        <v>5100</v>
      </c>
      <c r="F1520" s="9"/>
      <c r="G1520" s="11">
        <v>3000.0</v>
      </c>
      <c r="H1520" s="6"/>
      <c r="I1520" s="7" t="s">
        <v>5101</v>
      </c>
      <c r="K1520" s="2" t="s">
        <v>23</v>
      </c>
      <c r="M1520" s="2" t="s">
        <v>114</v>
      </c>
      <c r="N1520" s="2" t="s">
        <v>1835</v>
      </c>
      <c r="O1520" s="2">
        <v>1.10751038E8</v>
      </c>
      <c r="Q1520" s="8">
        <v>2025.0</v>
      </c>
      <c r="R1520" s="8" t="s">
        <v>3946</v>
      </c>
    </row>
    <row r="1521">
      <c r="A1521" s="4" t="s">
        <v>18</v>
      </c>
      <c r="B1521" s="2" t="s">
        <v>5102</v>
      </c>
      <c r="C1521" s="5">
        <v>45989.0</v>
      </c>
      <c r="D1521" s="5">
        <v>45989.0</v>
      </c>
      <c r="E1521" s="4" t="s">
        <v>5103</v>
      </c>
      <c r="F1521" s="9"/>
      <c r="G1521" s="6"/>
      <c r="H1521" s="7">
        <v>378.0</v>
      </c>
      <c r="I1521" s="7" t="s">
        <v>5104</v>
      </c>
      <c r="K1521" s="12" t="str">
        <f t="shared" ref="K1521:K1522" si="197">RIGHT(E1521,6)</f>
        <v>KN3817</v>
      </c>
      <c r="L1521" s="2" t="s">
        <v>2589</v>
      </c>
      <c r="M1521" s="2" t="s">
        <v>24</v>
      </c>
      <c r="N1521" s="2" t="s">
        <v>60</v>
      </c>
      <c r="O1521" s="2">
        <v>1.10751038E8</v>
      </c>
      <c r="P1521" s="15"/>
      <c r="Q1521" s="8">
        <v>2025.0</v>
      </c>
      <c r="R1521" s="8" t="s">
        <v>3946</v>
      </c>
    </row>
    <row r="1522">
      <c r="A1522" s="4" t="s">
        <v>18</v>
      </c>
      <c r="B1522" s="2" t="s">
        <v>5105</v>
      </c>
      <c r="C1522" s="5">
        <v>45989.0</v>
      </c>
      <c r="D1522" s="5">
        <v>45989.0</v>
      </c>
      <c r="E1522" s="4" t="s">
        <v>5106</v>
      </c>
      <c r="F1522" s="9"/>
      <c r="G1522" s="6"/>
      <c r="H1522" s="7">
        <v>280.0</v>
      </c>
      <c r="I1522" s="7" t="s">
        <v>5107</v>
      </c>
      <c r="K1522" s="12" t="str">
        <f t="shared" si="197"/>
        <v>UN3668</v>
      </c>
      <c r="L1522" s="2" t="s">
        <v>5108</v>
      </c>
      <c r="M1522" s="2" t="s">
        <v>24</v>
      </c>
      <c r="N1522" s="2" t="s">
        <v>60</v>
      </c>
      <c r="O1522" s="2">
        <v>1.10751038E8</v>
      </c>
      <c r="P1522" s="15"/>
      <c r="Q1522" s="8">
        <v>2025.0</v>
      </c>
      <c r="R1522" s="8" t="s">
        <v>3946</v>
      </c>
    </row>
    <row r="1523">
      <c r="A1523" s="4" t="s">
        <v>18</v>
      </c>
      <c r="B1523" s="2" t="s">
        <v>5109</v>
      </c>
      <c r="C1523" s="5">
        <v>45989.0</v>
      </c>
      <c r="D1523" s="5">
        <v>45989.0</v>
      </c>
      <c r="E1523" s="4" t="s">
        <v>5110</v>
      </c>
      <c r="F1523" s="9"/>
      <c r="G1523" s="7">
        <v>200.0</v>
      </c>
      <c r="H1523" s="6"/>
      <c r="I1523" s="7" t="s">
        <v>5111</v>
      </c>
      <c r="K1523" s="2" t="s">
        <v>123</v>
      </c>
      <c r="M1523" s="2" t="s">
        <v>114</v>
      </c>
      <c r="N1523" s="2" t="s">
        <v>1835</v>
      </c>
      <c r="O1523" s="2">
        <v>1.10751038E8</v>
      </c>
      <c r="Q1523" s="8">
        <v>2025.0</v>
      </c>
      <c r="R1523" s="8" t="s">
        <v>3946</v>
      </c>
    </row>
    <row r="1524">
      <c r="A1524" s="4" t="s">
        <v>18</v>
      </c>
      <c r="B1524" s="2" t="s">
        <v>5112</v>
      </c>
      <c r="C1524" s="5">
        <v>45989.0</v>
      </c>
      <c r="D1524" s="5">
        <v>45989.0</v>
      </c>
      <c r="E1524" s="4" t="s">
        <v>5113</v>
      </c>
      <c r="F1524" s="9"/>
      <c r="G1524" s="6"/>
      <c r="H1524" s="7">
        <v>932.0</v>
      </c>
      <c r="I1524" s="7" t="s">
        <v>5114</v>
      </c>
      <c r="K1524" s="12" t="str">
        <f t="shared" ref="K1524:K1529" si="198">RIGHT(E1524,6)</f>
        <v>UN3668</v>
      </c>
      <c r="L1524" s="2" t="s">
        <v>5115</v>
      </c>
      <c r="M1524" s="2" t="s">
        <v>24</v>
      </c>
      <c r="N1524" s="2" t="s">
        <v>60</v>
      </c>
      <c r="O1524" s="2">
        <v>1.10751038E8</v>
      </c>
      <c r="P1524" s="15"/>
      <c r="Q1524" s="8">
        <v>2025.0</v>
      </c>
      <c r="R1524" s="8" t="s">
        <v>3946</v>
      </c>
    </row>
    <row r="1525">
      <c r="A1525" s="4" t="s">
        <v>18</v>
      </c>
      <c r="B1525" s="2" t="s">
        <v>5116</v>
      </c>
      <c r="C1525" s="5">
        <v>45989.0</v>
      </c>
      <c r="D1525" s="5">
        <v>45989.0</v>
      </c>
      <c r="E1525" s="4" t="s">
        <v>5117</v>
      </c>
      <c r="F1525" s="9"/>
      <c r="G1525" s="6"/>
      <c r="H1525" s="7">
        <v>344.0</v>
      </c>
      <c r="I1525" s="7" t="s">
        <v>5118</v>
      </c>
      <c r="K1525" s="12" t="str">
        <f t="shared" si="198"/>
        <v>UN3668</v>
      </c>
      <c r="L1525" s="2" t="s">
        <v>5119</v>
      </c>
      <c r="M1525" s="2" t="s">
        <v>24</v>
      </c>
      <c r="N1525" s="2" t="s">
        <v>60</v>
      </c>
      <c r="O1525" s="2">
        <v>1.10751038E8</v>
      </c>
      <c r="P1525" s="15"/>
      <c r="Q1525" s="8">
        <v>2025.0</v>
      </c>
      <c r="R1525" s="8" t="s">
        <v>3946</v>
      </c>
    </row>
    <row r="1526">
      <c r="A1526" s="4" t="s">
        <v>18</v>
      </c>
      <c r="B1526" s="2" t="s">
        <v>5120</v>
      </c>
      <c r="C1526" s="5">
        <v>45989.0</v>
      </c>
      <c r="D1526" s="5">
        <v>45989.0</v>
      </c>
      <c r="E1526" s="4" t="s">
        <v>5121</v>
      </c>
      <c r="F1526" s="9"/>
      <c r="G1526" s="6"/>
      <c r="H1526" s="7">
        <v>548.0</v>
      </c>
      <c r="I1526" s="7" t="s">
        <v>5122</v>
      </c>
      <c r="K1526" s="12" t="str">
        <f t="shared" si="198"/>
        <v>UN3668</v>
      </c>
      <c r="L1526" s="2" t="s">
        <v>5123</v>
      </c>
      <c r="M1526" s="2" t="s">
        <v>24</v>
      </c>
      <c r="N1526" s="2" t="s">
        <v>60</v>
      </c>
      <c r="O1526" s="2">
        <v>1.10751038E8</v>
      </c>
      <c r="P1526" s="15"/>
      <c r="Q1526" s="8">
        <v>2025.0</v>
      </c>
      <c r="R1526" s="8" t="s">
        <v>3946</v>
      </c>
    </row>
    <row r="1527">
      <c r="A1527" s="4" t="s">
        <v>18</v>
      </c>
      <c r="B1527" s="2" t="s">
        <v>5124</v>
      </c>
      <c r="C1527" s="5">
        <v>45989.0</v>
      </c>
      <c r="D1527" s="5">
        <v>45989.0</v>
      </c>
      <c r="E1527" s="4" t="s">
        <v>5125</v>
      </c>
      <c r="F1527" s="9"/>
      <c r="G1527" s="6"/>
      <c r="H1527" s="7">
        <v>300.0</v>
      </c>
      <c r="I1527" s="7" t="s">
        <v>5126</v>
      </c>
      <c r="K1527" s="12" t="str">
        <f t="shared" si="198"/>
        <v>UN3668</v>
      </c>
      <c r="M1527" s="2" t="s">
        <v>24</v>
      </c>
      <c r="N1527" s="2" t="s">
        <v>60</v>
      </c>
      <c r="O1527" s="2">
        <v>1.10751038E8</v>
      </c>
      <c r="P1527" s="15" t="str">
        <f>IFERROR(__xludf.DUMMYFUNCTION("CONCATENATE(B1527,"", "", to_text(D1527),"", "", E1527,"", "", H1527)"),"TSV-11-0383, 28-Nov-2025, UPI/CR/533262939629/RENU SHA/HDFC/9818558/UN3668, 300")</f>
        <v>TSV-11-0383, 28-Nov-2025, UPI/CR/533262939629/RENU SHA/HDFC/9818558/UN3668, 300</v>
      </c>
      <c r="Q1527" s="8">
        <v>2025.0</v>
      </c>
      <c r="R1527" s="8" t="s">
        <v>3946</v>
      </c>
    </row>
    <row r="1528">
      <c r="A1528" s="4" t="s">
        <v>18</v>
      </c>
      <c r="B1528" s="2" t="s">
        <v>5127</v>
      </c>
      <c r="C1528" s="5">
        <v>45989.0</v>
      </c>
      <c r="D1528" s="5">
        <v>45989.0</v>
      </c>
      <c r="E1528" s="4" t="s">
        <v>5128</v>
      </c>
      <c r="F1528" s="9"/>
      <c r="G1528" s="6"/>
      <c r="H1528" s="7">
        <v>560.0</v>
      </c>
      <c r="I1528" s="7" t="s">
        <v>5129</v>
      </c>
      <c r="K1528" s="12" t="str">
        <f t="shared" si="198"/>
        <v>UN3668</v>
      </c>
      <c r="L1528" s="2" t="s">
        <v>5130</v>
      </c>
      <c r="M1528" s="2" t="s">
        <v>24</v>
      </c>
      <c r="N1528" s="2" t="s">
        <v>60</v>
      </c>
      <c r="O1528" s="2">
        <v>1.10751038E8</v>
      </c>
      <c r="P1528" s="15"/>
      <c r="Q1528" s="8">
        <v>2025.0</v>
      </c>
      <c r="R1528" s="8" t="s">
        <v>3946</v>
      </c>
    </row>
    <row r="1529">
      <c r="A1529" s="4" t="s">
        <v>18</v>
      </c>
      <c r="B1529" s="2" t="s">
        <v>5131</v>
      </c>
      <c r="C1529" s="5">
        <v>45990.0</v>
      </c>
      <c r="D1529" s="5">
        <v>45990.0</v>
      </c>
      <c r="E1529" s="4" t="s">
        <v>5132</v>
      </c>
      <c r="F1529" s="9"/>
      <c r="G1529" s="6"/>
      <c r="H1529" s="7">
        <v>299.0</v>
      </c>
      <c r="I1529" s="7" t="s">
        <v>5133</v>
      </c>
      <c r="K1529" s="12" t="str">
        <f t="shared" si="198"/>
        <v>SL1610</v>
      </c>
      <c r="L1529" s="2" t="s">
        <v>5134</v>
      </c>
      <c r="M1529" s="2" t="s">
        <v>24</v>
      </c>
      <c r="N1529" s="2" t="s">
        <v>60</v>
      </c>
      <c r="O1529" s="2">
        <v>1.10751038E8</v>
      </c>
      <c r="P1529" s="15"/>
      <c r="Q1529" s="8">
        <v>2025.0</v>
      </c>
      <c r="R1529" s="8" t="s">
        <v>3946</v>
      </c>
    </row>
    <row r="1530">
      <c r="A1530" s="4" t="s">
        <v>18</v>
      </c>
      <c r="B1530" s="2" t="s">
        <v>5135</v>
      </c>
      <c r="C1530" s="5">
        <v>45990.0</v>
      </c>
      <c r="D1530" s="5">
        <v>45990.0</v>
      </c>
      <c r="E1530" s="4" t="s">
        <v>5136</v>
      </c>
      <c r="F1530" s="9"/>
      <c r="G1530" s="6"/>
      <c r="H1530" s="11">
        <v>7000.0</v>
      </c>
      <c r="I1530" s="7" t="s">
        <v>5137</v>
      </c>
      <c r="K1530" s="2" t="s">
        <v>539</v>
      </c>
      <c r="M1530" s="2" t="s">
        <v>24</v>
      </c>
      <c r="N1530" s="2" t="s">
        <v>60</v>
      </c>
      <c r="O1530" s="2">
        <v>1.10751038E8</v>
      </c>
      <c r="P1530" s="15" t="str">
        <f>IFERROR(__xludf.DUMMYFUNCTION("CONCATENATE(B1530,"", "", to_text(D1530),"", "", E1530,"", "", H1530)"),"TSV-11-0386, 29-Nov-2025, UPI/CR/533367645245/NEENA AG/HDFC/9911517/Sent us, 7000")</f>
        <v>TSV-11-0386, 29-Nov-2025, UPI/CR/533367645245/NEENA AG/HDFC/9911517/Sent us, 7000</v>
      </c>
      <c r="Q1530" s="8">
        <v>2025.0</v>
      </c>
      <c r="R1530" s="8" t="s">
        <v>3946</v>
      </c>
    </row>
    <row r="1531">
      <c r="A1531" s="4" t="s">
        <v>18</v>
      </c>
      <c r="B1531" s="2" t="s">
        <v>5138</v>
      </c>
      <c r="C1531" s="5">
        <v>45990.0</v>
      </c>
      <c r="D1531" s="5">
        <v>45990.0</v>
      </c>
      <c r="E1531" s="4" t="s">
        <v>5139</v>
      </c>
      <c r="F1531" s="9"/>
      <c r="G1531" s="6"/>
      <c r="H1531" s="7">
        <v>752.0</v>
      </c>
      <c r="I1531" s="7" t="s">
        <v>5140</v>
      </c>
      <c r="K1531" s="12" t="str">
        <f t="shared" ref="K1531:K1534" si="199">RIGHT(E1531,6)</f>
        <v>UN3668</v>
      </c>
      <c r="L1531" s="2" t="s">
        <v>5141</v>
      </c>
      <c r="M1531" s="2" t="s">
        <v>24</v>
      </c>
      <c r="N1531" s="2" t="s">
        <v>60</v>
      </c>
      <c r="O1531" s="2">
        <v>1.10751038E8</v>
      </c>
      <c r="P1531" s="15"/>
      <c r="Q1531" s="8">
        <v>2025.0</v>
      </c>
      <c r="R1531" s="8" t="s">
        <v>3946</v>
      </c>
    </row>
    <row r="1532">
      <c r="A1532" s="4" t="s">
        <v>18</v>
      </c>
      <c r="B1532" s="2" t="s">
        <v>5142</v>
      </c>
      <c r="C1532" s="5">
        <v>45990.0</v>
      </c>
      <c r="D1532" s="5">
        <v>45990.0</v>
      </c>
      <c r="E1532" s="4" t="s">
        <v>5143</v>
      </c>
      <c r="F1532" s="9"/>
      <c r="G1532" s="6"/>
      <c r="H1532" s="7">
        <v>356.0</v>
      </c>
      <c r="I1532" s="7" t="s">
        <v>5144</v>
      </c>
      <c r="K1532" s="12" t="str">
        <f t="shared" si="199"/>
        <v>UN3668</v>
      </c>
      <c r="L1532" s="2" t="s">
        <v>5145</v>
      </c>
      <c r="M1532" s="2" t="s">
        <v>24</v>
      </c>
      <c r="N1532" s="2" t="s">
        <v>60</v>
      </c>
      <c r="O1532" s="2">
        <v>1.10751038E8</v>
      </c>
      <c r="P1532" s="15"/>
      <c r="Q1532" s="8">
        <v>2025.0</v>
      </c>
      <c r="R1532" s="8" t="s">
        <v>3946</v>
      </c>
    </row>
    <row r="1533">
      <c r="A1533" s="4" t="s">
        <v>18</v>
      </c>
      <c r="B1533" s="2" t="s">
        <v>5146</v>
      </c>
      <c r="C1533" s="5">
        <v>45990.0</v>
      </c>
      <c r="D1533" s="5">
        <v>45990.0</v>
      </c>
      <c r="E1533" s="4" t="s">
        <v>5147</v>
      </c>
      <c r="F1533" s="9"/>
      <c r="G1533" s="6"/>
      <c r="H1533" s="11">
        <v>1000.0</v>
      </c>
      <c r="I1533" s="7" t="s">
        <v>5148</v>
      </c>
      <c r="K1533" s="12" t="str">
        <f t="shared" si="199"/>
        <v>KN3817</v>
      </c>
      <c r="L1533" s="2" t="s">
        <v>5149</v>
      </c>
      <c r="M1533" s="2" t="s">
        <v>24</v>
      </c>
      <c r="N1533" s="2" t="s">
        <v>60</v>
      </c>
      <c r="O1533" s="2">
        <v>1.10751038E8</v>
      </c>
      <c r="P1533" s="15"/>
      <c r="Q1533" s="8">
        <v>2025.0</v>
      </c>
      <c r="R1533" s="8" t="s">
        <v>3946</v>
      </c>
    </row>
    <row r="1534">
      <c r="A1534" s="4" t="s">
        <v>18</v>
      </c>
      <c r="B1534" s="2" t="s">
        <v>5150</v>
      </c>
      <c r="C1534" s="5">
        <v>45990.0</v>
      </c>
      <c r="D1534" s="5">
        <v>45990.0</v>
      </c>
      <c r="E1534" s="4" t="s">
        <v>5151</v>
      </c>
      <c r="F1534" s="9"/>
      <c r="G1534" s="6"/>
      <c r="H1534" s="7">
        <v>535.0</v>
      </c>
      <c r="I1534" s="7" t="s">
        <v>5152</v>
      </c>
      <c r="K1534" s="12" t="str">
        <f t="shared" si="199"/>
        <v>SC3567</v>
      </c>
      <c r="L1534" s="2" t="s">
        <v>5153</v>
      </c>
      <c r="M1534" s="2" t="s">
        <v>24</v>
      </c>
      <c r="N1534" s="2" t="s">
        <v>60</v>
      </c>
      <c r="O1534" s="2">
        <v>1.10751038E8</v>
      </c>
      <c r="P1534" s="15"/>
      <c r="Q1534" s="8">
        <v>2025.0</v>
      </c>
      <c r="R1534" s="8" t="s">
        <v>3946</v>
      </c>
    </row>
    <row r="1535">
      <c r="A1535" s="4" t="s">
        <v>18</v>
      </c>
      <c r="B1535" s="2" t="s">
        <v>5154</v>
      </c>
      <c r="C1535" s="5">
        <v>45990.0</v>
      </c>
      <c r="D1535" s="5">
        <v>45990.0</v>
      </c>
      <c r="E1535" s="4" t="s">
        <v>5155</v>
      </c>
      <c r="F1535" s="9"/>
      <c r="G1535" s="11">
        <v>7021.0</v>
      </c>
      <c r="H1535" s="6"/>
      <c r="I1535" s="7" t="s">
        <v>5156</v>
      </c>
      <c r="K1535" s="2" t="s">
        <v>119</v>
      </c>
      <c r="M1535" s="2" t="s">
        <v>114</v>
      </c>
      <c r="N1535" s="2" t="s">
        <v>3715</v>
      </c>
      <c r="O1535" s="2">
        <v>1.10751038E8</v>
      </c>
      <c r="Q1535" s="8">
        <v>2025.0</v>
      </c>
      <c r="R1535" s="8" t="s">
        <v>3946</v>
      </c>
    </row>
    <row r="1536">
      <c r="A1536" s="4" t="s">
        <v>18</v>
      </c>
      <c r="B1536" s="2" t="s">
        <v>5157</v>
      </c>
      <c r="C1536" s="5">
        <v>45990.0</v>
      </c>
      <c r="D1536" s="5">
        <v>45990.0</v>
      </c>
      <c r="E1536" s="4" t="s">
        <v>5158</v>
      </c>
      <c r="F1536" s="9"/>
      <c r="G1536" s="6"/>
      <c r="H1536" s="7">
        <v>700.0</v>
      </c>
      <c r="I1536" s="7" t="s">
        <v>5159</v>
      </c>
      <c r="K1536" s="12" t="str">
        <f>RIGHT(E1536,6)</f>
        <v>KN3817</v>
      </c>
      <c r="L1536" s="2" t="s">
        <v>5160</v>
      </c>
      <c r="M1536" s="2" t="s">
        <v>24</v>
      </c>
      <c r="N1536" s="2" t="s">
        <v>60</v>
      </c>
      <c r="O1536" s="2">
        <v>1.10751038E8</v>
      </c>
      <c r="P1536" s="15"/>
      <c r="Q1536" s="8">
        <v>2025.0</v>
      </c>
      <c r="R1536" s="8" t="s">
        <v>3946</v>
      </c>
    </row>
    <row r="1537">
      <c r="A1537" s="4" t="s">
        <v>18</v>
      </c>
      <c r="B1537" s="2" t="s">
        <v>5161</v>
      </c>
      <c r="C1537" s="5">
        <v>45990.0</v>
      </c>
      <c r="D1537" s="5">
        <v>45990.0</v>
      </c>
      <c r="E1537" s="4" t="s">
        <v>5162</v>
      </c>
      <c r="F1537" s="9"/>
      <c r="G1537" s="11">
        <v>4290.0</v>
      </c>
      <c r="H1537" s="6"/>
      <c r="I1537" s="7" t="s">
        <v>5163</v>
      </c>
      <c r="J1537" s="2" t="s">
        <v>5164</v>
      </c>
      <c r="K1537" s="2" t="s">
        <v>119</v>
      </c>
      <c r="M1537" s="2" t="s">
        <v>114</v>
      </c>
      <c r="N1537" s="2" t="s">
        <v>169</v>
      </c>
      <c r="O1537" s="2">
        <v>1.10751038E8</v>
      </c>
      <c r="Q1537" s="8">
        <v>2025.0</v>
      </c>
      <c r="R1537" s="8" t="s">
        <v>3946</v>
      </c>
    </row>
    <row r="1538">
      <c r="A1538" s="4" t="s">
        <v>18</v>
      </c>
      <c r="B1538" s="2" t="s">
        <v>5165</v>
      </c>
      <c r="C1538" s="5">
        <v>45990.0</v>
      </c>
      <c r="D1538" s="5">
        <v>45990.0</v>
      </c>
      <c r="E1538" s="4" t="s">
        <v>5166</v>
      </c>
      <c r="F1538" s="9"/>
      <c r="G1538" s="6"/>
      <c r="H1538" s="7">
        <v>250.0</v>
      </c>
      <c r="I1538" s="7" t="s">
        <v>5167</v>
      </c>
      <c r="K1538" s="12" t="str">
        <f t="shared" ref="K1538:K1546" si="200">RIGHT(E1538,6)</f>
        <v>SC3567</v>
      </c>
      <c r="L1538" s="2" t="s">
        <v>5168</v>
      </c>
      <c r="M1538" s="2" t="s">
        <v>24</v>
      </c>
      <c r="N1538" s="2" t="s">
        <v>60</v>
      </c>
      <c r="O1538" s="2">
        <v>1.10751038E8</v>
      </c>
      <c r="P1538" s="15"/>
      <c r="Q1538" s="8">
        <v>2025.0</v>
      </c>
      <c r="R1538" s="8" t="s">
        <v>3946</v>
      </c>
    </row>
    <row r="1539">
      <c r="A1539" s="4" t="s">
        <v>18</v>
      </c>
      <c r="B1539" s="2" t="s">
        <v>5169</v>
      </c>
      <c r="C1539" s="5">
        <v>45990.0</v>
      </c>
      <c r="D1539" s="5">
        <v>45990.0</v>
      </c>
      <c r="E1539" s="4" t="s">
        <v>5170</v>
      </c>
      <c r="F1539" s="9"/>
      <c r="G1539" s="6"/>
      <c r="H1539" s="7">
        <v>396.0</v>
      </c>
      <c r="I1539" s="7" t="s">
        <v>5171</v>
      </c>
      <c r="K1539" s="12" t="str">
        <f t="shared" si="200"/>
        <v>UN3668</v>
      </c>
      <c r="L1539" s="2" t="s">
        <v>5172</v>
      </c>
      <c r="M1539" s="2" t="s">
        <v>24</v>
      </c>
      <c r="N1539" s="2" t="s">
        <v>60</v>
      </c>
      <c r="O1539" s="2">
        <v>1.10751038E8</v>
      </c>
      <c r="P1539" s="15"/>
      <c r="Q1539" s="8">
        <v>2025.0</v>
      </c>
      <c r="R1539" s="8" t="s">
        <v>3946</v>
      </c>
    </row>
    <row r="1540">
      <c r="A1540" s="4" t="s">
        <v>18</v>
      </c>
      <c r="B1540" s="2" t="s">
        <v>5173</v>
      </c>
      <c r="C1540" s="5">
        <v>45990.0</v>
      </c>
      <c r="D1540" s="5">
        <v>45990.0</v>
      </c>
      <c r="E1540" s="4" t="s">
        <v>5174</v>
      </c>
      <c r="F1540" s="9"/>
      <c r="G1540" s="6"/>
      <c r="H1540" s="7">
        <v>433.0</v>
      </c>
      <c r="I1540" s="7" t="s">
        <v>5175</v>
      </c>
      <c r="K1540" s="12" t="str">
        <f t="shared" si="200"/>
        <v>SL1610</v>
      </c>
      <c r="L1540" s="2" t="s">
        <v>5176</v>
      </c>
      <c r="M1540" s="2" t="s">
        <v>24</v>
      </c>
      <c r="N1540" s="2" t="s">
        <v>60</v>
      </c>
      <c r="O1540" s="2">
        <v>1.10751038E8</v>
      </c>
      <c r="P1540" s="15"/>
      <c r="Q1540" s="8">
        <v>2025.0</v>
      </c>
      <c r="R1540" s="8" t="s">
        <v>3946</v>
      </c>
    </row>
    <row r="1541">
      <c r="A1541" s="4" t="s">
        <v>18</v>
      </c>
      <c r="B1541" s="2" t="s">
        <v>5177</v>
      </c>
      <c r="C1541" s="5">
        <v>45990.0</v>
      </c>
      <c r="D1541" s="5">
        <v>45990.0</v>
      </c>
      <c r="E1541" s="4" t="s">
        <v>5178</v>
      </c>
      <c r="F1541" s="9"/>
      <c r="G1541" s="6"/>
      <c r="H1541" s="11">
        <v>1200.0</v>
      </c>
      <c r="I1541" s="7" t="s">
        <v>5179</v>
      </c>
      <c r="K1541" s="12" t="str">
        <f t="shared" si="200"/>
        <v>UN3668</v>
      </c>
      <c r="L1541" s="2" t="s">
        <v>5180</v>
      </c>
      <c r="M1541" s="2" t="s">
        <v>24</v>
      </c>
      <c r="N1541" s="2" t="s">
        <v>60</v>
      </c>
      <c r="O1541" s="2">
        <v>1.10751038E8</v>
      </c>
      <c r="P1541" s="15"/>
      <c r="Q1541" s="8">
        <v>2025.0</v>
      </c>
      <c r="R1541" s="8" t="s">
        <v>3946</v>
      </c>
    </row>
    <row r="1542">
      <c r="A1542" s="4" t="s">
        <v>18</v>
      </c>
      <c r="B1542" s="2" t="s">
        <v>5181</v>
      </c>
      <c r="C1542" s="5">
        <v>45990.0</v>
      </c>
      <c r="D1542" s="5">
        <v>45990.0</v>
      </c>
      <c r="E1542" s="4" t="s">
        <v>5182</v>
      </c>
      <c r="F1542" s="9"/>
      <c r="G1542" s="6"/>
      <c r="H1542" s="7">
        <v>719.0</v>
      </c>
      <c r="I1542" s="7" t="s">
        <v>5183</v>
      </c>
      <c r="K1542" s="12" t="str">
        <f t="shared" si="200"/>
        <v>UN3668</v>
      </c>
      <c r="L1542" s="2" t="s">
        <v>5184</v>
      </c>
      <c r="M1542" s="2" t="s">
        <v>24</v>
      </c>
      <c r="N1542" s="2" t="s">
        <v>60</v>
      </c>
      <c r="O1542" s="2">
        <v>1.10751038E8</v>
      </c>
      <c r="P1542" s="15"/>
      <c r="Q1542" s="8">
        <v>2025.0</v>
      </c>
      <c r="R1542" s="8" t="s">
        <v>3946</v>
      </c>
    </row>
    <row r="1543">
      <c r="A1543" s="4" t="s">
        <v>18</v>
      </c>
      <c r="B1543" s="2" t="s">
        <v>5185</v>
      </c>
      <c r="C1543" s="5">
        <v>45990.0</v>
      </c>
      <c r="D1543" s="5">
        <v>45990.0</v>
      </c>
      <c r="E1543" s="4" t="s">
        <v>5186</v>
      </c>
      <c r="F1543" s="9"/>
      <c r="G1543" s="6"/>
      <c r="H1543" s="7">
        <v>332.0</v>
      </c>
      <c r="I1543" s="7" t="s">
        <v>5187</v>
      </c>
      <c r="K1543" s="12" t="str">
        <f t="shared" si="200"/>
        <v>UN3668</v>
      </c>
      <c r="L1543" s="2" t="s">
        <v>5188</v>
      </c>
      <c r="M1543" s="2" t="s">
        <v>24</v>
      </c>
      <c r="N1543" s="2" t="s">
        <v>60</v>
      </c>
      <c r="O1543" s="2">
        <v>1.10751038E8</v>
      </c>
      <c r="P1543" s="15"/>
      <c r="Q1543" s="8">
        <v>2025.0</v>
      </c>
      <c r="R1543" s="8" t="s">
        <v>3946</v>
      </c>
    </row>
    <row r="1544">
      <c r="A1544" s="4" t="s">
        <v>18</v>
      </c>
      <c r="B1544" s="2" t="s">
        <v>5189</v>
      </c>
      <c r="C1544" s="5">
        <v>45990.0</v>
      </c>
      <c r="D1544" s="5">
        <v>45990.0</v>
      </c>
      <c r="E1544" s="4" t="s">
        <v>5190</v>
      </c>
      <c r="F1544" s="9"/>
      <c r="G1544" s="6"/>
      <c r="H1544" s="11">
        <v>1108.0</v>
      </c>
      <c r="I1544" s="7" t="s">
        <v>5191</v>
      </c>
      <c r="K1544" s="12" t="str">
        <f t="shared" si="200"/>
        <v>UN3668</v>
      </c>
      <c r="L1544" s="2" t="s">
        <v>5192</v>
      </c>
      <c r="M1544" s="2" t="s">
        <v>24</v>
      </c>
      <c r="N1544" s="2" t="s">
        <v>60</v>
      </c>
      <c r="O1544" s="2">
        <v>1.10751038E8</v>
      </c>
      <c r="P1544" s="15"/>
      <c r="Q1544" s="8">
        <v>2025.0</v>
      </c>
      <c r="R1544" s="8" t="s">
        <v>3946</v>
      </c>
    </row>
    <row r="1545">
      <c r="A1545" s="4" t="s">
        <v>18</v>
      </c>
      <c r="B1545" s="2" t="s">
        <v>5193</v>
      </c>
      <c r="C1545" s="5">
        <v>45990.0</v>
      </c>
      <c r="D1545" s="5">
        <v>45990.0</v>
      </c>
      <c r="E1545" s="4" t="s">
        <v>5194</v>
      </c>
      <c r="F1545" s="9"/>
      <c r="G1545" s="6"/>
      <c r="H1545" s="7">
        <v>692.0</v>
      </c>
      <c r="I1545" s="7" t="s">
        <v>5195</v>
      </c>
      <c r="K1545" s="12" t="str">
        <f t="shared" si="200"/>
        <v>UN3668</v>
      </c>
      <c r="L1545" s="2" t="s">
        <v>5196</v>
      </c>
      <c r="M1545" s="2" t="s">
        <v>24</v>
      </c>
      <c r="N1545" s="2" t="s">
        <v>60</v>
      </c>
      <c r="O1545" s="2">
        <v>1.10751038E8</v>
      </c>
      <c r="P1545" s="15"/>
      <c r="Q1545" s="8">
        <v>2025.0</v>
      </c>
      <c r="R1545" s="8" t="s">
        <v>3946</v>
      </c>
    </row>
    <row r="1546">
      <c r="A1546" s="4" t="s">
        <v>18</v>
      </c>
      <c r="B1546" s="2" t="s">
        <v>5197</v>
      </c>
      <c r="C1546" s="5">
        <v>45991.0</v>
      </c>
      <c r="D1546" s="5">
        <v>45991.0</v>
      </c>
      <c r="E1546" s="4" t="s">
        <v>5198</v>
      </c>
      <c r="F1546" s="9"/>
      <c r="G1546" s="6"/>
      <c r="H1546" s="11">
        <v>1142.0</v>
      </c>
      <c r="I1546" s="7" t="s">
        <v>5199</v>
      </c>
      <c r="K1546" s="12" t="str">
        <f t="shared" si="200"/>
        <v>SL1610</v>
      </c>
      <c r="L1546" s="2" t="s">
        <v>5200</v>
      </c>
      <c r="M1546" s="2" t="s">
        <v>24</v>
      </c>
      <c r="N1546" s="2" t="s">
        <v>60</v>
      </c>
      <c r="O1546" s="2">
        <v>1.10751038E8</v>
      </c>
      <c r="P1546" s="15"/>
      <c r="Q1546" s="8">
        <v>2025.0</v>
      </c>
      <c r="R1546" s="8" t="s">
        <v>3946</v>
      </c>
    </row>
    <row r="1547">
      <c r="A1547" s="4" t="s">
        <v>18</v>
      </c>
      <c r="B1547" s="2" t="s">
        <v>5201</v>
      </c>
      <c r="C1547" s="5">
        <v>45991.0</v>
      </c>
      <c r="D1547" s="5">
        <v>45991.0</v>
      </c>
      <c r="E1547" s="4" t="s">
        <v>5202</v>
      </c>
      <c r="F1547" s="9"/>
      <c r="G1547" s="6"/>
      <c r="H1547" s="7">
        <v>445.0</v>
      </c>
      <c r="I1547" s="7" t="s">
        <v>5203</v>
      </c>
      <c r="K1547" s="2" t="s">
        <v>539</v>
      </c>
      <c r="M1547" s="2" t="s">
        <v>24</v>
      </c>
      <c r="N1547" s="2" t="s">
        <v>60</v>
      </c>
      <c r="O1547" s="2">
        <v>1.10751038E8</v>
      </c>
      <c r="P1547" s="15" t="str">
        <f>IFERROR(__xludf.DUMMYFUNCTION("CONCATENATE(B1547,"", "", to_text(D1547),"", "", E1547,"", "", H1547)"),"TSV-11-0403, 30-Nov-2025, UPI/CR/114903747725/KARAMJEE/HDFC/9199997/PAY BY, 445")</f>
        <v>TSV-11-0403, 30-Nov-2025, UPI/CR/114903747725/KARAMJEE/HDFC/9199997/PAY BY, 445</v>
      </c>
      <c r="Q1547" s="8">
        <v>2025.0</v>
      </c>
      <c r="R1547" s="8" t="s">
        <v>3946</v>
      </c>
    </row>
    <row r="1548">
      <c r="A1548" s="4" t="s">
        <v>18</v>
      </c>
      <c r="B1548" s="2" t="s">
        <v>5204</v>
      </c>
      <c r="C1548" s="5">
        <v>45991.0</v>
      </c>
      <c r="D1548" s="5">
        <v>45991.0</v>
      </c>
      <c r="E1548" s="4" t="s">
        <v>5205</v>
      </c>
      <c r="F1548" s="9"/>
      <c r="G1548" s="11">
        <v>3000.0</v>
      </c>
      <c r="H1548" s="6"/>
      <c r="I1548" s="7" t="s">
        <v>5206</v>
      </c>
      <c r="J1548" s="2" t="s">
        <v>5207</v>
      </c>
      <c r="K1548" s="2" t="s">
        <v>23</v>
      </c>
      <c r="M1548" s="2" t="s">
        <v>114</v>
      </c>
      <c r="N1548" s="2" t="s">
        <v>1835</v>
      </c>
      <c r="O1548" s="2">
        <v>1.10751038E8</v>
      </c>
      <c r="Q1548" s="8">
        <v>2025.0</v>
      </c>
      <c r="R1548" s="8" t="s">
        <v>3946</v>
      </c>
    </row>
    <row r="1549">
      <c r="A1549" s="4" t="s">
        <v>18</v>
      </c>
      <c r="B1549" s="2" t="s">
        <v>5208</v>
      </c>
      <c r="C1549" s="5">
        <v>45991.0</v>
      </c>
      <c r="D1549" s="5">
        <v>45991.0</v>
      </c>
      <c r="E1549" s="4" t="s">
        <v>5209</v>
      </c>
      <c r="F1549" s="9"/>
      <c r="G1549" s="11">
        <v>2800.0</v>
      </c>
      <c r="H1549" s="6"/>
      <c r="I1549" s="7" t="s">
        <v>5210</v>
      </c>
      <c r="K1549" s="2" t="s">
        <v>123</v>
      </c>
      <c r="M1549" s="2" t="s">
        <v>114</v>
      </c>
      <c r="N1549" s="2" t="s">
        <v>1835</v>
      </c>
      <c r="O1549" s="2">
        <v>1.10751038E8</v>
      </c>
      <c r="Q1549" s="8">
        <v>2025.0</v>
      </c>
      <c r="R1549" s="8" t="s">
        <v>3946</v>
      </c>
    </row>
    <row r="1550">
      <c r="A1550" s="4" t="s">
        <v>18</v>
      </c>
      <c r="B1550" s="2" t="s">
        <v>5211</v>
      </c>
      <c r="C1550" s="5">
        <v>45991.0</v>
      </c>
      <c r="D1550" s="5">
        <v>45991.0</v>
      </c>
      <c r="E1550" s="4" t="s">
        <v>5212</v>
      </c>
      <c r="F1550" s="9"/>
      <c r="G1550" s="6"/>
      <c r="H1550" s="7">
        <v>692.0</v>
      </c>
      <c r="I1550" s="7" t="s">
        <v>5213</v>
      </c>
      <c r="K1550" s="12" t="str">
        <f t="shared" ref="K1550:K1554" si="201">RIGHT(E1550,6)</f>
        <v>UN3668</v>
      </c>
      <c r="L1550" s="2" t="s">
        <v>5214</v>
      </c>
      <c r="M1550" s="2" t="s">
        <v>24</v>
      </c>
      <c r="N1550" s="2" t="s">
        <v>60</v>
      </c>
      <c r="O1550" s="2">
        <v>1.10751038E8</v>
      </c>
      <c r="P1550" s="15"/>
      <c r="Q1550" s="8">
        <v>2025.0</v>
      </c>
      <c r="R1550" s="8" t="s">
        <v>3946</v>
      </c>
    </row>
    <row r="1551">
      <c r="A1551" s="4" t="s">
        <v>18</v>
      </c>
      <c r="B1551" s="2" t="s">
        <v>5215</v>
      </c>
      <c r="C1551" s="5">
        <v>45991.0</v>
      </c>
      <c r="D1551" s="5">
        <v>45991.0</v>
      </c>
      <c r="E1551" s="4" t="s">
        <v>5216</v>
      </c>
      <c r="F1551" s="9"/>
      <c r="G1551" s="6"/>
      <c r="H1551" s="7">
        <v>424.0</v>
      </c>
      <c r="I1551" s="7" t="s">
        <v>5217</v>
      </c>
      <c r="K1551" s="12" t="str">
        <f t="shared" si="201"/>
        <v>SL1610</v>
      </c>
      <c r="L1551" s="2" t="s">
        <v>5218</v>
      </c>
      <c r="M1551" s="2" t="s">
        <v>24</v>
      </c>
      <c r="N1551" s="2" t="s">
        <v>60</v>
      </c>
      <c r="O1551" s="2">
        <v>1.10751038E8</v>
      </c>
      <c r="P1551" s="15"/>
      <c r="Q1551" s="8">
        <v>2025.0</v>
      </c>
      <c r="R1551" s="8" t="s">
        <v>3946</v>
      </c>
    </row>
    <row r="1552">
      <c r="A1552" s="4" t="s">
        <v>18</v>
      </c>
      <c r="B1552" s="2" t="s">
        <v>5219</v>
      </c>
      <c r="C1552" s="5">
        <v>45991.0</v>
      </c>
      <c r="D1552" s="5">
        <v>45991.0</v>
      </c>
      <c r="E1552" s="4" t="s">
        <v>5220</v>
      </c>
      <c r="F1552" s="9"/>
      <c r="G1552" s="6"/>
      <c r="H1552" s="11">
        <v>1237.0</v>
      </c>
      <c r="I1552" s="7" t="s">
        <v>5221</v>
      </c>
      <c r="K1552" s="12" t="str">
        <f t="shared" si="201"/>
        <v>UN3668</v>
      </c>
      <c r="L1552" s="2" t="s">
        <v>5222</v>
      </c>
      <c r="M1552" s="2" t="s">
        <v>24</v>
      </c>
      <c r="N1552" s="2" t="s">
        <v>60</v>
      </c>
      <c r="O1552" s="2">
        <v>1.10751038E8</v>
      </c>
      <c r="P1552" s="15"/>
      <c r="Q1552" s="8">
        <v>2025.0</v>
      </c>
      <c r="R1552" s="8" t="s">
        <v>3946</v>
      </c>
    </row>
    <row r="1553">
      <c r="A1553" s="4" t="s">
        <v>18</v>
      </c>
      <c r="B1553" s="2" t="s">
        <v>5223</v>
      </c>
      <c r="C1553" s="5">
        <v>45991.0</v>
      </c>
      <c r="D1553" s="5">
        <v>45991.0</v>
      </c>
      <c r="E1553" s="4" t="s">
        <v>5224</v>
      </c>
      <c r="F1553" s="9"/>
      <c r="G1553" s="6"/>
      <c r="H1553" s="7">
        <v>690.0</v>
      </c>
      <c r="I1553" s="7" t="s">
        <v>5225</v>
      </c>
      <c r="K1553" s="12" t="str">
        <f t="shared" si="201"/>
        <v>KN3817</v>
      </c>
      <c r="L1553" s="2" t="s">
        <v>2505</v>
      </c>
      <c r="M1553" s="2" t="s">
        <v>24</v>
      </c>
      <c r="N1553" s="2" t="s">
        <v>60</v>
      </c>
      <c r="O1553" s="2">
        <v>1.10751038E8</v>
      </c>
      <c r="P1553" s="15"/>
      <c r="Q1553" s="8">
        <v>2025.0</v>
      </c>
      <c r="R1553" s="8" t="s">
        <v>3946</v>
      </c>
    </row>
    <row r="1554">
      <c r="A1554" s="4" t="s">
        <v>18</v>
      </c>
      <c r="B1554" s="2" t="s">
        <v>5226</v>
      </c>
      <c r="C1554" s="5">
        <v>45991.0</v>
      </c>
      <c r="D1554" s="5">
        <v>45991.0</v>
      </c>
      <c r="E1554" s="4" t="s">
        <v>5227</v>
      </c>
      <c r="F1554" s="9"/>
      <c r="G1554" s="6"/>
      <c r="H1554" s="7">
        <v>440.0</v>
      </c>
      <c r="I1554" s="7" t="s">
        <v>5228</v>
      </c>
      <c r="K1554" s="12" t="str">
        <f t="shared" si="201"/>
        <v>KN3817</v>
      </c>
      <c r="L1554" s="2" t="s">
        <v>2337</v>
      </c>
      <c r="M1554" s="2" t="s">
        <v>24</v>
      </c>
      <c r="N1554" s="2" t="s">
        <v>60</v>
      </c>
      <c r="O1554" s="2">
        <v>1.10751038E8</v>
      </c>
      <c r="P1554" s="15"/>
      <c r="Q1554" s="8">
        <v>2025.0</v>
      </c>
      <c r="R1554" s="8" t="s">
        <v>3946</v>
      </c>
    </row>
    <row r="1555">
      <c r="A1555" s="4" t="s">
        <v>18</v>
      </c>
      <c r="B1555" s="2" t="s">
        <v>5229</v>
      </c>
      <c r="C1555" s="5">
        <v>45991.0</v>
      </c>
      <c r="D1555" s="5">
        <v>45991.0</v>
      </c>
      <c r="E1555" s="4" t="s">
        <v>5230</v>
      </c>
      <c r="F1555" s="9"/>
      <c r="G1555" s="7">
        <v>94.0</v>
      </c>
      <c r="H1555" s="6"/>
      <c r="I1555" s="7" t="s">
        <v>5231</v>
      </c>
      <c r="K1555" s="2" t="s">
        <v>123</v>
      </c>
      <c r="M1555" s="2" t="s">
        <v>114</v>
      </c>
      <c r="N1555" s="2" t="s">
        <v>1835</v>
      </c>
      <c r="O1555" s="2">
        <v>1.10751038E8</v>
      </c>
      <c r="Q1555" s="8">
        <v>2025.0</v>
      </c>
      <c r="R1555" s="8" t="s">
        <v>3946</v>
      </c>
    </row>
    <row r="1556">
      <c r="A1556" s="4" t="s">
        <v>18</v>
      </c>
      <c r="B1556" s="2" t="s">
        <v>5232</v>
      </c>
      <c r="C1556" s="5">
        <v>45991.0</v>
      </c>
      <c r="D1556" s="5">
        <v>45991.0</v>
      </c>
      <c r="E1556" s="4" t="s">
        <v>5233</v>
      </c>
      <c r="F1556" s="9"/>
      <c r="G1556" s="6"/>
      <c r="H1556" s="7">
        <v>299.0</v>
      </c>
      <c r="I1556" s="7" t="s">
        <v>5234</v>
      </c>
      <c r="K1556" s="12" t="str">
        <f t="shared" ref="K1556:K1559" si="202">RIGHT(E1556,6)</f>
        <v>SC3567</v>
      </c>
      <c r="L1556" s="2" t="s">
        <v>5235</v>
      </c>
      <c r="M1556" s="2" t="s">
        <v>24</v>
      </c>
      <c r="N1556" s="2" t="s">
        <v>60</v>
      </c>
      <c r="O1556" s="2">
        <v>1.10751038E8</v>
      </c>
      <c r="P1556" s="15"/>
      <c r="Q1556" s="8">
        <v>2025.0</v>
      </c>
      <c r="R1556" s="8" t="s">
        <v>3946</v>
      </c>
    </row>
    <row r="1557">
      <c r="A1557" s="4" t="s">
        <v>18</v>
      </c>
      <c r="B1557" s="2" t="s">
        <v>5236</v>
      </c>
      <c r="C1557" s="5">
        <v>45991.0</v>
      </c>
      <c r="D1557" s="5">
        <v>45991.0</v>
      </c>
      <c r="E1557" s="4" t="s">
        <v>5237</v>
      </c>
      <c r="F1557" s="9"/>
      <c r="G1557" s="6"/>
      <c r="H1557" s="11">
        <v>3320.0</v>
      </c>
      <c r="I1557" s="7" t="s">
        <v>5238</v>
      </c>
      <c r="K1557" s="12" t="str">
        <f t="shared" si="202"/>
        <v>KN3817</v>
      </c>
      <c r="L1557" s="2" t="s">
        <v>5239</v>
      </c>
      <c r="M1557" s="2" t="s">
        <v>24</v>
      </c>
      <c r="N1557" s="2" t="s">
        <v>60</v>
      </c>
      <c r="O1557" s="2">
        <v>1.10751038E8</v>
      </c>
      <c r="P1557" s="15"/>
      <c r="Q1557" s="8">
        <v>2025.0</v>
      </c>
      <c r="R1557" s="8" t="s">
        <v>3946</v>
      </c>
    </row>
    <row r="1558">
      <c r="A1558" s="4" t="s">
        <v>18</v>
      </c>
      <c r="B1558" s="2" t="s">
        <v>5240</v>
      </c>
      <c r="C1558" s="5">
        <v>45991.0</v>
      </c>
      <c r="D1558" s="5">
        <v>45991.0</v>
      </c>
      <c r="E1558" s="4" t="s">
        <v>5241</v>
      </c>
      <c r="F1558" s="9"/>
      <c r="G1558" s="6"/>
      <c r="H1558" s="7">
        <v>850.0</v>
      </c>
      <c r="I1558" s="7" t="s">
        <v>5242</v>
      </c>
      <c r="K1558" s="12" t="str">
        <f t="shared" si="202"/>
        <v>UN3668</v>
      </c>
      <c r="L1558" s="2" t="s">
        <v>5243</v>
      </c>
      <c r="M1558" s="2" t="s">
        <v>24</v>
      </c>
      <c r="N1558" s="2" t="s">
        <v>60</v>
      </c>
      <c r="O1558" s="2">
        <v>1.10751038E8</v>
      </c>
      <c r="P1558" s="15"/>
      <c r="Q1558" s="8">
        <v>2025.0</v>
      </c>
      <c r="R1558" s="8" t="s">
        <v>3946</v>
      </c>
    </row>
    <row r="1559">
      <c r="A1559" s="4" t="s">
        <v>18</v>
      </c>
      <c r="B1559" s="2" t="s">
        <v>5244</v>
      </c>
      <c r="C1559" s="5">
        <v>45991.0</v>
      </c>
      <c r="D1559" s="5">
        <v>45991.0</v>
      </c>
      <c r="E1559" s="4" t="s">
        <v>5245</v>
      </c>
      <c r="F1559" s="9"/>
      <c r="G1559" s="6"/>
      <c r="H1559" s="7">
        <v>410.0</v>
      </c>
      <c r="I1559" s="7" t="s">
        <v>5246</v>
      </c>
      <c r="K1559" s="12" t="str">
        <f t="shared" si="202"/>
        <v>KN3817</v>
      </c>
      <c r="L1559" s="21" t="s">
        <v>2687</v>
      </c>
      <c r="M1559" s="2" t="s">
        <v>24</v>
      </c>
      <c r="N1559" s="2" t="s">
        <v>60</v>
      </c>
      <c r="O1559" s="2">
        <v>1.10751038E8</v>
      </c>
      <c r="P1559" s="15"/>
      <c r="Q1559" s="8">
        <v>2025.0</v>
      </c>
      <c r="R1559" s="8" t="s">
        <v>3946</v>
      </c>
    </row>
    <row r="1560">
      <c r="A1560" s="4" t="s">
        <v>18</v>
      </c>
      <c r="B1560" s="2" t="s">
        <v>5247</v>
      </c>
      <c r="C1560" s="5">
        <v>45991.0</v>
      </c>
      <c r="D1560" s="5">
        <v>45991.0</v>
      </c>
      <c r="E1560" s="4" t="s">
        <v>5248</v>
      </c>
      <c r="F1560" s="9"/>
      <c r="G1560" s="7">
        <v>65.0</v>
      </c>
      <c r="H1560" s="6"/>
      <c r="I1560" s="7" t="s">
        <v>5249</v>
      </c>
      <c r="K1560" s="2" t="s">
        <v>113</v>
      </c>
      <c r="M1560" s="2" t="s">
        <v>114</v>
      </c>
      <c r="N1560" s="2" t="s">
        <v>1835</v>
      </c>
      <c r="O1560" s="2">
        <v>1.10751038E8</v>
      </c>
      <c r="Q1560" s="8">
        <v>2025.0</v>
      </c>
      <c r="R1560" s="8" t="s">
        <v>3946</v>
      </c>
    </row>
    <row r="1561">
      <c r="A1561" s="4" t="s">
        <v>18</v>
      </c>
      <c r="B1561" s="2" t="s">
        <v>5250</v>
      </c>
      <c r="C1561" s="5">
        <v>45991.0</v>
      </c>
      <c r="D1561" s="5">
        <v>45991.0</v>
      </c>
      <c r="E1561" s="4" t="s">
        <v>5251</v>
      </c>
      <c r="F1561" s="9"/>
      <c r="G1561" s="6"/>
      <c r="H1561" s="7">
        <v>660.0</v>
      </c>
      <c r="I1561" s="7" t="s">
        <v>5252</v>
      </c>
      <c r="K1561" s="12" t="str">
        <f t="shared" ref="K1561:K1564" si="203">RIGHT(E1561,6)</f>
        <v>UN3668</v>
      </c>
      <c r="L1561" s="2" t="s">
        <v>5253</v>
      </c>
      <c r="M1561" s="2" t="s">
        <v>24</v>
      </c>
      <c r="N1561" s="2" t="s">
        <v>60</v>
      </c>
      <c r="O1561" s="2">
        <v>1.10751038E8</v>
      </c>
      <c r="P1561" s="15"/>
      <c r="Q1561" s="8">
        <v>2025.0</v>
      </c>
      <c r="R1561" s="8" t="s">
        <v>3946</v>
      </c>
    </row>
    <row r="1562">
      <c r="A1562" s="4" t="s">
        <v>18</v>
      </c>
      <c r="B1562" s="2" t="s">
        <v>5254</v>
      </c>
      <c r="C1562" s="5">
        <v>45991.0</v>
      </c>
      <c r="D1562" s="5">
        <v>45991.0</v>
      </c>
      <c r="E1562" s="4" t="s">
        <v>5255</v>
      </c>
      <c r="F1562" s="9"/>
      <c r="G1562" s="6"/>
      <c r="H1562" s="7">
        <v>657.0</v>
      </c>
      <c r="I1562" s="7" t="s">
        <v>5256</v>
      </c>
      <c r="K1562" s="12" t="str">
        <f t="shared" si="203"/>
        <v>SC3567</v>
      </c>
      <c r="M1562" s="2" t="s">
        <v>24</v>
      </c>
      <c r="N1562" s="2" t="s">
        <v>60</v>
      </c>
      <c r="O1562" s="2">
        <v>1.10751038E8</v>
      </c>
      <c r="P1562" s="15" t="str">
        <f>IFERROR(__xludf.DUMMYFUNCTION("CONCATENATE(B1562,"", "", to_text(D1562),"", "", E1562,"", "", H1562)"),"TSV-11-0418, 30-Nov-2025, UPI/IFT/533431584754/IDFB/SC3567, 657")</f>
        <v>TSV-11-0418, 30-Nov-2025, UPI/IFT/533431584754/IDFB/SC3567, 657</v>
      </c>
      <c r="Q1562" s="8">
        <v>2025.0</v>
      </c>
      <c r="R1562" s="8" t="s">
        <v>3946</v>
      </c>
    </row>
    <row r="1563">
      <c r="A1563" s="4" t="s">
        <v>18</v>
      </c>
      <c r="B1563" s="2" t="s">
        <v>5257</v>
      </c>
      <c r="C1563" s="5">
        <v>45991.0</v>
      </c>
      <c r="D1563" s="5">
        <v>45991.0</v>
      </c>
      <c r="E1563" s="4" t="s">
        <v>5258</v>
      </c>
      <c r="F1563" s="9"/>
      <c r="G1563" s="6"/>
      <c r="H1563" s="7">
        <v>396.0</v>
      </c>
      <c r="I1563" s="7" t="s">
        <v>5259</v>
      </c>
      <c r="K1563" s="12" t="str">
        <f t="shared" si="203"/>
        <v>UN3668</v>
      </c>
      <c r="L1563" s="2" t="s">
        <v>5260</v>
      </c>
      <c r="M1563" s="2" t="s">
        <v>24</v>
      </c>
      <c r="N1563" s="2" t="s">
        <v>60</v>
      </c>
      <c r="O1563" s="2">
        <v>1.10751038E8</v>
      </c>
      <c r="P1563" s="15"/>
      <c r="Q1563" s="8">
        <v>2025.0</v>
      </c>
      <c r="R1563" s="8" t="s">
        <v>3946</v>
      </c>
    </row>
    <row r="1564">
      <c r="A1564" s="4" t="s">
        <v>18</v>
      </c>
      <c r="B1564" s="2" t="s">
        <v>5261</v>
      </c>
      <c r="C1564" s="5">
        <v>45991.0</v>
      </c>
      <c r="D1564" s="5">
        <v>45991.0</v>
      </c>
      <c r="E1564" s="4" t="s">
        <v>5262</v>
      </c>
      <c r="F1564" s="9"/>
      <c r="G1564" s="6"/>
      <c r="H1564" s="7">
        <v>200.0</v>
      </c>
      <c r="I1564" s="7" t="s">
        <v>5263</v>
      </c>
      <c r="K1564" s="12" t="str">
        <f t="shared" si="203"/>
        <v>KN3817</v>
      </c>
      <c r="L1564" s="21" t="s">
        <v>5264</v>
      </c>
      <c r="M1564" s="2" t="s">
        <v>24</v>
      </c>
      <c r="N1564" s="2" t="s">
        <v>60</v>
      </c>
      <c r="O1564" s="2">
        <v>1.10751038E8</v>
      </c>
      <c r="P1564" s="15"/>
      <c r="Q1564" s="8">
        <v>2025.0</v>
      </c>
      <c r="R1564" s="8" t="s">
        <v>3946</v>
      </c>
    </row>
    <row r="1565">
      <c r="A1565" s="4" t="s">
        <v>18</v>
      </c>
      <c r="B1565" s="2" t="s">
        <v>5265</v>
      </c>
      <c r="C1565" s="5">
        <v>45991.0</v>
      </c>
      <c r="D1565" s="5">
        <v>45991.0</v>
      </c>
      <c r="E1565" s="4" t="s">
        <v>5266</v>
      </c>
      <c r="F1565" s="9"/>
      <c r="G1565" s="11">
        <v>2000.0</v>
      </c>
      <c r="H1565" s="6"/>
      <c r="I1565" s="7" t="s">
        <v>5267</v>
      </c>
      <c r="J1565" s="2" t="s">
        <v>5268</v>
      </c>
      <c r="K1565" s="2" t="s">
        <v>127</v>
      </c>
      <c r="M1565" s="2" t="s">
        <v>114</v>
      </c>
      <c r="N1565" s="2" t="s">
        <v>169</v>
      </c>
      <c r="O1565" s="2">
        <v>1.10751038E8</v>
      </c>
      <c r="Q1565" s="8">
        <v>2025.0</v>
      </c>
      <c r="R1565" s="8" t="s">
        <v>3946</v>
      </c>
    </row>
    <row r="1566">
      <c r="A1566" s="4" t="s">
        <v>18</v>
      </c>
      <c r="B1566" s="2" t="s">
        <v>5269</v>
      </c>
      <c r="C1566" s="5">
        <v>45991.0</v>
      </c>
      <c r="D1566" s="5">
        <v>45991.0</v>
      </c>
      <c r="E1566" s="4" t="s">
        <v>5270</v>
      </c>
      <c r="F1566" s="9"/>
      <c r="G1566" s="11">
        <v>3740.0</v>
      </c>
      <c r="H1566" s="6"/>
      <c r="I1566" s="7" t="s">
        <v>5271</v>
      </c>
      <c r="K1566" s="2" t="s">
        <v>127</v>
      </c>
      <c r="M1566" s="2" t="s">
        <v>114</v>
      </c>
      <c r="N1566" s="2" t="s">
        <v>1835</v>
      </c>
      <c r="O1566" s="2">
        <v>1.10751038E8</v>
      </c>
      <c r="Q1566" s="8">
        <v>2025.0</v>
      </c>
      <c r="R1566" s="8" t="s">
        <v>3946</v>
      </c>
    </row>
    <row r="1567">
      <c r="A1567" s="4" t="s">
        <v>18</v>
      </c>
      <c r="B1567" s="2" t="s">
        <v>5272</v>
      </c>
      <c r="C1567" s="10">
        <v>45992.0</v>
      </c>
      <c r="D1567" s="10">
        <v>45992.0</v>
      </c>
      <c r="E1567" s="4" t="s">
        <v>5273</v>
      </c>
      <c r="F1567" s="9"/>
      <c r="G1567" s="7">
        <v>48.0</v>
      </c>
      <c r="H1567" s="6"/>
      <c r="I1567" s="7" t="s">
        <v>5274</v>
      </c>
      <c r="K1567" s="2" t="s">
        <v>123</v>
      </c>
      <c r="M1567" s="2" t="s">
        <v>114</v>
      </c>
      <c r="N1567" s="2" t="s">
        <v>1835</v>
      </c>
      <c r="O1567" s="2">
        <v>1.10751038E8</v>
      </c>
      <c r="Q1567" s="8">
        <v>2025.0</v>
      </c>
      <c r="R1567" s="8" t="s">
        <v>5275</v>
      </c>
    </row>
    <row r="1568">
      <c r="A1568" s="4" t="s">
        <v>18</v>
      </c>
      <c r="B1568" s="2" t="s">
        <v>5276</v>
      </c>
      <c r="C1568" s="10">
        <v>45992.0</v>
      </c>
      <c r="D1568" s="10">
        <v>45992.0</v>
      </c>
      <c r="E1568" s="4" t="s">
        <v>5277</v>
      </c>
      <c r="F1568" s="9"/>
      <c r="G1568" s="7">
        <v>104.0</v>
      </c>
      <c r="H1568" s="6"/>
      <c r="I1568" s="7" t="s">
        <v>5278</v>
      </c>
      <c r="K1568" s="2" t="s">
        <v>123</v>
      </c>
      <c r="M1568" s="2" t="s">
        <v>114</v>
      </c>
      <c r="N1568" s="2" t="s">
        <v>1835</v>
      </c>
      <c r="O1568" s="2">
        <v>1.10751038E8</v>
      </c>
      <c r="Q1568" s="8">
        <v>2025.0</v>
      </c>
      <c r="R1568" s="8" t="s">
        <v>5275</v>
      </c>
    </row>
    <row r="1569">
      <c r="A1569" s="4" t="s">
        <v>18</v>
      </c>
      <c r="B1569" s="2" t="s">
        <v>5279</v>
      </c>
      <c r="C1569" s="10">
        <v>45992.0</v>
      </c>
      <c r="D1569" s="10">
        <v>45992.0</v>
      </c>
      <c r="E1569" s="4" t="s">
        <v>5280</v>
      </c>
      <c r="F1569" s="9"/>
      <c r="G1569" s="7">
        <v>80.0</v>
      </c>
      <c r="H1569" s="6"/>
      <c r="I1569" s="7" t="s">
        <v>5281</v>
      </c>
      <c r="K1569" s="2" t="s">
        <v>123</v>
      </c>
      <c r="M1569" s="2" t="s">
        <v>114</v>
      </c>
      <c r="N1569" s="2" t="s">
        <v>1835</v>
      </c>
      <c r="O1569" s="2">
        <v>1.10751038E8</v>
      </c>
      <c r="Q1569" s="8">
        <v>2025.0</v>
      </c>
      <c r="R1569" s="8" t="s">
        <v>5275</v>
      </c>
    </row>
    <row r="1570">
      <c r="A1570" s="4" t="s">
        <v>18</v>
      </c>
      <c r="B1570" s="2" t="s">
        <v>5282</v>
      </c>
      <c r="C1570" s="10">
        <v>45992.0</v>
      </c>
      <c r="D1570" s="10">
        <v>45992.0</v>
      </c>
      <c r="E1570" s="4" t="s">
        <v>5283</v>
      </c>
      <c r="F1570" s="9"/>
      <c r="G1570" s="7">
        <v>500.0</v>
      </c>
      <c r="H1570" s="6"/>
      <c r="I1570" s="7" t="s">
        <v>5284</v>
      </c>
      <c r="J1570" s="2" t="s">
        <v>3519</v>
      </c>
      <c r="K1570" s="2" t="s">
        <v>119</v>
      </c>
      <c r="M1570" s="2" t="s">
        <v>114</v>
      </c>
      <c r="N1570" s="2" t="s">
        <v>3519</v>
      </c>
      <c r="O1570" s="2">
        <v>1.10751038E8</v>
      </c>
      <c r="Q1570" s="8">
        <v>2025.0</v>
      </c>
      <c r="R1570" s="8" t="s">
        <v>5275</v>
      </c>
    </row>
    <row r="1571">
      <c r="A1571" s="4" t="s">
        <v>18</v>
      </c>
      <c r="B1571" s="2" t="s">
        <v>5285</v>
      </c>
      <c r="C1571" s="10">
        <v>45992.0</v>
      </c>
      <c r="D1571" s="10">
        <v>45992.0</v>
      </c>
      <c r="E1571" s="4" t="s">
        <v>5286</v>
      </c>
      <c r="F1571" s="9"/>
      <c r="G1571" s="7">
        <v>165.0</v>
      </c>
      <c r="H1571" s="6"/>
      <c r="I1571" s="7" t="s">
        <v>5287</v>
      </c>
      <c r="K1571" s="2" t="s">
        <v>123</v>
      </c>
      <c r="M1571" s="2" t="s">
        <v>114</v>
      </c>
      <c r="N1571" s="2" t="s">
        <v>1835</v>
      </c>
      <c r="O1571" s="2">
        <v>1.10751038E8</v>
      </c>
      <c r="Q1571" s="8">
        <v>2025.0</v>
      </c>
      <c r="R1571" s="8" t="s">
        <v>5275</v>
      </c>
    </row>
    <row r="1572">
      <c r="A1572" s="4" t="s">
        <v>18</v>
      </c>
      <c r="B1572" s="2" t="s">
        <v>5288</v>
      </c>
      <c r="C1572" s="10">
        <v>45992.0</v>
      </c>
      <c r="D1572" s="10">
        <v>45992.0</v>
      </c>
      <c r="E1572" s="4" t="s">
        <v>5289</v>
      </c>
      <c r="F1572" s="9"/>
      <c r="G1572" s="6"/>
      <c r="H1572" s="7">
        <v>558.0</v>
      </c>
      <c r="I1572" s="7" t="s">
        <v>5290</v>
      </c>
      <c r="K1572" s="12" t="str">
        <f t="shared" ref="K1572:K1577" si="204">RIGHT(E1572,6)</f>
        <v>SC3567</v>
      </c>
      <c r="M1572" s="2" t="s">
        <v>24</v>
      </c>
      <c r="N1572" s="2" t="s">
        <v>60</v>
      </c>
      <c r="O1572" s="2">
        <v>1.10751038E8</v>
      </c>
      <c r="P1572" s="15" t="str">
        <f>IFERROR(__xludf.DUMMYFUNCTION("CONCATENATE(B1572,"", "", to_text(D1572),"", "", E1572,"", "", H1572)"),"TSV-11-0428, 01-Dec-2025, UPI/CR/501599714270/RANAJAY /BARB/saha.ra/SC3567, 558")</f>
        <v>TSV-11-0428, 01-Dec-2025, UPI/CR/501599714270/RANAJAY /BARB/saha.ra/SC3567, 558</v>
      </c>
      <c r="Q1572" s="8">
        <v>2025.0</v>
      </c>
      <c r="R1572" s="8" t="s">
        <v>5275</v>
      </c>
    </row>
    <row r="1573">
      <c r="A1573" s="4" t="s">
        <v>18</v>
      </c>
      <c r="B1573" s="2" t="s">
        <v>5291</v>
      </c>
      <c r="C1573" s="10">
        <v>45992.0</v>
      </c>
      <c r="D1573" s="10">
        <v>45992.0</v>
      </c>
      <c r="E1573" s="4" t="s">
        <v>5292</v>
      </c>
      <c r="F1573" s="9"/>
      <c r="G1573" s="6"/>
      <c r="H1573" s="7">
        <v>890.0</v>
      </c>
      <c r="I1573" s="7" t="s">
        <v>5293</v>
      </c>
      <c r="K1573" s="12" t="str">
        <f t="shared" si="204"/>
        <v>KN3817</v>
      </c>
      <c r="L1573" s="21" t="s">
        <v>5294</v>
      </c>
      <c r="M1573" s="2" t="s">
        <v>24</v>
      </c>
      <c r="N1573" s="2" t="s">
        <v>60</v>
      </c>
      <c r="O1573" s="2">
        <v>1.10751038E8</v>
      </c>
      <c r="P1573" s="15"/>
      <c r="Q1573" s="8">
        <v>2025.0</v>
      </c>
      <c r="R1573" s="8" t="s">
        <v>5275</v>
      </c>
    </row>
    <row r="1574">
      <c r="A1574" s="4" t="s">
        <v>18</v>
      </c>
      <c r="B1574" s="2" t="s">
        <v>5295</v>
      </c>
      <c r="C1574" s="10">
        <v>45992.0</v>
      </c>
      <c r="D1574" s="10">
        <v>45992.0</v>
      </c>
      <c r="E1574" s="4" t="s">
        <v>5296</v>
      </c>
      <c r="F1574" s="9"/>
      <c r="G1574" s="6"/>
      <c r="H1574" s="7">
        <v>300.0</v>
      </c>
      <c r="I1574" s="7" t="s">
        <v>5297</v>
      </c>
      <c r="K1574" s="12" t="str">
        <f t="shared" si="204"/>
        <v>UN3668</v>
      </c>
      <c r="L1574" s="2" t="s">
        <v>5298</v>
      </c>
      <c r="M1574" s="2" t="s">
        <v>24</v>
      </c>
      <c r="N1574" s="2" t="s">
        <v>60</v>
      </c>
      <c r="O1574" s="2">
        <v>1.10751038E8</v>
      </c>
      <c r="P1574" s="15"/>
      <c r="Q1574" s="8">
        <v>2025.0</v>
      </c>
      <c r="R1574" s="8" t="s">
        <v>5275</v>
      </c>
    </row>
    <row r="1575">
      <c r="A1575" s="4" t="s">
        <v>18</v>
      </c>
      <c r="B1575" s="2" t="s">
        <v>5299</v>
      </c>
      <c r="C1575" s="10">
        <v>45992.0</v>
      </c>
      <c r="D1575" s="10">
        <v>45992.0</v>
      </c>
      <c r="E1575" s="4" t="s">
        <v>5300</v>
      </c>
      <c r="F1575" s="9"/>
      <c r="G1575" s="6"/>
      <c r="H1575" s="7">
        <v>770.0</v>
      </c>
      <c r="I1575" s="7" t="s">
        <v>5301</v>
      </c>
      <c r="K1575" s="12" t="str">
        <f t="shared" si="204"/>
        <v>KN3817</v>
      </c>
      <c r="L1575" s="21" t="s">
        <v>2493</v>
      </c>
      <c r="M1575" s="2" t="s">
        <v>24</v>
      </c>
      <c r="N1575" s="2" t="s">
        <v>60</v>
      </c>
      <c r="O1575" s="2">
        <v>1.10751038E8</v>
      </c>
      <c r="P1575" s="15"/>
      <c r="Q1575" s="8">
        <v>2025.0</v>
      </c>
      <c r="R1575" s="8" t="s">
        <v>5275</v>
      </c>
    </row>
    <row r="1576">
      <c r="A1576" s="4" t="s">
        <v>18</v>
      </c>
      <c r="B1576" s="2" t="s">
        <v>5302</v>
      </c>
      <c r="C1576" s="10">
        <v>45992.0</v>
      </c>
      <c r="D1576" s="10">
        <v>45992.0</v>
      </c>
      <c r="E1576" s="4" t="s">
        <v>5303</v>
      </c>
      <c r="F1576" s="9"/>
      <c r="G1576" s="6"/>
      <c r="H1576" s="7">
        <v>549.0</v>
      </c>
      <c r="I1576" s="7" t="s">
        <v>5304</v>
      </c>
      <c r="K1576" s="12" t="str">
        <f t="shared" si="204"/>
        <v>SC3567</v>
      </c>
      <c r="M1576" s="2" t="s">
        <v>24</v>
      </c>
      <c r="N1576" s="2" t="s">
        <v>60</v>
      </c>
      <c r="O1576" s="2">
        <v>1.10751038E8</v>
      </c>
      <c r="P1576" s="15" t="str">
        <f>IFERROR(__xludf.DUMMYFUNCTION("CONCATENATE(B1576,"", "", to_text(D1576),"", "", E1576,"", "", H1576)"),"TSV-11-0432, 01-Dec-2025, UPI/CR/694828535287/SAJAL MI/PUNB/8826844/SC3567, 549")</f>
        <v>TSV-11-0432, 01-Dec-2025, UPI/CR/694828535287/SAJAL MI/PUNB/8826844/SC3567, 549</v>
      </c>
      <c r="Q1576" s="8">
        <v>2025.0</v>
      </c>
      <c r="R1576" s="8" t="s">
        <v>5275</v>
      </c>
    </row>
    <row r="1577">
      <c r="A1577" s="4" t="s">
        <v>18</v>
      </c>
      <c r="B1577" s="2" t="s">
        <v>5305</v>
      </c>
      <c r="C1577" s="10">
        <v>45992.0</v>
      </c>
      <c r="D1577" s="10">
        <v>45992.0</v>
      </c>
      <c r="E1577" s="4" t="s">
        <v>5306</v>
      </c>
      <c r="F1577" s="9"/>
      <c r="G1577" s="6"/>
      <c r="H1577" s="7">
        <v>300.0</v>
      </c>
      <c r="I1577" s="7" t="s">
        <v>5307</v>
      </c>
      <c r="K1577" s="12" t="str">
        <f t="shared" si="204"/>
        <v>KN3817</v>
      </c>
      <c r="L1577" s="21" t="s">
        <v>1824</v>
      </c>
      <c r="M1577" s="2" t="s">
        <v>24</v>
      </c>
      <c r="N1577" s="2" t="s">
        <v>60</v>
      </c>
      <c r="O1577" s="2">
        <v>1.10751038E8</v>
      </c>
      <c r="P1577" s="15"/>
      <c r="Q1577" s="8">
        <v>2025.0</v>
      </c>
      <c r="R1577" s="8" t="s">
        <v>5275</v>
      </c>
    </row>
    <row r="1578">
      <c r="A1578" s="4" t="s">
        <v>18</v>
      </c>
      <c r="B1578" s="2" t="s">
        <v>5308</v>
      </c>
      <c r="C1578" s="10">
        <v>45993.0</v>
      </c>
      <c r="D1578" s="10">
        <v>45993.0</v>
      </c>
      <c r="E1578" s="4" t="s">
        <v>5309</v>
      </c>
      <c r="F1578" s="9"/>
      <c r="G1578" s="11">
        <v>1644.0</v>
      </c>
      <c r="H1578" s="6"/>
      <c r="I1578" s="7" t="s">
        <v>5310</v>
      </c>
      <c r="K1578" s="2" t="s">
        <v>119</v>
      </c>
      <c r="M1578" s="2" t="s">
        <v>114</v>
      </c>
      <c r="N1578" s="2" t="s">
        <v>2883</v>
      </c>
      <c r="O1578" s="2">
        <v>1.10751038E8</v>
      </c>
      <c r="Q1578" s="8">
        <v>2025.0</v>
      </c>
      <c r="R1578" s="8" t="s">
        <v>5275</v>
      </c>
    </row>
    <row r="1579">
      <c r="A1579" s="4" t="s">
        <v>18</v>
      </c>
      <c r="B1579" s="2" t="s">
        <v>5311</v>
      </c>
      <c r="C1579" s="10">
        <v>45993.0</v>
      </c>
      <c r="D1579" s="10">
        <v>45993.0</v>
      </c>
      <c r="E1579" s="4" t="s">
        <v>5312</v>
      </c>
      <c r="F1579" s="9"/>
      <c r="G1579" s="6"/>
      <c r="H1579" s="7">
        <v>620.0</v>
      </c>
      <c r="I1579" s="7" t="s">
        <v>5313</v>
      </c>
      <c r="K1579" s="12" t="str">
        <f>RIGHT(E1579,6)</f>
        <v>UN3668</v>
      </c>
      <c r="L1579" s="2" t="s">
        <v>5314</v>
      </c>
      <c r="M1579" s="2" t="s">
        <v>24</v>
      </c>
      <c r="N1579" s="2" t="s">
        <v>60</v>
      </c>
      <c r="O1579" s="2">
        <v>1.10751038E8</v>
      </c>
      <c r="P1579" s="15"/>
      <c r="Q1579" s="8">
        <v>2025.0</v>
      </c>
      <c r="R1579" s="8" t="s">
        <v>5275</v>
      </c>
    </row>
    <row r="1580">
      <c r="A1580" s="4" t="s">
        <v>18</v>
      </c>
      <c r="B1580" s="2" t="s">
        <v>5315</v>
      </c>
      <c r="C1580" s="10">
        <v>45993.0</v>
      </c>
      <c r="D1580" s="10">
        <v>45993.0</v>
      </c>
      <c r="E1580" s="4" t="s">
        <v>5316</v>
      </c>
      <c r="F1580" s="9"/>
      <c r="G1580" s="7">
        <v>500.0</v>
      </c>
      <c r="H1580" s="6"/>
      <c r="I1580" s="7" t="s">
        <v>5317</v>
      </c>
      <c r="K1580" s="2" t="s">
        <v>123</v>
      </c>
      <c r="M1580" s="2" t="s">
        <v>114</v>
      </c>
      <c r="N1580" s="2" t="s">
        <v>1835</v>
      </c>
      <c r="O1580" s="2">
        <v>1.10751038E8</v>
      </c>
      <c r="Q1580" s="8">
        <v>2025.0</v>
      </c>
      <c r="R1580" s="8" t="s">
        <v>5275</v>
      </c>
    </row>
    <row r="1581">
      <c r="A1581" s="4" t="s">
        <v>18</v>
      </c>
      <c r="B1581" s="2" t="s">
        <v>5318</v>
      </c>
      <c r="C1581" s="10">
        <v>45993.0</v>
      </c>
      <c r="D1581" s="10">
        <v>45993.0</v>
      </c>
      <c r="E1581" s="4" t="s">
        <v>5319</v>
      </c>
      <c r="F1581" s="9"/>
      <c r="G1581" s="6"/>
      <c r="H1581" s="11">
        <v>2444.0</v>
      </c>
      <c r="I1581" s="7" t="s">
        <v>5320</v>
      </c>
      <c r="K1581" s="12" t="str">
        <f t="shared" ref="K1581:K1582" si="205">RIGHT(E1581,6)</f>
        <v>SC3567</v>
      </c>
      <c r="M1581" s="2" t="s">
        <v>24</v>
      </c>
      <c r="N1581" s="2" t="s">
        <v>60</v>
      </c>
      <c r="O1581" s="2">
        <v>1.10751038E8</v>
      </c>
      <c r="P1581" s="15" t="str">
        <f>IFERROR(__xludf.DUMMYFUNCTION("CONCATENATE(B1581,"", "", to_text(D1581),"", "", E1581,"", "", H1581)"),"TSV-11-0437, 02-Dec-2025, UPI/CR/570219722400/Mr MUKES/IDIB/mukeshp/SC3567, 2444")</f>
        <v>TSV-11-0437, 02-Dec-2025, UPI/CR/570219722400/Mr MUKES/IDIB/mukeshp/SC3567, 2444</v>
      </c>
      <c r="Q1581" s="8">
        <v>2025.0</v>
      </c>
      <c r="R1581" s="8" t="s">
        <v>5275</v>
      </c>
    </row>
    <row r="1582">
      <c r="A1582" s="4" t="s">
        <v>18</v>
      </c>
      <c r="B1582" s="2" t="s">
        <v>5321</v>
      </c>
      <c r="C1582" s="10">
        <v>45993.0</v>
      </c>
      <c r="D1582" s="10">
        <v>45993.0</v>
      </c>
      <c r="E1582" s="4" t="s">
        <v>5322</v>
      </c>
      <c r="F1582" s="9"/>
      <c r="G1582" s="6"/>
      <c r="H1582" s="7">
        <v>420.0</v>
      </c>
      <c r="I1582" s="7" t="s">
        <v>5323</v>
      </c>
      <c r="K1582" s="12" t="str">
        <f t="shared" si="205"/>
        <v>KN3817</v>
      </c>
      <c r="L1582" s="21" t="s">
        <v>2519</v>
      </c>
      <c r="M1582" s="2" t="s">
        <v>24</v>
      </c>
      <c r="N1582" s="2" t="s">
        <v>60</v>
      </c>
      <c r="O1582" s="2">
        <v>1.10751038E8</v>
      </c>
      <c r="P1582" s="15"/>
      <c r="Q1582" s="8">
        <v>2025.0</v>
      </c>
      <c r="R1582" s="8" t="s">
        <v>5275</v>
      </c>
    </row>
    <row r="1583">
      <c r="A1583" s="4" t="s">
        <v>18</v>
      </c>
      <c r="B1583" s="2" t="s">
        <v>5324</v>
      </c>
      <c r="C1583" s="10">
        <v>45993.0</v>
      </c>
      <c r="D1583" s="10">
        <v>45993.0</v>
      </c>
      <c r="E1583" s="4" t="s">
        <v>5325</v>
      </c>
      <c r="F1583" s="9"/>
      <c r="G1583" s="6"/>
      <c r="H1583" s="7">
        <v>550.0</v>
      </c>
      <c r="I1583" s="7" t="s">
        <v>5326</v>
      </c>
      <c r="K1583" s="2" t="s">
        <v>539</v>
      </c>
      <c r="M1583" s="2" t="s">
        <v>24</v>
      </c>
      <c r="N1583" s="2" t="s">
        <v>60</v>
      </c>
      <c r="O1583" s="2">
        <v>1.10751038E8</v>
      </c>
      <c r="P1583" s="15" t="str">
        <f>IFERROR(__xludf.DUMMYFUNCTION("CONCATENATE(B1583,"", "", to_text(D1583),"", "", E1583,"", "", H1583)"),"TSV-11-0439, 02-Dec-2025, UPI/CR/115019437888/SARAS HA/ICIC/saras.2/PAY BY, 550")</f>
        <v>TSV-11-0439, 02-Dec-2025, UPI/CR/115019437888/SARAS HA/ICIC/saras.2/PAY BY, 550</v>
      </c>
      <c r="Q1583" s="8">
        <v>2025.0</v>
      </c>
      <c r="R1583" s="8" t="s">
        <v>5275</v>
      </c>
    </row>
    <row r="1584">
      <c r="A1584" s="4" t="s">
        <v>18</v>
      </c>
      <c r="B1584" s="2" t="s">
        <v>5327</v>
      </c>
      <c r="C1584" s="10">
        <v>45993.0</v>
      </c>
      <c r="D1584" s="10">
        <v>45993.0</v>
      </c>
      <c r="E1584" s="4" t="s">
        <v>5328</v>
      </c>
      <c r="F1584" s="9"/>
      <c r="G1584" s="6"/>
      <c r="H1584" s="7">
        <v>280.0</v>
      </c>
      <c r="I1584" s="7" t="s">
        <v>5329</v>
      </c>
      <c r="K1584" s="12" t="str">
        <f t="shared" ref="K1584:K1586" si="206">RIGHT(E1584,6)</f>
        <v>UN3668</v>
      </c>
      <c r="L1584" s="2" t="s">
        <v>5330</v>
      </c>
      <c r="M1584" s="2" t="s">
        <v>24</v>
      </c>
      <c r="N1584" s="2" t="s">
        <v>60</v>
      </c>
      <c r="O1584" s="2">
        <v>1.10751038E8</v>
      </c>
      <c r="P1584" s="15"/>
      <c r="Q1584" s="8">
        <v>2025.0</v>
      </c>
      <c r="R1584" s="8" t="s">
        <v>5275</v>
      </c>
    </row>
    <row r="1585">
      <c r="A1585" s="4" t="s">
        <v>18</v>
      </c>
      <c r="B1585" s="2" t="s">
        <v>5331</v>
      </c>
      <c r="C1585" s="10">
        <v>45993.0</v>
      </c>
      <c r="D1585" s="10">
        <v>45993.0</v>
      </c>
      <c r="E1585" s="4" t="s">
        <v>5332</v>
      </c>
      <c r="F1585" s="9"/>
      <c r="G1585" s="6"/>
      <c r="H1585" s="11">
        <v>2625.0</v>
      </c>
      <c r="I1585" s="7" t="s">
        <v>5333</v>
      </c>
      <c r="K1585" s="12" t="str">
        <f t="shared" si="206"/>
        <v>KN3817</v>
      </c>
      <c r="L1585" s="21" t="s">
        <v>3138</v>
      </c>
      <c r="M1585" s="2" t="s">
        <v>24</v>
      </c>
      <c r="N1585" s="2" t="s">
        <v>60</v>
      </c>
      <c r="O1585" s="2">
        <v>1.10751038E8</v>
      </c>
      <c r="P1585" s="15"/>
      <c r="Q1585" s="8">
        <v>2025.0</v>
      </c>
      <c r="R1585" s="8" t="s">
        <v>5275</v>
      </c>
    </row>
    <row r="1586">
      <c r="A1586" s="4" t="s">
        <v>18</v>
      </c>
      <c r="B1586" s="2" t="s">
        <v>5334</v>
      </c>
      <c r="C1586" s="10">
        <v>45994.0</v>
      </c>
      <c r="D1586" s="10">
        <v>45994.0</v>
      </c>
      <c r="E1586" s="4" t="s">
        <v>5335</v>
      </c>
      <c r="F1586" s="9"/>
      <c r="G1586" s="6"/>
      <c r="H1586" s="11">
        <v>2352.0</v>
      </c>
      <c r="I1586" s="7" t="s">
        <v>5336</v>
      </c>
      <c r="K1586" s="12" t="str">
        <f t="shared" si="206"/>
        <v>UN3668</v>
      </c>
      <c r="L1586" s="2" t="s">
        <v>5337</v>
      </c>
      <c r="M1586" s="2" t="s">
        <v>24</v>
      </c>
      <c r="N1586" s="2" t="s">
        <v>60</v>
      </c>
      <c r="O1586" s="2">
        <v>1.10751038E8</v>
      </c>
      <c r="P1586" s="15"/>
      <c r="Q1586" s="8">
        <v>2025.0</v>
      </c>
      <c r="R1586" s="8" t="s">
        <v>5275</v>
      </c>
    </row>
    <row r="1587">
      <c r="A1587" s="4" t="s">
        <v>18</v>
      </c>
      <c r="B1587" s="2" t="s">
        <v>5338</v>
      </c>
      <c r="C1587" s="10">
        <v>45994.0</v>
      </c>
      <c r="D1587" s="10">
        <v>45994.0</v>
      </c>
      <c r="E1587" s="4" t="s">
        <v>5339</v>
      </c>
      <c r="F1587" s="9"/>
      <c r="G1587" s="7">
        <v>90.0</v>
      </c>
      <c r="H1587" s="6"/>
      <c r="I1587" s="7" t="s">
        <v>5340</v>
      </c>
      <c r="J1587" s="2" t="s">
        <v>5341</v>
      </c>
      <c r="K1587" s="2" t="s">
        <v>123</v>
      </c>
      <c r="M1587" s="2" t="s">
        <v>114</v>
      </c>
      <c r="N1587" s="2" t="s">
        <v>1835</v>
      </c>
      <c r="O1587" s="2">
        <v>1.10751038E8</v>
      </c>
      <c r="Q1587" s="8">
        <v>2025.0</v>
      </c>
      <c r="R1587" s="8" t="s">
        <v>5275</v>
      </c>
    </row>
    <row r="1588">
      <c r="A1588" s="4" t="s">
        <v>18</v>
      </c>
      <c r="B1588" s="2" t="s">
        <v>5342</v>
      </c>
      <c r="C1588" s="10">
        <v>45994.0</v>
      </c>
      <c r="D1588" s="10">
        <v>45994.0</v>
      </c>
      <c r="E1588" s="4" t="s">
        <v>5343</v>
      </c>
      <c r="F1588" s="9"/>
      <c r="G1588" s="6"/>
      <c r="H1588" s="7">
        <v>500.0</v>
      </c>
      <c r="I1588" s="7" t="s">
        <v>5344</v>
      </c>
      <c r="K1588" s="12" t="str">
        <f t="shared" ref="K1588:K1591" si="207">RIGHT(E1588,6)</f>
        <v>KN3817</v>
      </c>
      <c r="L1588" s="21" t="s">
        <v>5053</v>
      </c>
      <c r="M1588" s="2" t="s">
        <v>24</v>
      </c>
      <c r="N1588" s="2" t="s">
        <v>60</v>
      </c>
      <c r="O1588" s="2">
        <v>1.10751038E8</v>
      </c>
      <c r="P1588" s="15"/>
      <c r="Q1588" s="8">
        <v>2025.0</v>
      </c>
      <c r="R1588" s="8" t="s">
        <v>5275</v>
      </c>
    </row>
    <row r="1589">
      <c r="A1589" s="4" t="s">
        <v>18</v>
      </c>
      <c r="B1589" s="2" t="s">
        <v>5345</v>
      </c>
      <c r="C1589" s="10">
        <v>45994.0</v>
      </c>
      <c r="D1589" s="10">
        <v>45994.0</v>
      </c>
      <c r="E1589" s="4" t="s">
        <v>5346</v>
      </c>
      <c r="F1589" s="9"/>
      <c r="G1589" s="6"/>
      <c r="H1589" s="7">
        <v>300.0</v>
      </c>
      <c r="I1589" s="7" t="s">
        <v>5347</v>
      </c>
      <c r="K1589" s="12" t="str">
        <f t="shared" si="207"/>
        <v>KN3817</v>
      </c>
      <c r="L1589" s="21" t="s">
        <v>5348</v>
      </c>
      <c r="M1589" s="2" t="s">
        <v>24</v>
      </c>
      <c r="N1589" s="2" t="s">
        <v>60</v>
      </c>
      <c r="O1589" s="2">
        <v>1.10751038E8</v>
      </c>
      <c r="P1589" s="15"/>
      <c r="Q1589" s="8">
        <v>2025.0</v>
      </c>
      <c r="R1589" s="8" t="s">
        <v>5275</v>
      </c>
    </row>
    <row r="1590">
      <c r="A1590" s="4" t="s">
        <v>18</v>
      </c>
      <c r="B1590" s="2" t="s">
        <v>5349</v>
      </c>
      <c r="C1590" s="10">
        <v>45994.0</v>
      </c>
      <c r="D1590" s="10">
        <v>45994.0</v>
      </c>
      <c r="E1590" s="4" t="s">
        <v>5350</v>
      </c>
      <c r="F1590" s="9"/>
      <c r="G1590" s="6"/>
      <c r="H1590" s="7">
        <v>300.0</v>
      </c>
      <c r="I1590" s="7" t="s">
        <v>5351</v>
      </c>
      <c r="K1590" s="12" t="str">
        <f t="shared" si="207"/>
        <v>KN3817</v>
      </c>
      <c r="L1590" s="21" t="s">
        <v>5352</v>
      </c>
      <c r="M1590" s="2" t="s">
        <v>24</v>
      </c>
      <c r="N1590" s="2" t="s">
        <v>60</v>
      </c>
      <c r="O1590" s="2">
        <v>1.10751038E8</v>
      </c>
      <c r="P1590" s="15"/>
      <c r="Q1590" s="8">
        <v>2025.0</v>
      </c>
      <c r="R1590" s="8" t="s">
        <v>5275</v>
      </c>
    </row>
    <row r="1591">
      <c r="A1591" s="4" t="s">
        <v>18</v>
      </c>
      <c r="B1591" s="2" t="s">
        <v>5353</v>
      </c>
      <c r="C1591" s="10">
        <v>45994.0</v>
      </c>
      <c r="D1591" s="10">
        <v>45994.0</v>
      </c>
      <c r="E1591" s="4" t="s">
        <v>5354</v>
      </c>
      <c r="F1591" s="9"/>
      <c r="G1591" s="6"/>
      <c r="H1591" s="7">
        <v>169.0</v>
      </c>
      <c r="I1591" s="7" t="s">
        <v>5355</v>
      </c>
      <c r="K1591" s="12" t="str">
        <f t="shared" si="207"/>
        <v>SC3567</v>
      </c>
      <c r="M1591" s="2" t="s">
        <v>24</v>
      </c>
      <c r="N1591" s="2" t="s">
        <v>60</v>
      </c>
      <c r="O1591" s="2">
        <v>1.10751038E8</v>
      </c>
      <c r="P1591" s="15" t="str">
        <f>IFERROR(__xludf.DUMMYFUNCTION("CONCATENATE(B1591,"", "", to_text(D1591),"", "", E1591,"", "", H1591)"),"TSV-11-0447, 03-Dec-2025, UPI/CR/533757410286/SUMIT KU/INDB/sumit.k/SC3567, 169")</f>
        <v>TSV-11-0447, 03-Dec-2025, UPI/CR/533757410286/SUMIT KU/INDB/sumit.k/SC3567, 169</v>
      </c>
      <c r="Q1591" s="8">
        <v>2025.0</v>
      </c>
      <c r="R1591" s="8" t="s">
        <v>5275</v>
      </c>
    </row>
    <row r="1592">
      <c r="A1592" s="4" t="s">
        <v>18</v>
      </c>
      <c r="B1592" s="2" t="s">
        <v>5356</v>
      </c>
      <c r="C1592" s="10">
        <v>45994.0</v>
      </c>
      <c r="D1592" s="10">
        <v>45994.0</v>
      </c>
      <c r="E1592" s="4" t="s">
        <v>5357</v>
      </c>
      <c r="F1592" s="9"/>
      <c r="G1592" s="6"/>
      <c r="H1592" s="7">
        <v>400.0</v>
      </c>
      <c r="I1592" s="7" t="s">
        <v>5358</v>
      </c>
      <c r="K1592" s="2" t="s">
        <v>539</v>
      </c>
      <c r="M1592" s="2" t="s">
        <v>24</v>
      </c>
      <c r="N1592" s="2" t="s">
        <v>60</v>
      </c>
      <c r="O1592" s="2">
        <v>1.10751038E8</v>
      </c>
      <c r="P1592" s="15" t="str">
        <f>IFERROR(__xludf.DUMMYFUNCTION("CONCATENATE(B1592,"", "", to_text(D1592),"", "", E1592,"", "", H1592)"),"TSV-11-0448, 03-Dec-2025, UPI/CR/933158943375/NAMRATA /PUNB/namrata/UPI, 400")</f>
        <v>TSV-11-0448, 03-Dec-2025, UPI/CR/933158943375/NAMRATA /PUNB/namrata/UPI, 400</v>
      </c>
      <c r="Q1592" s="8">
        <v>2025.0</v>
      </c>
      <c r="R1592" s="8" t="s">
        <v>5275</v>
      </c>
    </row>
    <row r="1593">
      <c r="A1593" s="4" t="s">
        <v>18</v>
      </c>
      <c r="B1593" s="2" t="s">
        <v>5359</v>
      </c>
      <c r="C1593" s="10">
        <v>45994.0</v>
      </c>
      <c r="D1593" s="10">
        <v>45994.0</v>
      </c>
      <c r="E1593" s="4" t="s">
        <v>5360</v>
      </c>
      <c r="F1593" s="9"/>
      <c r="G1593" s="6"/>
      <c r="H1593" s="7">
        <v>527.0</v>
      </c>
      <c r="I1593" s="7" t="s">
        <v>5361</v>
      </c>
      <c r="K1593" s="12" t="str">
        <f t="shared" ref="K1593:K1604" si="208">RIGHT(E1593,6)</f>
        <v>UN3668</v>
      </c>
      <c r="L1593" s="2" t="s">
        <v>5362</v>
      </c>
      <c r="M1593" s="2" t="s">
        <v>24</v>
      </c>
      <c r="N1593" s="2" t="s">
        <v>60</v>
      </c>
      <c r="O1593" s="2">
        <v>1.10751038E8</v>
      </c>
      <c r="P1593" s="15"/>
      <c r="Q1593" s="8">
        <v>2025.0</v>
      </c>
      <c r="R1593" s="8" t="s">
        <v>5275</v>
      </c>
    </row>
    <row r="1594">
      <c r="A1594" s="4" t="s">
        <v>18</v>
      </c>
      <c r="B1594" s="2" t="s">
        <v>5363</v>
      </c>
      <c r="C1594" s="10">
        <v>45994.0</v>
      </c>
      <c r="D1594" s="10">
        <v>45994.0</v>
      </c>
      <c r="E1594" s="4" t="s">
        <v>5364</v>
      </c>
      <c r="F1594" s="9"/>
      <c r="G1594" s="6"/>
      <c r="H1594" s="7">
        <v>450.0</v>
      </c>
      <c r="I1594" s="7" t="s">
        <v>5365</v>
      </c>
      <c r="K1594" s="12" t="str">
        <f t="shared" si="208"/>
        <v>SC3567</v>
      </c>
      <c r="M1594" s="2" t="s">
        <v>24</v>
      </c>
      <c r="N1594" s="2" t="s">
        <v>60</v>
      </c>
      <c r="O1594" s="2">
        <v>1.10751038E8</v>
      </c>
      <c r="P1594" s="15" t="str">
        <f>IFERROR(__xludf.DUMMYFUNCTION("CONCATENATE(B1594,"", "", to_text(D1594),"", "", E1594,"", "", H1594)"),"TSV-11-0450, 03-Dec-2025, UPI/CR/570397300572/KIRAN ME/INDB/ashokir/SC3567, 450")</f>
        <v>TSV-11-0450, 03-Dec-2025, UPI/CR/570397300572/KIRAN ME/INDB/ashokir/SC3567, 450</v>
      </c>
      <c r="Q1594" s="8">
        <v>2025.0</v>
      </c>
      <c r="R1594" s="8" t="s">
        <v>5275</v>
      </c>
    </row>
    <row r="1595">
      <c r="A1595" s="4" t="s">
        <v>18</v>
      </c>
      <c r="B1595" s="2" t="s">
        <v>5366</v>
      </c>
      <c r="C1595" s="10">
        <v>45994.0</v>
      </c>
      <c r="D1595" s="10">
        <v>45994.0</v>
      </c>
      <c r="E1595" s="4" t="s">
        <v>5367</v>
      </c>
      <c r="F1595" s="9"/>
      <c r="G1595" s="6"/>
      <c r="H1595" s="7">
        <v>299.0</v>
      </c>
      <c r="I1595" s="7" t="s">
        <v>5368</v>
      </c>
      <c r="K1595" s="12" t="str">
        <f t="shared" si="208"/>
        <v>SC3567</v>
      </c>
      <c r="M1595" s="2" t="s">
        <v>24</v>
      </c>
      <c r="N1595" s="2" t="s">
        <v>60</v>
      </c>
      <c r="O1595" s="2">
        <v>1.10751038E8</v>
      </c>
      <c r="P1595" s="15" t="str">
        <f>IFERROR(__xludf.DUMMYFUNCTION("CONCATENATE(B1595,"", "", to_text(D1595),"", "", E1595,"", "", H1595)"),"TSV-11-0451, 03-Dec-2025, UPI/CR/243979915732/AMIT KUM/UTIB/9213670/SC3567, 299")</f>
        <v>TSV-11-0451, 03-Dec-2025, UPI/CR/243979915732/AMIT KUM/UTIB/9213670/SC3567, 299</v>
      </c>
      <c r="Q1595" s="8">
        <v>2025.0</v>
      </c>
      <c r="R1595" s="8" t="s">
        <v>5275</v>
      </c>
    </row>
    <row r="1596">
      <c r="A1596" s="4" t="s">
        <v>18</v>
      </c>
      <c r="B1596" s="2" t="s">
        <v>5369</v>
      </c>
      <c r="C1596" s="10">
        <v>45994.0</v>
      </c>
      <c r="D1596" s="10">
        <v>45994.0</v>
      </c>
      <c r="E1596" s="4" t="s">
        <v>5370</v>
      </c>
      <c r="F1596" s="9"/>
      <c r="G1596" s="6"/>
      <c r="H1596" s="7">
        <v>348.0</v>
      </c>
      <c r="I1596" s="7" t="s">
        <v>5371</v>
      </c>
      <c r="K1596" s="12" t="str">
        <f t="shared" si="208"/>
        <v>SC3567</v>
      </c>
      <c r="M1596" s="2" t="s">
        <v>24</v>
      </c>
      <c r="N1596" s="2" t="s">
        <v>60</v>
      </c>
      <c r="O1596" s="2">
        <v>1.10751038E8</v>
      </c>
      <c r="P1596" s="15" t="str">
        <f>IFERROR(__xludf.DUMMYFUNCTION("CONCATENATE(B1596,"", "", to_text(D1596),"", "", E1596,"", "", H1596)"),"TSV-11-0452, 03-Dec-2025, UPI/CR/556924583264/SUNIL VI/HDFC/9004993/SC3567, 348")</f>
        <v>TSV-11-0452, 03-Dec-2025, UPI/CR/556924583264/SUNIL VI/HDFC/9004993/SC3567, 348</v>
      </c>
      <c r="Q1596" s="8">
        <v>2025.0</v>
      </c>
      <c r="R1596" s="8" t="s">
        <v>5275</v>
      </c>
    </row>
    <row r="1597">
      <c r="A1597" s="4" t="s">
        <v>18</v>
      </c>
      <c r="B1597" s="2" t="s">
        <v>5372</v>
      </c>
      <c r="C1597" s="10">
        <v>45994.0</v>
      </c>
      <c r="D1597" s="10">
        <v>45994.0</v>
      </c>
      <c r="E1597" s="4" t="s">
        <v>5373</v>
      </c>
      <c r="F1597" s="9"/>
      <c r="G1597" s="6"/>
      <c r="H1597" s="7">
        <v>900.0</v>
      </c>
      <c r="I1597" s="7" t="s">
        <v>5374</v>
      </c>
      <c r="K1597" s="12" t="str">
        <f t="shared" si="208"/>
        <v>KN3817</v>
      </c>
      <c r="L1597" s="21" t="s">
        <v>5375</v>
      </c>
      <c r="M1597" s="2" t="s">
        <v>24</v>
      </c>
      <c r="N1597" s="2" t="s">
        <v>60</v>
      </c>
      <c r="O1597" s="2">
        <v>1.10751038E8</v>
      </c>
      <c r="P1597" s="15"/>
      <c r="Q1597" s="8">
        <v>2025.0</v>
      </c>
      <c r="R1597" s="8" t="s">
        <v>5275</v>
      </c>
    </row>
    <row r="1598">
      <c r="A1598" s="4" t="s">
        <v>18</v>
      </c>
      <c r="B1598" s="2" t="s">
        <v>5376</v>
      </c>
      <c r="C1598" s="10">
        <v>45994.0</v>
      </c>
      <c r="D1598" s="10">
        <v>45994.0</v>
      </c>
      <c r="E1598" s="4" t="s">
        <v>5377</v>
      </c>
      <c r="F1598" s="9"/>
      <c r="G1598" s="6"/>
      <c r="H1598" s="7">
        <v>120.0</v>
      </c>
      <c r="I1598" s="7" t="s">
        <v>5378</v>
      </c>
      <c r="K1598" s="12" t="str">
        <f t="shared" si="208"/>
        <v>KN3817</v>
      </c>
      <c r="L1598" s="21" t="s">
        <v>2613</v>
      </c>
      <c r="M1598" s="2" t="s">
        <v>24</v>
      </c>
      <c r="N1598" s="2" t="s">
        <v>60</v>
      </c>
      <c r="O1598" s="2">
        <v>1.10751038E8</v>
      </c>
      <c r="P1598" s="15"/>
      <c r="Q1598" s="8">
        <v>2025.0</v>
      </c>
      <c r="R1598" s="8" t="s">
        <v>5275</v>
      </c>
    </row>
    <row r="1599">
      <c r="A1599" s="4" t="s">
        <v>18</v>
      </c>
      <c r="B1599" s="2" t="s">
        <v>5379</v>
      </c>
      <c r="C1599" s="10">
        <v>45994.0</v>
      </c>
      <c r="D1599" s="10">
        <v>45994.0</v>
      </c>
      <c r="E1599" s="4" t="s">
        <v>5380</v>
      </c>
      <c r="F1599" s="9"/>
      <c r="G1599" s="6"/>
      <c r="H1599" s="7">
        <v>30.0</v>
      </c>
      <c r="I1599" s="7" t="s">
        <v>5381</v>
      </c>
      <c r="K1599" s="12" t="str">
        <f t="shared" si="208"/>
        <v>KN3817</v>
      </c>
      <c r="L1599" s="21" t="s">
        <v>2613</v>
      </c>
      <c r="M1599" s="2" t="s">
        <v>24</v>
      </c>
      <c r="N1599" s="2" t="s">
        <v>60</v>
      </c>
      <c r="O1599" s="2">
        <v>1.10751038E8</v>
      </c>
      <c r="P1599" s="15"/>
      <c r="Q1599" s="8">
        <v>2025.0</v>
      </c>
      <c r="R1599" s="8" t="s">
        <v>5275</v>
      </c>
    </row>
    <row r="1600">
      <c r="A1600" s="4" t="s">
        <v>18</v>
      </c>
      <c r="B1600" s="2" t="s">
        <v>5382</v>
      </c>
      <c r="C1600" s="10">
        <v>45994.0</v>
      </c>
      <c r="D1600" s="10">
        <v>45994.0</v>
      </c>
      <c r="E1600" s="4" t="s">
        <v>5383</v>
      </c>
      <c r="F1600" s="9"/>
      <c r="G1600" s="6"/>
      <c r="H1600" s="7">
        <v>278.0</v>
      </c>
      <c r="I1600" s="7" t="s">
        <v>5384</v>
      </c>
      <c r="K1600" s="12" t="str">
        <f t="shared" si="208"/>
        <v>UN3668</v>
      </c>
      <c r="L1600" s="2" t="s">
        <v>5385</v>
      </c>
      <c r="M1600" s="2" t="s">
        <v>24</v>
      </c>
      <c r="N1600" s="2" t="s">
        <v>60</v>
      </c>
      <c r="O1600" s="2">
        <v>1.10751038E8</v>
      </c>
      <c r="P1600" s="15"/>
      <c r="Q1600" s="8">
        <v>2025.0</v>
      </c>
      <c r="R1600" s="8" t="s">
        <v>5275</v>
      </c>
    </row>
    <row r="1601">
      <c r="A1601" s="4" t="s">
        <v>18</v>
      </c>
      <c r="B1601" s="2" t="s">
        <v>5386</v>
      </c>
      <c r="C1601" s="10">
        <v>45994.0</v>
      </c>
      <c r="D1601" s="10">
        <v>45994.0</v>
      </c>
      <c r="E1601" s="4" t="s">
        <v>5387</v>
      </c>
      <c r="F1601" s="9"/>
      <c r="G1601" s="6"/>
      <c r="H1601" s="7">
        <v>249.0</v>
      </c>
      <c r="I1601" s="7" t="s">
        <v>5388</v>
      </c>
      <c r="K1601" s="12" t="str">
        <f t="shared" si="208"/>
        <v>SL1610</v>
      </c>
      <c r="L1601" s="2" t="s">
        <v>5389</v>
      </c>
      <c r="M1601" s="2" t="s">
        <v>24</v>
      </c>
      <c r="N1601" s="2" t="s">
        <v>60</v>
      </c>
      <c r="O1601" s="2">
        <v>1.10751038E8</v>
      </c>
      <c r="P1601" s="15"/>
      <c r="Q1601" s="8">
        <v>2025.0</v>
      </c>
      <c r="R1601" s="8" t="s">
        <v>5275</v>
      </c>
    </row>
    <row r="1602">
      <c r="A1602" s="4" t="s">
        <v>18</v>
      </c>
      <c r="B1602" s="2" t="s">
        <v>5390</v>
      </c>
      <c r="C1602" s="10">
        <v>45994.0</v>
      </c>
      <c r="D1602" s="10">
        <v>45994.0</v>
      </c>
      <c r="E1602" s="4" t="s">
        <v>5391</v>
      </c>
      <c r="F1602" s="9"/>
      <c r="G1602" s="6"/>
      <c r="H1602" s="7">
        <v>615.0</v>
      </c>
      <c r="I1602" s="7" t="s">
        <v>5392</v>
      </c>
      <c r="K1602" s="12" t="str">
        <f t="shared" si="208"/>
        <v>UN3668</v>
      </c>
      <c r="L1602" s="2" t="s">
        <v>5393</v>
      </c>
      <c r="M1602" s="2" t="s">
        <v>24</v>
      </c>
      <c r="N1602" s="2" t="s">
        <v>60</v>
      </c>
      <c r="O1602" s="2">
        <v>1.10751038E8</v>
      </c>
      <c r="P1602" s="15"/>
      <c r="Q1602" s="8">
        <v>2025.0</v>
      </c>
      <c r="R1602" s="8" t="s">
        <v>5275</v>
      </c>
    </row>
    <row r="1603">
      <c r="A1603" s="4" t="s">
        <v>18</v>
      </c>
      <c r="B1603" s="2" t="s">
        <v>5394</v>
      </c>
      <c r="C1603" s="10">
        <v>45994.0</v>
      </c>
      <c r="D1603" s="10">
        <v>45994.0</v>
      </c>
      <c r="E1603" s="4" t="s">
        <v>5395</v>
      </c>
      <c r="F1603" s="9"/>
      <c r="G1603" s="6"/>
      <c r="H1603" s="7">
        <v>113.0</v>
      </c>
      <c r="I1603" s="7" t="s">
        <v>5396</v>
      </c>
      <c r="K1603" s="12" t="str">
        <f t="shared" si="208"/>
        <v>UN3668</v>
      </c>
      <c r="L1603" s="2" t="s">
        <v>5397</v>
      </c>
      <c r="M1603" s="2" t="s">
        <v>24</v>
      </c>
      <c r="N1603" s="2" t="s">
        <v>60</v>
      </c>
      <c r="O1603" s="2">
        <v>1.10751038E8</v>
      </c>
      <c r="P1603" s="15"/>
      <c r="Q1603" s="8">
        <v>2025.0</v>
      </c>
      <c r="R1603" s="8" t="s">
        <v>5275</v>
      </c>
    </row>
    <row r="1604">
      <c r="A1604" s="4" t="s">
        <v>18</v>
      </c>
      <c r="B1604" s="2" t="s">
        <v>5398</v>
      </c>
      <c r="C1604" s="10">
        <v>45994.0</v>
      </c>
      <c r="D1604" s="10">
        <v>45994.0</v>
      </c>
      <c r="E1604" s="4" t="s">
        <v>5399</v>
      </c>
      <c r="F1604" s="9"/>
      <c r="G1604" s="6"/>
      <c r="H1604" s="7">
        <v>432.0</v>
      </c>
      <c r="I1604" s="7" t="s">
        <v>5400</v>
      </c>
      <c r="K1604" s="12" t="str">
        <f t="shared" si="208"/>
        <v>UN3668</v>
      </c>
      <c r="L1604" s="2" t="s">
        <v>5401</v>
      </c>
      <c r="M1604" s="2" t="s">
        <v>24</v>
      </c>
      <c r="N1604" s="2" t="s">
        <v>60</v>
      </c>
      <c r="O1604" s="2">
        <v>1.10751038E8</v>
      </c>
      <c r="P1604" s="15"/>
      <c r="Q1604" s="8">
        <v>2025.0</v>
      </c>
      <c r="R1604" s="8" t="s">
        <v>5275</v>
      </c>
    </row>
    <row r="1605">
      <c r="A1605" s="4" t="s">
        <v>18</v>
      </c>
      <c r="B1605" s="2" t="s">
        <v>5402</v>
      </c>
      <c r="C1605" s="10">
        <v>45994.0</v>
      </c>
      <c r="D1605" s="10">
        <v>45994.0</v>
      </c>
      <c r="E1605" s="4" t="s">
        <v>5403</v>
      </c>
      <c r="F1605" s="9"/>
      <c r="G1605" s="7">
        <v>152.0</v>
      </c>
      <c r="H1605" s="6"/>
      <c r="I1605" s="7" t="s">
        <v>5404</v>
      </c>
      <c r="K1605" s="2" t="s">
        <v>123</v>
      </c>
      <c r="M1605" s="2" t="s">
        <v>114</v>
      </c>
      <c r="N1605" s="2" t="s">
        <v>1835</v>
      </c>
      <c r="O1605" s="2">
        <v>1.10751038E8</v>
      </c>
      <c r="Q1605" s="8">
        <v>2025.0</v>
      </c>
      <c r="R1605" s="8" t="s">
        <v>5275</v>
      </c>
    </row>
    <row r="1606">
      <c r="A1606" s="4" t="s">
        <v>18</v>
      </c>
      <c r="B1606" s="2" t="s">
        <v>5405</v>
      </c>
      <c r="C1606" s="10">
        <v>45994.0</v>
      </c>
      <c r="D1606" s="10">
        <v>45994.0</v>
      </c>
      <c r="E1606" s="4" t="s">
        <v>5406</v>
      </c>
      <c r="F1606" s="9"/>
      <c r="G1606" s="6"/>
      <c r="H1606" s="7">
        <v>635.0</v>
      </c>
      <c r="I1606" s="7" t="s">
        <v>5407</v>
      </c>
      <c r="K1606" s="12" t="str">
        <f t="shared" ref="K1606:K1614" si="209">RIGHT(E1606,6)</f>
        <v>SC3567</v>
      </c>
      <c r="M1606" s="2" t="s">
        <v>24</v>
      </c>
      <c r="N1606" s="2" t="s">
        <v>60</v>
      </c>
      <c r="O1606" s="2">
        <v>1.10751038E8</v>
      </c>
      <c r="P1606" s="15" t="str">
        <f>IFERROR(__xludf.DUMMYFUNCTION("CONCATENATE(B1606,"", "", to_text(D1606),"", "", E1606,"", "", H1606)"),"TSV-11-0462, 03-Dec-2025, UPI/CR/996090053375/ABHISHEK/UTIB/8949775/SC3567, 635")</f>
        <v>TSV-11-0462, 03-Dec-2025, UPI/CR/996090053375/ABHISHEK/UTIB/8949775/SC3567, 635</v>
      </c>
      <c r="Q1606" s="8">
        <v>2025.0</v>
      </c>
      <c r="R1606" s="8" t="s">
        <v>5275</v>
      </c>
    </row>
    <row r="1607">
      <c r="A1607" s="4" t="s">
        <v>18</v>
      </c>
      <c r="B1607" s="2" t="s">
        <v>5408</v>
      </c>
      <c r="C1607" s="10">
        <v>45995.0</v>
      </c>
      <c r="D1607" s="10">
        <v>45995.0</v>
      </c>
      <c r="E1607" s="4" t="s">
        <v>5409</v>
      </c>
      <c r="F1607" s="9"/>
      <c r="G1607" s="6"/>
      <c r="H1607" s="7">
        <v>216.0</v>
      </c>
      <c r="I1607" s="7" t="s">
        <v>5410</v>
      </c>
      <c r="K1607" s="12" t="str">
        <f t="shared" si="209"/>
        <v>KN3817</v>
      </c>
      <c r="L1607" s="2" t="s">
        <v>3342</v>
      </c>
      <c r="M1607" s="2" t="s">
        <v>24</v>
      </c>
      <c r="N1607" s="2" t="s">
        <v>60</v>
      </c>
      <c r="O1607" s="2">
        <v>1.10751038E8</v>
      </c>
      <c r="P1607" s="15"/>
      <c r="Q1607" s="8">
        <v>2025.0</v>
      </c>
      <c r="R1607" s="8" t="s">
        <v>5275</v>
      </c>
    </row>
    <row r="1608">
      <c r="A1608" s="4" t="s">
        <v>18</v>
      </c>
      <c r="B1608" s="2" t="s">
        <v>5411</v>
      </c>
      <c r="C1608" s="10">
        <v>45995.0</v>
      </c>
      <c r="D1608" s="10">
        <v>45995.0</v>
      </c>
      <c r="E1608" s="4" t="s">
        <v>5412</v>
      </c>
      <c r="F1608" s="9"/>
      <c r="G1608" s="6"/>
      <c r="H1608" s="7">
        <v>696.0</v>
      </c>
      <c r="I1608" s="7" t="s">
        <v>5413</v>
      </c>
      <c r="K1608" s="12" t="str">
        <f t="shared" si="209"/>
        <v>SL1610</v>
      </c>
      <c r="L1608" s="2" t="s">
        <v>5414</v>
      </c>
      <c r="M1608" s="2" t="s">
        <v>24</v>
      </c>
      <c r="N1608" s="2" t="s">
        <v>60</v>
      </c>
      <c r="O1608" s="2">
        <v>1.10751038E8</v>
      </c>
      <c r="P1608" s="15"/>
      <c r="Q1608" s="8">
        <v>2025.0</v>
      </c>
      <c r="R1608" s="8" t="s">
        <v>5275</v>
      </c>
    </row>
    <row r="1609">
      <c r="A1609" s="4" t="s">
        <v>18</v>
      </c>
      <c r="B1609" s="2" t="s">
        <v>5415</v>
      </c>
      <c r="C1609" s="10">
        <v>45995.0</v>
      </c>
      <c r="D1609" s="10">
        <v>45995.0</v>
      </c>
      <c r="E1609" s="4" t="s">
        <v>5416</v>
      </c>
      <c r="F1609" s="9"/>
      <c r="G1609" s="6"/>
      <c r="H1609" s="11">
        <v>1410.0</v>
      </c>
      <c r="I1609" s="7" t="s">
        <v>5417</v>
      </c>
      <c r="K1609" s="12" t="str">
        <f t="shared" si="209"/>
        <v>UN3668</v>
      </c>
      <c r="L1609" s="2" t="s">
        <v>5418</v>
      </c>
      <c r="M1609" s="2" t="s">
        <v>24</v>
      </c>
      <c r="N1609" s="2" t="s">
        <v>60</v>
      </c>
      <c r="O1609" s="2">
        <v>1.10751038E8</v>
      </c>
      <c r="P1609" s="15"/>
      <c r="Q1609" s="8">
        <v>2025.0</v>
      </c>
      <c r="R1609" s="8" t="s">
        <v>5275</v>
      </c>
    </row>
    <row r="1610">
      <c r="A1610" s="4" t="s">
        <v>18</v>
      </c>
      <c r="B1610" s="2" t="s">
        <v>5419</v>
      </c>
      <c r="C1610" s="10">
        <v>45995.0</v>
      </c>
      <c r="D1610" s="10">
        <v>45995.0</v>
      </c>
      <c r="E1610" s="4" t="s">
        <v>5420</v>
      </c>
      <c r="F1610" s="9"/>
      <c r="G1610" s="6"/>
      <c r="H1610" s="7">
        <v>676.0</v>
      </c>
      <c r="I1610" s="7" t="s">
        <v>5421</v>
      </c>
      <c r="K1610" s="12" t="str">
        <f t="shared" si="209"/>
        <v>UN3668</v>
      </c>
      <c r="L1610" s="2" t="s">
        <v>5422</v>
      </c>
      <c r="M1610" s="2" t="s">
        <v>24</v>
      </c>
      <c r="N1610" s="2" t="s">
        <v>60</v>
      </c>
      <c r="O1610" s="2">
        <v>1.10751038E8</v>
      </c>
      <c r="P1610" s="15"/>
      <c r="Q1610" s="8">
        <v>2025.0</v>
      </c>
      <c r="R1610" s="8" t="s">
        <v>5275</v>
      </c>
    </row>
    <row r="1611">
      <c r="A1611" s="4" t="s">
        <v>18</v>
      </c>
      <c r="B1611" s="2" t="s">
        <v>5423</v>
      </c>
      <c r="C1611" s="10">
        <v>45995.0</v>
      </c>
      <c r="D1611" s="10">
        <v>45995.0</v>
      </c>
      <c r="E1611" s="4" t="s">
        <v>5424</v>
      </c>
      <c r="F1611" s="9"/>
      <c r="G1611" s="6"/>
      <c r="H1611" s="7">
        <v>445.0</v>
      </c>
      <c r="I1611" s="7" t="s">
        <v>5425</v>
      </c>
      <c r="K1611" s="12" t="str">
        <f t="shared" si="209"/>
        <v>UN3668</v>
      </c>
      <c r="L1611" s="2" t="s">
        <v>5426</v>
      </c>
      <c r="M1611" s="2" t="s">
        <v>24</v>
      </c>
      <c r="N1611" s="2" t="s">
        <v>60</v>
      </c>
      <c r="O1611" s="2">
        <v>1.10751038E8</v>
      </c>
      <c r="P1611" s="15"/>
      <c r="Q1611" s="8">
        <v>2025.0</v>
      </c>
      <c r="R1611" s="8" t="s">
        <v>5275</v>
      </c>
    </row>
    <row r="1612">
      <c r="A1612" s="4" t="s">
        <v>18</v>
      </c>
      <c r="B1612" s="2" t="s">
        <v>5427</v>
      </c>
      <c r="C1612" s="10">
        <v>45995.0</v>
      </c>
      <c r="D1612" s="10">
        <v>45995.0</v>
      </c>
      <c r="E1612" s="4" t="s">
        <v>5428</v>
      </c>
      <c r="F1612" s="9"/>
      <c r="G1612" s="6"/>
      <c r="H1612" s="7">
        <v>282.0</v>
      </c>
      <c r="I1612" s="7" t="s">
        <v>5429</v>
      </c>
      <c r="K1612" s="12" t="str">
        <f t="shared" si="209"/>
        <v>SC3567</v>
      </c>
      <c r="M1612" s="2" t="s">
        <v>24</v>
      </c>
      <c r="N1612" s="2" t="s">
        <v>60</v>
      </c>
      <c r="O1612" s="2">
        <v>1.10751038E8</v>
      </c>
      <c r="P1612" s="15" t="str">
        <f>IFERROR(__xludf.DUMMYFUNCTION("CONCATENATE(B1612,"", "", to_text(D1612),"", "", E1612,"", "", H1612)"),"TSV-11-0468, 04-Dec-2025, UPI/CR/393264186080/SHIVEN A/KKBK/9999819/SC3567, 282")</f>
        <v>TSV-11-0468, 04-Dec-2025, UPI/CR/393264186080/SHIVEN A/KKBK/9999819/SC3567, 282</v>
      </c>
      <c r="Q1612" s="8">
        <v>2025.0</v>
      </c>
      <c r="R1612" s="8" t="s">
        <v>5275</v>
      </c>
    </row>
    <row r="1613">
      <c r="A1613" s="4" t="s">
        <v>18</v>
      </c>
      <c r="B1613" s="2" t="s">
        <v>5430</v>
      </c>
      <c r="C1613" s="10">
        <v>45995.0</v>
      </c>
      <c r="D1613" s="10">
        <v>45995.0</v>
      </c>
      <c r="E1613" s="4" t="s">
        <v>5431</v>
      </c>
      <c r="F1613" s="9"/>
      <c r="G1613" s="6"/>
      <c r="H1613" s="7">
        <v>495.0</v>
      </c>
      <c r="I1613" s="7" t="s">
        <v>5432</v>
      </c>
      <c r="K1613" s="12" t="str">
        <f t="shared" si="209"/>
        <v>KN3817</v>
      </c>
      <c r="L1613" s="2" t="s">
        <v>5433</v>
      </c>
      <c r="M1613" s="2" t="s">
        <v>24</v>
      </c>
      <c r="N1613" s="2" t="s">
        <v>60</v>
      </c>
      <c r="O1613" s="2">
        <v>1.10751038E8</v>
      </c>
      <c r="P1613" s="15"/>
      <c r="Q1613" s="8">
        <v>2025.0</v>
      </c>
      <c r="R1613" s="8" t="s">
        <v>5275</v>
      </c>
    </row>
    <row r="1614">
      <c r="A1614" s="4" t="s">
        <v>18</v>
      </c>
      <c r="B1614" s="2" t="s">
        <v>5434</v>
      </c>
      <c r="C1614" s="10">
        <v>45995.0</v>
      </c>
      <c r="D1614" s="10">
        <v>45995.0</v>
      </c>
      <c r="E1614" s="4" t="s">
        <v>5435</v>
      </c>
      <c r="F1614" s="9"/>
      <c r="G1614" s="6"/>
      <c r="H1614" s="11">
        <v>1242.0</v>
      </c>
      <c r="I1614" s="7" t="s">
        <v>5436</v>
      </c>
      <c r="K1614" s="12" t="str">
        <f t="shared" si="209"/>
        <v>SC3567</v>
      </c>
      <c r="M1614" s="2" t="s">
        <v>24</v>
      </c>
      <c r="N1614" s="2" t="s">
        <v>60</v>
      </c>
      <c r="O1614" s="2">
        <v>1.10751038E8</v>
      </c>
      <c r="P1614" s="15" t="str">
        <f>IFERROR(__xludf.DUMMYFUNCTION("CONCATENATE(B1614,"", "", to_text(D1614),"", "", E1614,"", "", H1614)"),"TSV-11-0470, 04-Dec-2025, UPI/CR/533848608135/SAPNA M/SBIN/maithan/SC3567, 1242")</f>
        <v>TSV-11-0470, 04-Dec-2025, UPI/CR/533848608135/SAPNA M/SBIN/maithan/SC3567, 1242</v>
      </c>
      <c r="Q1614" s="8">
        <v>2025.0</v>
      </c>
      <c r="R1614" s="8" t="s">
        <v>5275</v>
      </c>
    </row>
    <row r="1615">
      <c r="A1615" s="4" t="s">
        <v>18</v>
      </c>
      <c r="B1615" s="2" t="s">
        <v>5437</v>
      </c>
      <c r="C1615" s="10">
        <v>45995.0</v>
      </c>
      <c r="D1615" s="10">
        <v>45995.0</v>
      </c>
      <c r="E1615" s="4" t="s">
        <v>5438</v>
      </c>
      <c r="F1615" s="9"/>
      <c r="G1615" s="11">
        <v>3000.0</v>
      </c>
      <c r="H1615" s="6"/>
      <c r="I1615" s="7" t="s">
        <v>5439</v>
      </c>
      <c r="K1615" s="2" t="s">
        <v>23</v>
      </c>
      <c r="M1615" s="2" t="s">
        <v>114</v>
      </c>
      <c r="N1615" s="2" t="s">
        <v>1835</v>
      </c>
      <c r="O1615" s="2">
        <v>1.10751038E8</v>
      </c>
      <c r="Q1615" s="8">
        <v>2025.0</v>
      </c>
      <c r="R1615" s="8" t="s">
        <v>5275</v>
      </c>
    </row>
    <row r="1616">
      <c r="A1616" s="4" t="s">
        <v>18</v>
      </c>
      <c r="B1616" s="2" t="s">
        <v>5440</v>
      </c>
      <c r="C1616" s="10">
        <v>45995.0</v>
      </c>
      <c r="D1616" s="10">
        <v>45995.0</v>
      </c>
      <c r="E1616" s="4" t="s">
        <v>5441</v>
      </c>
      <c r="F1616" s="9"/>
      <c r="G1616" s="7">
        <v>140.0</v>
      </c>
      <c r="H1616" s="6"/>
      <c r="I1616" s="7" t="s">
        <v>5417</v>
      </c>
      <c r="K1616" s="2" t="s">
        <v>113</v>
      </c>
      <c r="M1616" s="2" t="s">
        <v>114</v>
      </c>
      <c r="N1616" s="2" t="s">
        <v>1835</v>
      </c>
      <c r="O1616" s="2">
        <v>1.10751038E8</v>
      </c>
      <c r="Q1616" s="8">
        <v>2025.0</v>
      </c>
      <c r="R1616" s="8" t="s">
        <v>5275</v>
      </c>
    </row>
    <row r="1617">
      <c r="A1617" s="4" t="s">
        <v>18</v>
      </c>
      <c r="B1617" s="2" t="s">
        <v>5442</v>
      </c>
      <c r="C1617" s="10">
        <v>45995.0</v>
      </c>
      <c r="D1617" s="10">
        <v>45995.0</v>
      </c>
      <c r="E1617" s="4" t="s">
        <v>5443</v>
      </c>
      <c r="F1617" s="9"/>
      <c r="G1617" s="6"/>
      <c r="H1617" s="7">
        <v>376.0</v>
      </c>
      <c r="I1617" s="7" t="s">
        <v>5444</v>
      </c>
      <c r="K1617" s="12" t="str">
        <f>RIGHT(E1617,6)</f>
        <v>UN3668</v>
      </c>
      <c r="L1617" s="2" t="s">
        <v>5445</v>
      </c>
      <c r="M1617" s="2" t="s">
        <v>24</v>
      </c>
      <c r="N1617" s="2" t="s">
        <v>60</v>
      </c>
      <c r="O1617" s="2">
        <v>1.10751038E8</v>
      </c>
      <c r="P1617" s="15"/>
      <c r="Q1617" s="8">
        <v>2025.0</v>
      </c>
      <c r="R1617" s="8" t="s">
        <v>5275</v>
      </c>
    </row>
    <row r="1618">
      <c r="A1618" s="4" t="s">
        <v>18</v>
      </c>
      <c r="B1618" s="2" t="s">
        <v>5446</v>
      </c>
      <c r="C1618" s="10">
        <v>45995.0</v>
      </c>
      <c r="D1618" s="10">
        <v>45995.0</v>
      </c>
      <c r="E1618" s="4" t="s">
        <v>5447</v>
      </c>
      <c r="F1618" s="9"/>
      <c r="G1618" s="7">
        <v>250.0</v>
      </c>
      <c r="H1618" s="6"/>
      <c r="I1618" s="7" t="s">
        <v>5448</v>
      </c>
      <c r="K1618" s="2" t="s">
        <v>113</v>
      </c>
      <c r="M1618" s="2" t="s">
        <v>114</v>
      </c>
      <c r="N1618" s="2" t="s">
        <v>1835</v>
      </c>
      <c r="O1618" s="2">
        <v>1.10751038E8</v>
      </c>
      <c r="Q1618" s="8">
        <v>2025.0</v>
      </c>
      <c r="R1618" s="8" t="s">
        <v>5275</v>
      </c>
    </row>
    <row r="1619">
      <c r="A1619" s="4" t="s">
        <v>18</v>
      </c>
      <c r="B1619" s="2" t="s">
        <v>5449</v>
      </c>
      <c r="C1619" s="10">
        <v>45996.0</v>
      </c>
      <c r="D1619" s="10">
        <v>45996.0</v>
      </c>
      <c r="E1619" s="4" t="s">
        <v>5450</v>
      </c>
      <c r="F1619" s="9"/>
      <c r="G1619" s="6"/>
      <c r="H1619" s="7">
        <v>350.0</v>
      </c>
      <c r="I1619" s="7" t="s">
        <v>5451</v>
      </c>
      <c r="K1619" s="12" t="str">
        <f t="shared" ref="K1619:K1621" si="210">RIGHT(E1619,6)</f>
        <v>KN3817</v>
      </c>
      <c r="M1619" s="2" t="s">
        <v>24</v>
      </c>
      <c r="N1619" s="2" t="s">
        <v>60</v>
      </c>
      <c r="O1619" s="2">
        <v>1.10751038E8</v>
      </c>
      <c r="P1619" s="15" t="str">
        <f>IFERROR(__xludf.DUMMYFUNCTION("CONCATENATE(B1619,"", "", to_text(D1619),"", "", E1619,"", "", H1619)"),"TSV-11-0475, 05-Dec-2025, UPI/CR/325061981016/AHAANA M/IBKL/9810240/KN3817, 350")</f>
        <v>TSV-11-0475, 05-Dec-2025, UPI/CR/325061981016/AHAANA M/IBKL/9810240/KN3817, 350</v>
      </c>
      <c r="Q1619" s="8">
        <v>2025.0</v>
      </c>
      <c r="R1619" s="8" t="s">
        <v>5275</v>
      </c>
    </row>
    <row r="1620">
      <c r="A1620" s="4" t="s">
        <v>18</v>
      </c>
      <c r="B1620" s="2" t="s">
        <v>5452</v>
      </c>
      <c r="C1620" s="10">
        <v>45996.0</v>
      </c>
      <c r="D1620" s="10">
        <v>45996.0</v>
      </c>
      <c r="E1620" s="4" t="s">
        <v>5453</v>
      </c>
      <c r="F1620" s="9"/>
      <c r="G1620" s="6"/>
      <c r="H1620" s="7">
        <v>250.0</v>
      </c>
      <c r="I1620" s="7" t="s">
        <v>5454</v>
      </c>
      <c r="K1620" s="12" t="str">
        <f t="shared" si="210"/>
        <v>SL1610</v>
      </c>
      <c r="L1620" s="2" t="s">
        <v>4352</v>
      </c>
      <c r="M1620" s="2" t="s">
        <v>24</v>
      </c>
      <c r="N1620" s="2" t="s">
        <v>60</v>
      </c>
      <c r="O1620" s="2">
        <v>1.10751038E8</v>
      </c>
      <c r="P1620" s="15"/>
      <c r="Q1620" s="8">
        <v>2025.0</v>
      </c>
      <c r="R1620" s="8" t="s">
        <v>5275</v>
      </c>
    </row>
    <row r="1621">
      <c r="A1621" s="4" t="s">
        <v>18</v>
      </c>
      <c r="B1621" s="2" t="s">
        <v>5455</v>
      </c>
      <c r="C1621" s="10">
        <v>45996.0</v>
      </c>
      <c r="D1621" s="10">
        <v>45996.0</v>
      </c>
      <c r="E1621" s="4" t="s">
        <v>5456</v>
      </c>
      <c r="F1621" s="9"/>
      <c r="G1621" s="6"/>
      <c r="H1621" s="7">
        <v>290.0</v>
      </c>
      <c r="I1621" s="7" t="s">
        <v>5457</v>
      </c>
      <c r="K1621" s="12" t="str">
        <f t="shared" si="210"/>
        <v>UN3668</v>
      </c>
      <c r="L1621" s="2" t="s">
        <v>5458</v>
      </c>
      <c r="M1621" s="2" t="s">
        <v>24</v>
      </c>
      <c r="N1621" s="2" t="s">
        <v>60</v>
      </c>
      <c r="O1621" s="2">
        <v>1.10751038E8</v>
      </c>
      <c r="P1621" s="15"/>
      <c r="Q1621" s="8">
        <v>2025.0</v>
      </c>
      <c r="R1621" s="8" t="s">
        <v>5275</v>
      </c>
    </row>
    <row r="1622">
      <c r="A1622" s="4" t="s">
        <v>18</v>
      </c>
      <c r="B1622" s="2" t="s">
        <v>5459</v>
      </c>
      <c r="C1622" s="10">
        <v>45996.0</v>
      </c>
      <c r="D1622" s="10">
        <v>45996.0</v>
      </c>
      <c r="E1622" s="4" t="s">
        <v>5460</v>
      </c>
      <c r="F1622" s="9"/>
      <c r="G1622" s="7">
        <v>200.0</v>
      </c>
      <c r="H1622" s="6"/>
      <c r="I1622" s="7" t="s">
        <v>5461</v>
      </c>
      <c r="J1622" s="2" t="s">
        <v>5462</v>
      </c>
      <c r="K1622" s="2" t="s">
        <v>127</v>
      </c>
      <c r="M1622" s="2" t="s">
        <v>114</v>
      </c>
      <c r="N1622" s="2" t="s">
        <v>385</v>
      </c>
      <c r="O1622" s="2">
        <v>1.10751038E8</v>
      </c>
      <c r="Q1622" s="8">
        <v>2025.0</v>
      </c>
      <c r="R1622" s="8" t="s">
        <v>5275</v>
      </c>
    </row>
    <row r="1623">
      <c r="A1623" s="4" t="s">
        <v>18</v>
      </c>
      <c r="B1623" s="2" t="s">
        <v>5463</v>
      </c>
      <c r="C1623" s="10">
        <v>45996.0</v>
      </c>
      <c r="D1623" s="10">
        <v>45996.0</v>
      </c>
      <c r="E1623" s="4" t="s">
        <v>5464</v>
      </c>
      <c r="F1623" s="9"/>
      <c r="G1623" s="6"/>
      <c r="H1623" s="7">
        <v>658.0</v>
      </c>
      <c r="I1623" s="7" t="s">
        <v>5465</v>
      </c>
      <c r="K1623" s="12" t="str">
        <f t="shared" ref="K1623:K1632" si="211">RIGHT(E1623,6)</f>
        <v>UN3668</v>
      </c>
      <c r="L1623" s="2" t="s">
        <v>5466</v>
      </c>
      <c r="M1623" s="2" t="s">
        <v>24</v>
      </c>
      <c r="N1623" s="2" t="s">
        <v>60</v>
      </c>
      <c r="O1623" s="2">
        <v>1.10751038E8</v>
      </c>
      <c r="P1623" s="15"/>
      <c r="Q1623" s="8">
        <v>2025.0</v>
      </c>
      <c r="R1623" s="8" t="s">
        <v>5275</v>
      </c>
    </row>
    <row r="1624">
      <c r="A1624" s="4" t="s">
        <v>18</v>
      </c>
      <c r="B1624" s="2" t="s">
        <v>5467</v>
      </c>
      <c r="C1624" s="10">
        <v>45996.0</v>
      </c>
      <c r="D1624" s="10">
        <v>45996.0</v>
      </c>
      <c r="E1624" s="4" t="s">
        <v>5468</v>
      </c>
      <c r="F1624" s="9"/>
      <c r="G1624" s="6"/>
      <c r="H1624" s="7">
        <v>350.0</v>
      </c>
      <c r="I1624" s="7" t="s">
        <v>5469</v>
      </c>
      <c r="K1624" s="12" t="str">
        <f t="shared" si="211"/>
        <v>UN3668</v>
      </c>
      <c r="L1624" s="2" t="s">
        <v>5470</v>
      </c>
      <c r="M1624" s="2" t="s">
        <v>24</v>
      </c>
      <c r="N1624" s="2" t="s">
        <v>60</v>
      </c>
      <c r="O1624" s="2">
        <v>1.10751038E8</v>
      </c>
      <c r="P1624" s="15"/>
      <c r="Q1624" s="8">
        <v>2025.0</v>
      </c>
      <c r="R1624" s="8" t="s">
        <v>5275</v>
      </c>
    </row>
    <row r="1625">
      <c r="A1625" s="4" t="s">
        <v>18</v>
      </c>
      <c r="B1625" s="2" t="s">
        <v>5471</v>
      </c>
      <c r="C1625" s="10">
        <v>45996.0</v>
      </c>
      <c r="D1625" s="10">
        <v>45996.0</v>
      </c>
      <c r="E1625" s="4" t="s">
        <v>5472</v>
      </c>
      <c r="F1625" s="9"/>
      <c r="G1625" s="6"/>
      <c r="H1625" s="7">
        <v>296.0</v>
      </c>
      <c r="I1625" s="7" t="s">
        <v>5473</v>
      </c>
      <c r="K1625" s="12" t="str">
        <f t="shared" si="211"/>
        <v>UN3668</v>
      </c>
      <c r="L1625" s="2" t="s">
        <v>5474</v>
      </c>
      <c r="M1625" s="2" t="s">
        <v>24</v>
      </c>
      <c r="N1625" s="2" t="s">
        <v>60</v>
      </c>
      <c r="O1625" s="2">
        <v>1.10751038E8</v>
      </c>
      <c r="P1625" s="15"/>
      <c r="Q1625" s="8">
        <v>2025.0</v>
      </c>
      <c r="R1625" s="8" t="s">
        <v>5275</v>
      </c>
    </row>
    <row r="1626">
      <c r="A1626" s="4" t="s">
        <v>18</v>
      </c>
      <c r="B1626" s="2" t="s">
        <v>5475</v>
      </c>
      <c r="C1626" s="10">
        <v>45996.0</v>
      </c>
      <c r="D1626" s="10">
        <v>45996.0</v>
      </c>
      <c r="E1626" s="4" t="s">
        <v>5476</v>
      </c>
      <c r="F1626" s="9"/>
      <c r="G1626" s="6"/>
      <c r="H1626" s="11">
        <v>1484.0</v>
      </c>
      <c r="I1626" s="7" t="s">
        <v>5477</v>
      </c>
      <c r="K1626" s="12" t="str">
        <f t="shared" si="211"/>
        <v>KN3817</v>
      </c>
      <c r="L1626" s="21" t="s">
        <v>5478</v>
      </c>
      <c r="M1626" s="2" t="s">
        <v>24</v>
      </c>
      <c r="N1626" s="2" t="s">
        <v>60</v>
      </c>
      <c r="O1626" s="2">
        <v>1.10751038E8</v>
      </c>
      <c r="P1626" s="15"/>
      <c r="Q1626" s="8">
        <v>2025.0</v>
      </c>
      <c r="R1626" s="8" t="s">
        <v>5275</v>
      </c>
    </row>
    <row r="1627">
      <c r="A1627" s="4" t="s">
        <v>18</v>
      </c>
      <c r="B1627" s="2" t="s">
        <v>5479</v>
      </c>
      <c r="C1627" s="10">
        <v>45996.0</v>
      </c>
      <c r="D1627" s="10">
        <v>45996.0</v>
      </c>
      <c r="E1627" s="4" t="s">
        <v>5480</v>
      </c>
      <c r="F1627" s="9"/>
      <c r="G1627" s="6"/>
      <c r="H1627" s="7">
        <v>446.0</v>
      </c>
      <c r="I1627" s="7" t="s">
        <v>5481</v>
      </c>
      <c r="K1627" s="12" t="str">
        <f t="shared" si="211"/>
        <v>SL1610</v>
      </c>
      <c r="L1627" s="2" t="s">
        <v>5482</v>
      </c>
      <c r="M1627" s="2" t="s">
        <v>24</v>
      </c>
      <c r="N1627" s="2" t="s">
        <v>60</v>
      </c>
      <c r="O1627" s="2">
        <v>1.10751038E8</v>
      </c>
      <c r="P1627" s="15"/>
      <c r="Q1627" s="8">
        <v>2025.0</v>
      </c>
      <c r="R1627" s="8" t="s">
        <v>5275</v>
      </c>
    </row>
    <row r="1628">
      <c r="A1628" s="4" t="s">
        <v>18</v>
      </c>
      <c r="B1628" s="2" t="s">
        <v>5483</v>
      </c>
      <c r="C1628" s="10">
        <v>45997.0</v>
      </c>
      <c r="D1628" s="10">
        <v>45997.0</v>
      </c>
      <c r="E1628" s="4" t="s">
        <v>5484</v>
      </c>
      <c r="F1628" s="9"/>
      <c r="G1628" s="6"/>
      <c r="H1628" s="7">
        <v>170.0</v>
      </c>
      <c r="I1628" s="7" t="s">
        <v>5485</v>
      </c>
      <c r="K1628" s="12" t="str">
        <f t="shared" si="211"/>
        <v>SC3567</v>
      </c>
      <c r="M1628" s="2" t="s">
        <v>24</v>
      </c>
      <c r="N1628" s="2" t="s">
        <v>60</v>
      </c>
      <c r="O1628" s="2">
        <v>1.10751038E8</v>
      </c>
      <c r="P1628" s="15" t="str">
        <f>IFERROR(__xludf.DUMMYFUNCTION("CONCATENATE(B1628,"", "", to_text(D1628),"", "", E1628,"", "", H1628)"),"TSV-11-0484, 06-Dec-2025, UPI/CR/108704372941/ABHAY ME/ICIC/9910234/SC3567, 170")</f>
        <v>TSV-11-0484, 06-Dec-2025, UPI/CR/108704372941/ABHAY ME/ICIC/9910234/SC3567, 170</v>
      </c>
      <c r="Q1628" s="8">
        <v>2025.0</v>
      </c>
      <c r="R1628" s="8" t="s">
        <v>5275</v>
      </c>
    </row>
    <row r="1629">
      <c r="A1629" s="4" t="s">
        <v>18</v>
      </c>
      <c r="B1629" s="2" t="s">
        <v>5486</v>
      </c>
      <c r="C1629" s="10">
        <v>45997.0</v>
      </c>
      <c r="D1629" s="10">
        <v>45997.0</v>
      </c>
      <c r="E1629" s="4" t="s">
        <v>5487</v>
      </c>
      <c r="F1629" s="9"/>
      <c r="G1629" s="6"/>
      <c r="H1629" s="11">
        <v>1943.0</v>
      </c>
      <c r="I1629" s="7" t="s">
        <v>5488</v>
      </c>
      <c r="K1629" s="12" t="str">
        <f t="shared" si="211"/>
        <v>SC3567</v>
      </c>
      <c r="M1629" s="2" t="s">
        <v>24</v>
      </c>
      <c r="N1629" s="2" t="s">
        <v>60</v>
      </c>
      <c r="O1629" s="2">
        <v>1.10751038E8</v>
      </c>
      <c r="P1629" s="15" t="str">
        <f>IFERROR(__xludf.DUMMYFUNCTION("CONCATENATE(B1629,"", "", to_text(D1629),"", "", E1629,"", "", H1629)"),"TSV-11-0485, 06-Dec-2025, UPI/CR/115203206610/TARUN SH/HDFC/tarunsh/SC3567, 1943")</f>
        <v>TSV-11-0485, 06-Dec-2025, UPI/CR/115203206610/TARUN SH/HDFC/tarunsh/SC3567, 1943</v>
      </c>
      <c r="Q1629" s="8">
        <v>2025.0</v>
      </c>
      <c r="R1629" s="8" t="s">
        <v>5275</v>
      </c>
    </row>
    <row r="1630">
      <c r="A1630" s="4" t="s">
        <v>18</v>
      </c>
      <c r="B1630" s="2" t="s">
        <v>5489</v>
      </c>
      <c r="C1630" s="10">
        <v>45997.0</v>
      </c>
      <c r="D1630" s="10">
        <v>45997.0</v>
      </c>
      <c r="E1630" s="4" t="s">
        <v>5490</v>
      </c>
      <c r="F1630" s="9"/>
      <c r="G1630" s="6"/>
      <c r="H1630" s="7">
        <v>959.0</v>
      </c>
      <c r="I1630" s="7" t="s">
        <v>5491</v>
      </c>
      <c r="K1630" s="12" t="str">
        <f t="shared" si="211"/>
        <v>UN3668</v>
      </c>
      <c r="L1630" s="2" t="s">
        <v>5492</v>
      </c>
      <c r="M1630" s="2" t="s">
        <v>24</v>
      </c>
      <c r="N1630" s="2" t="s">
        <v>60</v>
      </c>
      <c r="O1630" s="2">
        <v>1.10751038E8</v>
      </c>
      <c r="P1630" s="15"/>
      <c r="Q1630" s="8">
        <v>2025.0</v>
      </c>
      <c r="R1630" s="8" t="s">
        <v>5275</v>
      </c>
    </row>
    <row r="1631">
      <c r="A1631" s="4" t="s">
        <v>18</v>
      </c>
      <c r="B1631" s="2" t="s">
        <v>5493</v>
      </c>
      <c r="C1631" s="10">
        <v>45997.0</v>
      </c>
      <c r="D1631" s="10">
        <v>45997.0</v>
      </c>
      <c r="E1631" s="4" t="s">
        <v>5494</v>
      </c>
      <c r="F1631" s="9"/>
      <c r="G1631" s="6"/>
      <c r="H1631" s="7">
        <v>641.0</v>
      </c>
      <c r="I1631" s="7" t="s">
        <v>5495</v>
      </c>
      <c r="K1631" s="12" t="str">
        <f t="shared" si="211"/>
        <v>UN3668</v>
      </c>
      <c r="L1631" s="2" t="s">
        <v>5496</v>
      </c>
      <c r="M1631" s="2" t="s">
        <v>24</v>
      </c>
      <c r="N1631" s="2" t="s">
        <v>60</v>
      </c>
      <c r="O1631" s="2">
        <v>1.10751038E8</v>
      </c>
      <c r="P1631" s="15"/>
      <c r="Q1631" s="8">
        <v>2025.0</v>
      </c>
      <c r="R1631" s="8" t="s">
        <v>5275</v>
      </c>
    </row>
    <row r="1632">
      <c r="A1632" s="4" t="s">
        <v>18</v>
      </c>
      <c r="B1632" s="2" t="s">
        <v>5497</v>
      </c>
      <c r="C1632" s="10">
        <v>45997.0</v>
      </c>
      <c r="D1632" s="10">
        <v>45997.0</v>
      </c>
      <c r="E1632" s="4" t="s">
        <v>5498</v>
      </c>
      <c r="F1632" s="9"/>
      <c r="G1632" s="6"/>
      <c r="H1632" s="7">
        <v>300.0</v>
      </c>
      <c r="I1632" s="7" t="s">
        <v>5499</v>
      </c>
      <c r="K1632" s="12" t="str">
        <f t="shared" si="211"/>
        <v>KN3817</v>
      </c>
      <c r="L1632" s="21" t="s">
        <v>5500</v>
      </c>
      <c r="M1632" s="2" t="s">
        <v>24</v>
      </c>
      <c r="N1632" s="2" t="s">
        <v>60</v>
      </c>
      <c r="O1632" s="2">
        <v>1.10751038E8</v>
      </c>
      <c r="P1632" s="15"/>
      <c r="Q1632" s="8">
        <v>2025.0</v>
      </c>
      <c r="R1632" s="8" t="s">
        <v>5275</v>
      </c>
    </row>
    <row r="1633">
      <c r="A1633" s="4" t="s">
        <v>18</v>
      </c>
      <c r="B1633" s="2" t="s">
        <v>5501</v>
      </c>
      <c r="C1633" s="10">
        <v>45997.0</v>
      </c>
      <c r="D1633" s="10">
        <v>45997.0</v>
      </c>
      <c r="E1633" s="4" t="s">
        <v>5502</v>
      </c>
      <c r="F1633" s="9"/>
      <c r="G1633" s="7">
        <v>232.0</v>
      </c>
      <c r="H1633" s="6"/>
      <c r="I1633" s="7" t="s">
        <v>5503</v>
      </c>
      <c r="J1633" s="2" t="s">
        <v>3403</v>
      </c>
      <c r="K1633" s="2" t="s">
        <v>127</v>
      </c>
      <c r="M1633" s="2" t="s">
        <v>114</v>
      </c>
      <c r="N1633" s="2" t="s">
        <v>385</v>
      </c>
      <c r="O1633" s="2">
        <v>1.10751038E8</v>
      </c>
      <c r="Q1633" s="8">
        <v>2025.0</v>
      </c>
      <c r="R1633" s="8" t="s">
        <v>5275</v>
      </c>
    </row>
    <row r="1634">
      <c r="A1634" s="4" t="s">
        <v>18</v>
      </c>
      <c r="B1634" s="2" t="s">
        <v>5504</v>
      </c>
      <c r="C1634" s="10">
        <v>45997.0</v>
      </c>
      <c r="D1634" s="10">
        <v>45997.0</v>
      </c>
      <c r="E1634" s="4" t="s">
        <v>5505</v>
      </c>
      <c r="F1634" s="9"/>
      <c r="G1634" s="6"/>
      <c r="H1634" s="7">
        <v>269.0</v>
      </c>
      <c r="I1634" s="7" t="s">
        <v>5506</v>
      </c>
      <c r="K1634" s="12" t="str">
        <f t="shared" ref="K1634:K1639" si="212">RIGHT(E1634,6)</f>
        <v>SC3567</v>
      </c>
      <c r="M1634" s="2" t="s">
        <v>24</v>
      </c>
      <c r="N1634" s="2" t="s">
        <v>60</v>
      </c>
      <c r="O1634" s="2">
        <v>1.10751038E8</v>
      </c>
      <c r="P1634" s="15" t="str">
        <f>IFERROR(__xludf.DUMMYFUNCTION("CONCATENATE(B1634,"", "", to_text(D1634),"", "", E1634,"", "", H1634)"),"TSV-11-0490, 06-Dec-2025, UPI/CR/393366583769/BABU RAM/ICIC/9811372/SC3567, 269")</f>
        <v>TSV-11-0490, 06-Dec-2025, UPI/CR/393366583769/BABU RAM/ICIC/9811372/SC3567, 269</v>
      </c>
      <c r="Q1634" s="8">
        <v>2025.0</v>
      </c>
      <c r="R1634" s="8" t="s">
        <v>5275</v>
      </c>
    </row>
    <row r="1635">
      <c r="A1635" s="4" t="s">
        <v>18</v>
      </c>
      <c r="B1635" s="2" t="s">
        <v>5507</v>
      </c>
      <c r="C1635" s="10">
        <v>45997.0</v>
      </c>
      <c r="D1635" s="10">
        <v>45997.0</v>
      </c>
      <c r="E1635" s="4" t="s">
        <v>5508</v>
      </c>
      <c r="F1635" s="9"/>
      <c r="G1635" s="6"/>
      <c r="H1635" s="7">
        <v>436.0</v>
      </c>
      <c r="I1635" s="7" t="s">
        <v>5509</v>
      </c>
      <c r="K1635" s="12" t="str">
        <f t="shared" si="212"/>
        <v>SL1610</v>
      </c>
      <c r="L1635" s="2" t="s">
        <v>5510</v>
      </c>
      <c r="M1635" s="2" t="s">
        <v>24</v>
      </c>
      <c r="N1635" s="2" t="s">
        <v>60</v>
      </c>
      <c r="O1635" s="2">
        <v>1.10751038E8</v>
      </c>
      <c r="P1635" s="15"/>
      <c r="Q1635" s="8">
        <v>2025.0</v>
      </c>
      <c r="R1635" s="8" t="s">
        <v>5275</v>
      </c>
    </row>
    <row r="1636">
      <c r="A1636" s="4" t="s">
        <v>18</v>
      </c>
      <c r="B1636" s="2" t="s">
        <v>5511</v>
      </c>
      <c r="C1636" s="10">
        <v>45997.0</v>
      </c>
      <c r="D1636" s="10">
        <v>45997.0</v>
      </c>
      <c r="E1636" s="4" t="s">
        <v>5512</v>
      </c>
      <c r="F1636" s="9"/>
      <c r="G1636" s="6"/>
      <c r="H1636" s="7">
        <v>400.0</v>
      </c>
      <c r="I1636" s="7" t="s">
        <v>5513</v>
      </c>
      <c r="K1636" s="12" t="str">
        <f t="shared" si="212"/>
        <v>KN3817</v>
      </c>
      <c r="L1636" s="21" t="s">
        <v>5500</v>
      </c>
      <c r="M1636" s="2" t="s">
        <v>24</v>
      </c>
      <c r="N1636" s="2" t="s">
        <v>60</v>
      </c>
      <c r="O1636" s="2">
        <v>1.10751038E8</v>
      </c>
      <c r="P1636" s="15"/>
      <c r="Q1636" s="8">
        <v>2025.0</v>
      </c>
      <c r="R1636" s="8" t="s">
        <v>5275</v>
      </c>
    </row>
    <row r="1637">
      <c r="A1637" s="4" t="s">
        <v>18</v>
      </c>
      <c r="B1637" s="2" t="s">
        <v>5514</v>
      </c>
      <c r="C1637" s="10">
        <v>45997.0</v>
      </c>
      <c r="D1637" s="10">
        <v>45997.0</v>
      </c>
      <c r="E1637" s="4" t="s">
        <v>5515</v>
      </c>
      <c r="F1637" s="9"/>
      <c r="G1637" s="6"/>
      <c r="H1637" s="7">
        <v>380.0</v>
      </c>
      <c r="I1637" s="7" t="s">
        <v>5516</v>
      </c>
      <c r="K1637" s="12" t="str">
        <f t="shared" si="212"/>
        <v>SC3567</v>
      </c>
      <c r="M1637" s="2" t="s">
        <v>24</v>
      </c>
      <c r="N1637" s="2" t="s">
        <v>60</v>
      </c>
      <c r="O1637" s="2">
        <v>1.10751038E8</v>
      </c>
      <c r="P1637" s="15" t="str">
        <f>IFERROR(__xludf.DUMMYFUNCTION("CONCATENATE(B1637,"", "", to_text(D1637),"", "", E1637,"", "", H1637)"),"TSV-11-0493, 06-Dec-2025, UPI/CR/048145404997/Mr Kamal/IDIB/7428558/SC3567, 380")</f>
        <v>TSV-11-0493, 06-Dec-2025, UPI/CR/048145404997/Mr Kamal/IDIB/7428558/SC3567, 380</v>
      </c>
      <c r="Q1637" s="8">
        <v>2025.0</v>
      </c>
      <c r="R1637" s="8" t="s">
        <v>5275</v>
      </c>
    </row>
    <row r="1638">
      <c r="A1638" s="4" t="s">
        <v>18</v>
      </c>
      <c r="B1638" s="2" t="s">
        <v>5517</v>
      </c>
      <c r="C1638" s="10">
        <v>45997.0</v>
      </c>
      <c r="D1638" s="10">
        <v>45997.0</v>
      </c>
      <c r="E1638" s="4" t="s">
        <v>5518</v>
      </c>
      <c r="F1638" s="9"/>
      <c r="G1638" s="6"/>
      <c r="H1638" s="7">
        <v>796.0</v>
      </c>
      <c r="I1638" s="7" t="s">
        <v>5519</v>
      </c>
      <c r="K1638" s="12" t="str">
        <f t="shared" si="212"/>
        <v>SC3567</v>
      </c>
      <c r="M1638" s="2" t="s">
        <v>24</v>
      </c>
      <c r="N1638" s="2" t="s">
        <v>60</v>
      </c>
      <c r="O1638" s="2">
        <v>1.10751038E8</v>
      </c>
      <c r="P1638" s="15" t="str">
        <f>IFERROR(__xludf.DUMMYFUNCTION("CONCATENATE(B1638,"", "", to_text(D1638),"", "", E1638,"", "", H1638)"),"TSV-11-0494, 06-Dec-2025, UPI/CR/214399729269/SHAGUN A/UTIB/shagun5/SC3567, 796")</f>
        <v>TSV-11-0494, 06-Dec-2025, UPI/CR/214399729269/SHAGUN A/UTIB/shagun5/SC3567, 796</v>
      </c>
      <c r="Q1638" s="8">
        <v>2025.0</v>
      </c>
      <c r="R1638" s="8" t="s">
        <v>5275</v>
      </c>
    </row>
    <row r="1639">
      <c r="A1639" s="4" t="s">
        <v>18</v>
      </c>
      <c r="B1639" s="2" t="s">
        <v>5520</v>
      </c>
      <c r="C1639" s="10">
        <v>45997.0</v>
      </c>
      <c r="D1639" s="10">
        <v>45997.0</v>
      </c>
      <c r="E1639" s="4" t="s">
        <v>5521</v>
      </c>
      <c r="F1639" s="9"/>
      <c r="G1639" s="6"/>
      <c r="H1639" s="7">
        <v>1.0</v>
      </c>
      <c r="I1639" s="7" t="s">
        <v>5522</v>
      </c>
      <c r="K1639" s="12" t="str">
        <f t="shared" si="212"/>
        <v>UN3668</v>
      </c>
      <c r="L1639" s="2" t="s">
        <v>5523</v>
      </c>
      <c r="M1639" s="2" t="s">
        <v>24</v>
      </c>
      <c r="N1639" s="2" t="s">
        <v>60</v>
      </c>
      <c r="O1639" s="2">
        <v>1.10751038E8</v>
      </c>
      <c r="P1639" s="15"/>
      <c r="Q1639" s="8">
        <v>2025.0</v>
      </c>
      <c r="R1639" s="8" t="s">
        <v>5275</v>
      </c>
    </row>
    <row r="1640">
      <c r="A1640" s="4" t="s">
        <v>18</v>
      </c>
      <c r="B1640" s="2" t="s">
        <v>5524</v>
      </c>
      <c r="C1640" s="10">
        <v>45997.0</v>
      </c>
      <c r="D1640" s="10">
        <v>45997.0</v>
      </c>
      <c r="E1640" s="4" t="s">
        <v>5525</v>
      </c>
      <c r="F1640" s="9"/>
      <c r="G1640" s="6"/>
      <c r="H1640" s="11">
        <v>1187.0</v>
      </c>
      <c r="I1640" s="7" t="s">
        <v>5526</v>
      </c>
      <c r="K1640" s="2" t="s">
        <v>539</v>
      </c>
      <c r="M1640" s="2" t="s">
        <v>24</v>
      </c>
      <c r="N1640" s="2" t="s">
        <v>60</v>
      </c>
      <c r="O1640" s="2">
        <v>1.10751038E8</v>
      </c>
      <c r="P1640" s="15" t="str">
        <f>IFERROR(__xludf.DUMMYFUNCTION("CONCATENATE(B1640,"", "", to_text(D1640),"", "", E1640,"", "", H1640)"),"TSV-11-0496, 06-Dec-2025, UPI/CR/393379499448/NISHA C/YESB/9761620/Sent us, 1187")</f>
        <v>TSV-11-0496, 06-Dec-2025, UPI/CR/393379499448/NISHA C/YESB/9761620/Sent us, 1187</v>
      </c>
      <c r="Q1640" s="8">
        <v>2025.0</v>
      </c>
      <c r="R1640" s="8" t="s">
        <v>5275</v>
      </c>
    </row>
    <row r="1641">
      <c r="A1641" s="4" t="s">
        <v>18</v>
      </c>
      <c r="B1641" s="2" t="s">
        <v>5527</v>
      </c>
      <c r="C1641" s="10">
        <v>45997.0</v>
      </c>
      <c r="D1641" s="10">
        <v>45997.0</v>
      </c>
      <c r="E1641" s="4" t="s">
        <v>5528</v>
      </c>
      <c r="F1641" s="9"/>
      <c r="G1641" s="11">
        <v>1261.0</v>
      </c>
      <c r="H1641" s="6"/>
      <c r="I1641" s="7" t="s">
        <v>5529</v>
      </c>
      <c r="J1641" s="2" t="s">
        <v>3519</v>
      </c>
      <c r="K1641" s="2" t="s">
        <v>113</v>
      </c>
      <c r="M1641" s="2" t="s">
        <v>114</v>
      </c>
      <c r="N1641" s="2" t="s">
        <v>3519</v>
      </c>
      <c r="O1641" s="2">
        <v>1.10751038E8</v>
      </c>
      <c r="Q1641" s="8">
        <v>2025.0</v>
      </c>
      <c r="R1641" s="8" t="s">
        <v>5275</v>
      </c>
    </row>
    <row r="1642">
      <c r="A1642" s="4" t="s">
        <v>18</v>
      </c>
      <c r="B1642" s="2" t="s">
        <v>5530</v>
      </c>
      <c r="C1642" s="10">
        <v>45997.0</v>
      </c>
      <c r="D1642" s="10">
        <v>45997.0</v>
      </c>
      <c r="E1642" s="4" t="s">
        <v>5531</v>
      </c>
      <c r="F1642" s="9"/>
      <c r="G1642" s="6"/>
      <c r="H1642" s="7">
        <v>621.0</v>
      </c>
      <c r="I1642" s="7" t="s">
        <v>5532</v>
      </c>
      <c r="K1642" s="12" t="str">
        <f t="shared" ref="K1642:K1644" si="213">RIGHT(E1642,6)</f>
        <v>SC3567</v>
      </c>
      <c r="M1642" s="2" t="s">
        <v>24</v>
      </c>
      <c r="N1642" s="2" t="s">
        <v>60</v>
      </c>
      <c r="O1642" s="2">
        <v>1.10751038E8</v>
      </c>
      <c r="P1642" s="15" t="str">
        <f>IFERROR(__xludf.DUMMYFUNCTION("CONCATENATE(B1642,"", "", to_text(D1642),"", "", E1642,"", "", H1642)"),"TSV-11-0498, 06-Dec-2025, UPI/CR/570643766206/ANAND RA/ICIC/anand.r/SC3567, 621")</f>
        <v>TSV-11-0498, 06-Dec-2025, UPI/CR/570643766206/ANAND RA/ICIC/anand.r/SC3567, 621</v>
      </c>
      <c r="Q1642" s="8">
        <v>2025.0</v>
      </c>
      <c r="R1642" s="8" t="s">
        <v>5275</v>
      </c>
    </row>
    <row r="1643">
      <c r="A1643" s="4" t="s">
        <v>18</v>
      </c>
      <c r="B1643" s="2" t="s">
        <v>5533</v>
      </c>
      <c r="C1643" s="10">
        <v>45997.0</v>
      </c>
      <c r="D1643" s="10">
        <v>45997.0</v>
      </c>
      <c r="E1643" s="4" t="s">
        <v>5534</v>
      </c>
      <c r="F1643" s="9"/>
      <c r="G1643" s="6"/>
      <c r="H1643" s="7">
        <v>249.0</v>
      </c>
      <c r="I1643" s="7" t="s">
        <v>5535</v>
      </c>
      <c r="K1643" s="12" t="str">
        <f t="shared" si="213"/>
        <v>SL1610</v>
      </c>
      <c r="L1643" s="2" t="s">
        <v>5389</v>
      </c>
      <c r="M1643" s="2" t="s">
        <v>24</v>
      </c>
      <c r="N1643" s="2" t="s">
        <v>60</v>
      </c>
      <c r="O1643" s="2">
        <v>1.10751038E8</v>
      </c>
      <c r="P1643" s="15"/>
      <c r="Q1643" s="8">
        <v>2025.0</v>
      </c>
      <c r="R1643" s="8" t="s">
        <v>5275</v>
      </c>
    </row>
    <row r="1644">
      <c r="A1644" s="4" t="s">
        <v>18</v>
      </c>
      <c r="B1644" s="2" t="s">
        <v>5536</v>
      </c>
      <c r="C1644" s="10">
        <v>45997.0</v>
      </c>
      <c r="D1644" s="10">
        <v>45997.0</v>
      </c>
      <c r="E1644" s="4" t="s">
        <v>5537</v>
      </c>
      <c r="F1644" s="9"/>
      <c r="G1644" s="6"/>
      <c r="H1644" s="7">
        <v>280.0</v>
      </c>
      <c r="I1644" s="7" t="s">
        <v>5538</v>
      </c>
      <c r="K1644" s="12" t="str">
        <f t="shared" si="213"/>
        <v>UN3668</v>
      </c>
      <c r="L1644" s="2" t="s">
        <v>5539</v>
      </c>
      <c r="M1644" s="2" t="s">
        <v>24</v>
      </c>
      <c r="N1644" s="2" t="s">
        <v>60</v>
      </c>
      <c r="O1644" s="2">
        <v>1.10751038E8</v>
      </c>
      <c r="P1644" s="15"/>
      <c r="Q1644" s="8">
        <v>2025.0</v>
      </c>
      <c r="R1644" s="8" t="s">
        <v>5275</v>
      </c>
    </row>
    <row r="1645">
      <c r="A1645" s="4" t="s">
        <v>18</v>
      </c>
      <c r="B1645" s="2" t="s">
        <v>5540</v>
      </c>
      <c r="C1645" s="10">
        <v>45997.0</v>
      </c>
      <c r="D1645" s="10">
        <v>45997.0</v>
      </c>
      <c r="E1645" s="4" t="s">
        <v>5541</v>
      </c>
      <c r="F1645" s="9"/>
      <c r="G1645" s="7">
        <v>300.0</v>
      </c>
      <c r="H1645" s="6"/>
      <c r="I1645" s="7" t="s">
        <v>5542</v>
      </c>
      <c r="K1645" s="2" t="s">
        <v>113</v>
      </c>
      <c r="M1645" s="2" t="s">
        <v>114</v>
      </c>
      <c r="N1645" s="2" t="s">
        <v>1835</v>
      </c>
      <c r="O1645" s="2">
        <v>1.10751038E8</v>
      </c>
      <c r="Q1645" s="8">
        <v>2025.0</v>
      </c>
      <c r="R1645" s="8" t="s">
        <v>5275</v>
      </c>
    </row>
    <row r="1646">
      <c r="A1646" s="4" t="s">
        <v>18</v>
      </c>
      <c r="B1646" s="2" t="s">
        <v>5543</v>
      </c>
      <c r="C1646" s="10">
        <v>45997.0</v>
      </c>
      <c r="D1646" s="10">
        <v>45997.0</v>
      </c>
      <c r="E1646" s="4" t="s">
        <v>5544</v>
      </c>
      <c r="F1646" s="9"/>
      <c r="G1646" s="7">
        <v>250.0</v>
      </c>
      <c r="H1646" s="6"/>
      <c r="I1646" s="7" t="s">
        <v>5545</v>
      </c>
      <c r="K1646" s="2" t="s">
        <v>123</v>
      </c>
      <c r="M1646" s="2" t="s">
        <v>114</v>
      </c>
      <c r="N1646" s="2" t="s">
        <v>1835</v>
      </c>
      <c r="O1646" s="2">
        <v>1.10751038E8</v>
      </c>
      <c r="Q1646" s="8">
        <v>2025.0</v>
      </c>
      <c r="R1646" s="8" t="s">
        <v>5275</v>
      </c>
    </row>
    <row r="1647">
      <c r="A1647" s="4" t="s">
        <v>18</v>
      </c>
      <c r="B1647" s="2" t="s">
        <v>5546</v>
      </c>
      <c r="C1647" s="10">
        <v>45998.0</v>
      </c>
      <c r="D1647" s="10">
        <v>45998.0</v>
      </c>
      <c r="E1647" s="4" t="s">
        <v>5547</v>
      </c>
      <c r="F1647" s="9"/>
      <c r="G1647" s="6"/>
      <c r="H1647" s="7">
        <v>350.0</v>
      </c>
      <c r="I1647" s="7" t="s">
        <v>5548</v>
      </c>
      <c r="K1647" s="12" t="str">
        <f t="shared" ref="K1647:K1649" si="214">RIGHT(E1647,6)</f>
        <v>KN3817</v>
      </c>
      <c r="L1647" s="21" t="s">
        <v>2968</v>
      </c>
      <c r="M1647" s="2" t="s">
        <v>24</v>
      </c>
      <c r="N1647" s="2" t="s">
        <v>60</v>
      </c>
      <c r="O1647" s="2">
        <v>1.10751038E8</v>
      </c>
      <c r="P1647" s="15"/>
      <c r="Q1647" s="8">
        <v>2025.0</v>
      </c>
      <c r="R1647" s="8" t="s">
        <v>5275</v>
      </c>
    </row>
    <row r="1648">
      <c r="A1648" s="4" t="s">
        <v>18</v>
      </c>
      <c r="B1648" s="2" t="s">
        <v>5549</v>
      </c>
      <c r="C1648" s="10">
        <v>45998.0</v>
      </c>
      <c r="D1648" s="10">
        <v>45998.0</v>
      </c>
      <c r="E1648" s="4" t="s">
        <v>5550</v>
      </c>
      <c r="F1648" s="9"/>
      <c r="G1648" s="6"/>
      <c r="H1648" s="7">
        <v>864.0</v>
      </c>
      <c r="I1648" s="7" t="s">
        <v>5551</v>
      </c>
      <c r="K1648" s="12" t="str">
        <f t="shared" si="214"/>
        <v>SL1610</v>
      </c>
      <c r="L1648" s="2" t="s">
        <v>5552</v>
      </c>
      <c r="M1648" s="2" t="s">
        <v>24</v>
      </c>
      <c r="N1648" s="2" t="s">
        <v>60</v>
      </c>
      <c r="O1648" s="2">
        <v>1.10751038E8</v>
      </c>
      <c r="P1648" s="15"/>
      <c r="Q1648" s="8">
        <v>2025.0</v>
      </c>
      <c r="R1648" s="8" t="s">
        <v>5275</v>
      </c>
    </row>
    <row r="1649">
      <c r="A1649" s="4" t="s">
        <v>18</v>
      </c>
      <c r="B1649" s="2" t="s">
        <v>5553</v>
      </c>
      <c r="C1649" s="10">
        <v>45998.0</v>
      </c>
      <c r="D1649" s="10">
        <v>45998.0</v>
      </c>
      <c r="E1649" s="4" t="s">
        <v>5554</v>
      </c>
      <c r="F1649" s="9"/>
      <c r="G1649" s="6"/>
      <c r="H1649" s="7">
        <v>525.0</v>
      </c>
      <c r="I1649" s="7" t="s">
        <v>5555</v>
      </c>
      <c r="K1649" s="12" t="str">
        <f t="shared" si="214"/>
        <v>SL1610</v>
      </c>
      <c r="L1649" s="2" t="s">
        <v>5556</v>
      </c>
      <c r="M1649" s="2" t="s">
        <v>24</v>
      </c>
      <c r="N1649" s="2" t="s">
        <v>60</v>
      </c>
      <c r="O1649" s="2">
        <v>1.10751038E8</v>
      </c>
      <c r="P1649" s="15"/>
      <c r="Q1649" s="8">
        <v>2025.0</v>
      </c>
      <c r="R1649" s="8" t="s">
        <v>5275</v>
      </c>
    </row>
    <row r="1650">
      <c r="A1650" s="4" t="s">
        <v>18</v>
      </c>
      <c r="B1650" s="2" t="s">
        <v>5557</v>
      </c>
      <c r="C1650" s="10">
        <v>45998.0</v>
      </c>
      <c r="D1650" s="10">
        <v>45998.0</v>
      </c>
      <c r="E1650" s="4" t="s">
        <v>5558</v>
      </c>
      <c r="F1650" s="9"/>
      <c r="G1650" s="11">
        <v>1749.0</v>
      </c>
      <c r="H1650" s="6"/>
      <c r="I1650" s="7" t="s">
        <v>5559</v>
      </c>
      <c r="K1650" s="2" t="s">
        <v>127</v>
      </c>
      <c r="M1650" s="2" t="s">
        <v>114</v>
      </c>
      <c r="N1650" s="2" t="s">
        <v>2883</v>
      </c>
      <c r="O1650" s="2">
        <v>1.10751038E8</v>
      </c>
      <c r="Q1650" s="8">
        <v>2025.0</v>
      </c>
      <c r="R1650" s="8" t="s">
        <v>5275</v>
      </c>
    </row>
    <row r="1651">
      <c r="A1651" s="4" t="s">
        <v>18</v>
      </c>
      <c r="B1651" s="2" t="s">
        <v>5560</v>
      </c>
      <c r="C1651" s="10">
        <v>45998.0</v>
      </c>
      <c r="D1651" s="10">
        <v>45998.0</v>
      </c>
      <c r="E1651" s="4" t="s">
        <v>5561</v>
      </c>
      <c r="F1651" s="9"/>
      <c r="G1651" s="6"/>
      <c r="H1651" s="7">
        <v>299.0</v>
      </c>
      <c r="I1651" s="7" t="s">
        <v>5562</v>
      </c>
      <c r="K1651" s="12" t="str">
        <f t="shared" ref="K1651:K1667" si="215">RIGHT(E1651,6)</f>
        <v>SC3567</v>
      </c>
      <c r="M1651" s="2" t="s">
        <v>24</v>
      </c>
      <c r="N1651" s="2" t="s">
        <v>60</v>
      </c>
      <c r="O1651" s="2">
        <v>1.10751038E8</v>
      </c>
      <c r="P1651" s="15" t="str">
        <f>IFERROR(__xludf.DUMMYFUNCTION("CONCATENATE(B1651,"", "", to_text(D1651),"", "", E1651,"", "", H1651)"),"TSV-11-0507, 07-Dec-2025, UPI/CR/534129207122/Mr JOGIN/MAHB/joginde/SC3567, 299")</f>
        <v>TSV-11-0507, 07-Dec-2025, UPI/CR/534129207122/Mr JOGIN/MAHB/joginde/SC3567, 299</v>
      </c>
      <c r="Q1651" s="8">
        <v>2025.0</v>
      </c>
      <c r="R1651" s="8" t="s">
        <v>5275</v>
      </c>
    </row>
    <row r="1652">
      <c r="A1652" s="4" t="s">
        <v>18</v>
      </c>
      <c r="B1652" s="2" t="s">
        <v>5563</v>
      </c>
      <c r="C1652" s="10">
        <v>45998.0</v>
      </c>
      <c r="D1652" s="10">
        <v>45998.0</v>
      </c>
      <c r="E1652" s="4" t="s">
        <v>5564</v>
      </c>
      <c r="F1652" s="9"/>
      <c r="G1652" s="6"/>
      <c r="H1652" s="11">
        <v>1190.0</v>
      </c>
      <c r="I1652" s="7" t="s">
        <v>5565</v>
      </c>
      <c r="K1652" s="12" t="str">
        <f t="shared" si="215"/>
        <v>SL1610</v>
      </c>
      <c r="L1652" s="2" t="s">
        <v>5566</v>
      </c>
      <c r="M1652" s="2" t="s">
        <v>24</v>
      </c>
      <c r="N1652" s="2" t="s">
        <v>60</v>
      </c>
      <c r="O1652" s="2">
        <v>1.10751038E8</v>
      </c>
      <c r="P1652" s="15"/>
      <c r="Q1652" s="8">
        <v>2025.0</v>
      </c>
      <c r="R1652" s="8" t="s">
        <v>5275</v>
      </c>
    </row>
    <row r="1653">
      <c r="A1653" s="4" t="s">
        <v>18</v>
      </c>
      <c r="B1653" s="2" t="s">
        <v>5567</v>
      </c>
      <c r="C1653" s="10">
        <v>45998.0</v>
      </c>
      <c r="D1653" s="10">
        <v>45998.0</v>
      </c>
      <c r="E1653" s="4" t="s">
        <v>5568</v>
      </c>
      <c r="F1653" s="9"/>
      <c r="G1653" s="6"/>
      <c r="H1653" s="7">
        <v>660.0</v>
      </c>
      <c r="I1653" s="7" t="s">
        <v>5569</v>
      </c>
      <c r="K1653" s="12" t="str">
        <f t="shared" si="215"/>
        <v>KN3817</v>
      </c>
      <c r="L1653" s="21" t="s">
        <v>2585</v>
      </c>
      <c r="M1653" s="2" t="s">
        <v>24</v>
      </c>
      <c r="N1653" s="2" t="s">
        <v>60</v>
      </c>
      <c r="O1653" s="2">
        <v>1.10751038E8</v>
      </c>
      <c r="P1653" s="15"/>
      <c r="Q1653" s="8">
        <v>2025.0</v>
      </c>
      <c r="R1653" s="8" t="s">
        <v>5275</v>
      </c>
    </row>
    <row r="1654">
      <c r="A1654" s="4" t="s">
        <v>18</v>
      </c>
      <c r="B1654" s="2" t="s">
        <v>5570</v>
      </c>
      <c r="C1654" s="10">
        <v>45998.0</v>
      </c>
      <c r="D1654" s="10">
        <v>45998.0</v>
      </c>
      <c r="E1654" s="4" t="s">
        <v>5571</v>
      </c>
      <c r="F1654" s="9"/>
      <c r="G1654" s="11">
        <v>40120.0</v>
      </c>
      <c r="H1654" s="6"/>
      <c r="I1654" s="7" t="s">
        <v>5572</v>
      </c>
      <c r="K1654" s="12" t="str">
        <f t="shared" si="215"/>
        <v>SC3567</v>
      </c>
      <c r="M1654" s="2" t="s">
        <v>114</v>
      </c>
      <c r="N1654" s="2" t="s">
        <v>115</v>
      </c>
      <c r="O1654" s="2">
        <v>1.10751038E8</v>
      </c>
      <c r="Q1654" s="8">
        <v>2025.0</v>
      </c>
      <c r="R1654" s="8" t="s">
        <v>5275</v>
      </c>
    </row>
    <row r="1655">
      <c r="A1655" s="4" t="s">
        <v>18</v>
      </c>
      <c r="B1655" s="2" t="s">
        <v>5573</v>
      </c>
      <c r="C1655" s="10">
        <v>45998.0</v>
      </c>
      <c r="D1655" s="10">
        <v>45998.0</v>
      </c>
      <c r="E1655" s="4" t="s">
        <v>5574</v>
      </c>
      <c r="F1655" s="9"/>
      <c r="G1655" s="11">
        <v>27000.0</v>
      </c>
      <c r="H1655" s="6"/>
      <c r="I1655" s="7" t="s">
        <v>5575</v>
      </c>
      <c r="K1655" s="12" t="str">
        <f t="shared" si="215"/>
        <v>UN3668</v>
      </c>
      <c r="M1655" s="2" t="s">
        <v>114</v>
      </c>
      <c r="N1655" s="2" t="s">
        <v>115</v>
      </c>
      <c r="O1655" s="2">
        <v>1.10751038E8</v>
      </c>
      <c r="Q1655" s="8">
        <v>2025.0</v>
      </c>
      <c r="R1655" s="8" t="s">
        <v>5275</v>
      </c>
    </row>
    <row r="1656">
      <c r="A1656" s="4" t="s">
        <v>18</v>
      </c>
      <c r="B1656" s="2" t="s">
        <v>5576</v>
      </c>
      <c r="C1656" s="10">
        <v>45998.0</v>
      </c>
      <c r="D1656" s="10">
        <v>45998.0</v>
      </c>
      <c r="E1656" s="4" t="s">
        <v>5577</v>
      </c>
      <c r="F1656" s="9"/>
      <c r="G1656" s="11">
        <v>10000.0</v>
      </c>
      <c r="H1656" s="6"/>
      <c r="I1656" s="11">
        <v>91701.76</v>
      </c>
      <c r="K1656" s="12" t="str">
        <f t="shared" si="215"/>
        <v>KN3817</v>
      </c>
      <c r="M1656" s="2" t="s">
        <v>114</v>
      </c>
      <c r="N1656" s="2" t="s">
        <v>115</v>
      </c>
      <c r="O1656" s="2">
        <v>1.10751038E8</v>
      </c>
      <c r="Q1656" s="8">
        <v>2025.0</v>
      </c>
      <c r="R1656" s="8" t="s">
        <v>5275</v>
      </c>
    </row>
    <row r="1657">
      <c r="A1657" s="4" t="s">
        <v>18</v>
      </c>
      <c r="B1657" s="2" t="s">
        <v>5578</v>
      </c>
      <c r="C1657" s="10">
        <v>45998.0</v>
      </c>
      <c r="D1657" s="10">
        <v>45998.0</v>
      </c>
      <c r="E1657" s="4" t="s">
        <v>5579</v>
      </c>
      <c r="F1657" s="9"/>
      <c r="G1657" s="11">
        <v>29000.0</v>
      </c>
      <c r="H1657" s="6"/>
      <c r="I1657" s="11">
        <v>62701.76</v>
      </c>
      <c r="K1657" s="12" t="str">
        <f t="shared" si="215"/>
        <v>SL1610</v>
      </c>
      <c r="M1657" s="2" t="s">
        <v>114</v>
      </c>
      <c r="N1657" s="2" t="s">
        <v>115</v>
      </c>
      <c r="O1657" s="2">
        <v>1.10751038E8</v>
      </c>
      <c r="Q1657" s="8">
        <v>2025.0</v>
      </c>
      <c r="R1657" s="8" t="s">
        <v>5275</v>
      </c>
    </row>
    <row r="1658">
      <c r="A1658" s="4" t="s">
        <v>18</v>
      </c>
      <c r="B1658" s="2" t="s">
        <v>5580</v>
      </c>
      <c r="C1658" s="10">
        <v>45998.0</v>
      </c>
      <c r="D1658" s="10">
        <v>45998.0</v>
      </c>
      <c r="E1658" s="4" t="s">
        <v>5581</v>
      </c>
      <c r="F1658" s="9"/>
      <c r="G1658" s="6"/>
      <c r="H1658" s="7">
        <v>818.0</v>
      </c>
      <c r="I1658" s="11">
        <v>63519.76</v>
      </c>
      <c r="K1658" s="12" t="str">
        <f t="shared" si="215"/>
        <v>SC3567</v>
      </c>
      <c r="M1658" s="2" t="s">
        <v>24</v>
      </c>
      <c r="N1658" s="2" t="s">
        <v>60</v>
      </c>
      <c r="O1658" s="2">
        <v>1.10751038E8</v>
      </c>
      <c r="P1658" s="15" t="str">
        <f>IFERROR(__xludf.DUMMYFUNCTION("CONCATENATE(B1658,"", "", to_text(D1658),"", "", E1658,"", "", H1658)"),"TSV-11-0514, 07-Dec-2025, UPI/CR/534185306604/UTKARSH /SBIN/utkarsh/SC3567, 818")</f>
        <v>TSV-11-0514, 07-Dec-2025, UPI/CR/534185306604/UTKARSH /SBIN/utkarsh/SC3567, 818</v>
      </c>
      <c r="Q1658" s="8">
        <v>2025.0</v>
      </c>
      <c r="R1658" s="8" t="s">
        <v>5275</v>
      </c>
    </row>
    <row r="1659">
      <c r="A1659" s="4" t="s">
        <v>18</v>
      </c>
      <c r="B1659" s="2" t="s">
        <v>5582</v>
      </c>
      <c r="C1659" s="10">
        <v>45998.0</v>
      </c>
      <c r="D1659" s="10">
        <v>45998.0</v>
      </c>
      <c r="E1659" s="4" t="s">
        <v>5583</v>
      </c>
      <c r="F1659" s="9"/>
      <c r="G1659" s="11">
        <v>10000.0</v>
      </c>
      <c r="H1659" s="6"/>
      <c r="I1659" s="11">
        <v>53519.76</v>
      </c>
      <c r="J1659" s="2" t="s">
        <v>3283</v>
      </c>
      <c r="K1659" s="12" t="str">
        <f t="shared" si="215"/>
        <v>TSV001</v>
      </c>
      <c r="M1659" s="2" t="s">
        <v>114</v>
      </c>
      <c r="N1659" s="2" t="s">
        <v>169</v>
      </c>
      <c r="O1659" s="2">
        <v>1.10751038E8</v>
      </c>
      <c r="Q1659" s="8">
        <v>2025.0</v>
      </c>
      <c r="R1659" s="8" t="s">
        <v>5275</v>
      </c>
    </row>
    <row r="1660">
      <c r="A1660" s="4" t="s">
        <v>18</v>
      </c>
      <c r="B1660" s="2" t="s">
        <v>5584</v>
      </c>
      <c r="C1660" s="10">
        <v>45998.0</v>
      </c>
      <c r="D1660" s="10">
        <v>45998.0</v>
      </c>
      <c r="E1660" s="4" t="s">
        <v>5585</v>
      </c>
      <c r="F1660" s="9"/>
      <c r="G1660" s="11">
        <v>9000.0</v>
      </c>
      <c r="H1660" s="6"/>
      <c r="I1660" s="11">
        <v>44519.76</v>
      </c>
      <c r="J1660" s="2" t="s">
        <v>3251</v>
      </c>
      <c r="K1660" s="12" t="str">
        <f t="shared" si="215"/>
        <v>TSV001</v>
      </c>
      <c r="M1660" s="2" t="s">
        <v>114</v>
      </c>
      <c r="N1660" s="2" t="s">
        <v>169</v>
      </c>
      <c r="O1660" s="2">
        <v>1.10751038E8</v>
      </c>
      <c r="Q1660" s="8">
        <v>2025.0</v>
      </c>
      <c r="R1660" s="8" t="s">
        <v>5275</v>
      </c>
    </row>
    <row r="1661">
      <c r="A1661" s="4" t="s">
        <v>18</v>
      </c>
      <c r="B1661" s="2" t="s">
        <v>5586</v>
      </c>
      <c r="C1661" s="10">
        <v>45998.0</v>
      </c>
      <c r="D1661" s="10">
        <v>45998.0</v>
      </c>
      <c r="E1661" s="4" t="s">
        <v>5587</v>
      </c>
      <c r="F1661" s="9"/>
      <c r="G1661" s="11">
        <v>21000.0</v>
      </c>
      <c r="H1661" s="6"/>
      <c r="I1661" s="11">
        <v>23519.76</v>
      </c>
      <c r="J1661" s="2" t="s">
        <v>5588</v>
      </c>
      <c r="K1661" s="12" t="str">
        <f t="shared" si="215"/>
        <v>TSV001</v>
      </c>
      <c r="M1661" s="2" t="s">
        <v>114</v>
      </c>
      <c r="N1661" s="2" t="s">
        <v>169</v>
      </c>
      <c r="O1661" s="2">
        <v>1.10751038E8</v>
      </c>
      <c r="Q1661" s="8">
        <v>2025.0</v>
      </c>
      <c r="R1661" s="8" t="s">
        <v>5275</v>
      </c>
    </row>
    <row r="1662">
      <c r="A1662" s="4" t="s">
        <v>18</v>
      </c>
      <c r="B1662" s="2" t="s">
        <v>5589</v>
      </c>
      <c r="C1662" s="10">
        <v>45998.0</v>
      </c>
      <c r="D1662" s="10">
        <v>45998.0</v>
      </c>
      <c r="E1662" s="4" t="s">
        <v>5590</v>
      </c>
      <c r="F1662" s="9"/>
      <c r="G1662" s="11">
        <v>10000.0</v>
      </c>
      <c r="H1662" s="6"/>
      <c r="I1662" s="11">
        <v>13519.76</v>
      </c>
      <c r="J1662" s="2" t="s">
        <v>3299</v>
      </c>
      <c r="K1662" s="12" t="str">
        <f t="shared" si="215"/>
        <v>TSV001</v>
      </c>
      <c r="M1662" s="2" t="s">
        <v>114</v>
      </c>
      <c r="N1662" s="2" t="s">
        <v>169</v>
      </c>
      <c r="O1662" s="2">
        <v>1.10751038E8</v>
      </c>
      <c r="Q1662" s="8">
        <v>2025.0</v>
      </c>
      <c r="R1662" s="8" t="s">
        <v>5275</v>
      </c>
    </row>
    <row r="1663">
      <c r="A1663" s="4" t="s">
        <v>18</v>
      </c>
      <c r="B1663" s="2" t="s">
        <v>5591</v>
      </c>
      <c r="C1663" s="10">
        <v>45998.0</v>
      </c>
      <c r="D1663" s="10">
        <v>45998.0</v>
      </c>
      <c r="E1663" s="4" t="s">
        <v>5592</v>
      </c>
      <c r="F1663" s="9"/>
      <c r="G1663" s="6"/>
      <c r="H1663" s="7">
        <v>926.0</v>
      </c>
      <c r="I1663" s="11">
        <v>14445.76</v>
      </c>
      <c r="K1663" s="12" t="str">
        <f t="shared" si="215"/>
        <v>SC3567</v>
      </c>
      <c r="M1663" s="2" t="s">
        <v>24</v>
      </c>
      <c r="N1663" s="2" t="s">
        <v>60</v>
      </c>
      <c r="O1663" s="2">
        <v>1.10751038E8</v>
      </c>
      <c r="P1663" s="15" t="str">
        <f>IFERROR(__xludf.DUMMYFUNCTION("CONCATENATE(B1663,"", "", to_text(D1663),"", "", E1663,"", "", H1663)"),"TSV-11-0519, 07-Dec-2025, UPI/CR/115275563821/JATINPAL/HDFC/jatinpa/SC3567, 926")</f>
        <v>TSV-11-0519, 07-Dec-2025, UPI/CR/115275563821/JATINPAL/HDFC/jatinpa/SC3567, 926</v>
      </c>
      <c r="Q1663" s="8">
        <v>2025.0</v>
      </c>
      <c r="R1663" s="8" t="s">
        <v>5275</v>
      </c>
    </row>
    <row r="1664">
      <c r="A1664" s="4" t="s">
        <v>18</v>
      </c>
      <c r="B1664" s="2" t="s">
        <v>5593</v>
      </c>
      <c r="C1664" s="10">
        <v>45998.0</v>
      </c>
      <c r="D1664" s="10">
        <v>45998.0</v>
      </c>
      <c r="E1664" s="4" t="s">
        <v>5594</v>
      </c>
      <c r="F1664" s="9"/>
      <c r="G1664" s="6"/>
      <c r="H1664" s="7">
        <v>373.0</v>
      </c>
      <c r="I1664" s="11">
        <v>14818.76</v>
      </c>
      <c r="K1664" s="12" t="str">
        <f t="shared" si="215"/>
        <v>SC3567</v>
      </c>
      <c r="M1664" s="2" t="s">
        <v>24</v>
      </c>
      <c r="N1664" s="2" t="s">
        <v>60</v>
      </c>
      <c r="O1664" s="2">
        <v>1.10751038E8</v>
      </c>
      <c r="P1664" s="15" t="str">
        <f>IFERROR(__xludf.DUMMYFUNCTION("CONCATENATE(B1664,"", "", to_text(D1664),"", "", E1664,"", "", H1664)"),"TSV-11-0520, 07-Dec-2025, UPI/CR/115278457619/DIVYANSH/KKBK/divyans/SC3567, 373")</f>
        <v>TSV-11-0520, 07-Dec-2025, UPI/CR/115278457619/DIVYANSH/KKBK/divyans/SC3567, 373</v>
      </c>
      <c r="Q1664" s="8">
        <v>2025.0</v>
      </c>
      <c r="R1664" s="8" t="s">
        <v>5275</v>
      </c>
    </row>
    <row r="1665">
      <c r="A1665" s="4" t="s">
        <v>18</v>
      </c>
      <c r="B1665" s="2" t="s">
        <v>5595</v>
      </c>
      <c r="C1665" s="10">
        <v>45998.0</v>
      </c>
      <c r="D1665" s="10">
        <v>45998.0</v>
      </c>
      <c r="E1665" s="4" t="s">
        <v>5596</v>
      </c>
      <c r="F1665" s="9"/>
      <c r="G1665" s="6"/>
      <c r="H1665" s="7">
        <v>659.0</v>
      </c>
      <c r="I1665" s="11">
        <v>15477.76</v>
      </c>
      <c r="K1665" s="12" t="str">
        <f t="shared" si="215"/>
        <v>SC3567</v>
      </c>
      <c r="M1665" s="2" t="s">
        <v>24</v>
      </c>
      <c r="N1665" s="2" t="s">
        <v>60</v>
      </c>
      <c r="O1665" s="2">
        <v>1.10751038E8</v>
      </c>
      <c r="P1665" s="15" t="str">
        <f>IFERROR(__xludf.DUMMYFUNCTION("CONCATENATE(B1665,"", "", to_text(D1665),"", "", E1665,"", "", H1665)"),"TSV-11-0521, 07-Dec-2025, UPI/CR/115283880935/PIYUSH M/HDFC/erpiyus/SC3567, 659")</f>
        <v>TSV-11-0521, 07-Dec-2025, UPI/CR/115283880935/PIYUSH M/HDFC/erpiyus/SC3567, 659</v>
      </c>
      <c r="Q1665" s="8">
        <v>2025.0</v>
      </c>
      <c r="R1665" s="8" t="s">
        <v>5275</v>
      </c>
    </row>
    <row r="1666">
      <c r="A1666" s="4" t="s">
        <v>18</v>
      </c>
      <c r="B1666" s="2" t="s">
        <v>5597</v>
      </c>
      <c r="C1666" s="10">
        <v>45998.0</v>
      </c>
      <c r="D1666" s="10">
        <v>45998.0</v>
      </c>
      <c r="E1666" s="4" t="s">
        <v>5598</v>
      </c>
      <c r="F1666" s="9"/>
      <c r="G1666" s="6"/>
      <c r="H1666" s="7">
        <v>659.0</v>
      </c>
      <c r="I1666" s="11">
        <v>16136.76</v>
      </c>
      <c r="K1666" s="12" t="str">
        <f t="shared" si="215"/>
        <v>SC3567</v>
      </c>
      <c r="M1666" s="2" t="s">
        <v>24</v>
      </c>
      <c r="N1666" s="2" t="s">
        <v>60</v>
      </c>
      <c r="O1666" s="2">
        <v>1.10751038E8</v>
      </c>
      <c r="P1666" s="15" t="str">
        <f>IFERROR(__xludf.DUMMYFUNCTION("CONCATENATE(B1666,"", "", to_text(D1666),"", "", E1666,"", "", H1666)"),"TSV-11-0522, 07-Dec-2025, UPI/CR/317780505075/ANTARA B/HDFC/banerje/SC3567, 659")</f>
        <v>TSV-11-0522, 07-Dec-2025, UPI/CR/317780505075/ANTARA B/HDFC/banerje/SC3567, 659</v>
      </c>
      <c r="Q1666" s="8">
        <v>2025.0</v>
      </c>
      <c r="R1666" s="8" t="s">
        <v>5275</v>
      </c>
    </row>
    <row r="1667">
      <c r="A1667" s="4" t="s">
        <v>18</v>
      </c>
      <c r="B1667" s="2" t="s">
        <v>5599</v>
      </c>
      <c r="C1667" s="10">
        <v>45998.0</v>
      </c>
      <c r="D1667" s="10">
        <v>45998.0</v>
      </c>
      <c r="E1667" s="4" t="s">
        <v>5600</v>
      </c>
      <c r="F1667" s="9"/>
      <c r="G1667" s="6"/>
      <c r="H1667" s="7">
        <v>649.0</v>
      </c>
      <c r="I1667" s="11">
        <v>16785.76</v>
      </c>
      <c r="K1667" s="12" t="str">
        <f t="shared" si="215"/>
        <v>SC3567</v>
      </c>
      <c r="M1667" s="2" t="s">
        <v>24</v>
      </c>
      <c r="N1667" s="2" t="s">
        <v>60</v>
      </c>
      <c r="O1667" s="2">
        <v>1.10751038E8</v>
      </c>
      <c r="P1667" s="15" t="str">
        <f>IFERROR(__xludf.DUMMYFUNCTION("CONCATENATE(B1667,"", "", to_text(D1667),"", "", E1667,"", "", H1667)"),"TSV-11-0523, 07-Dec-2025, UPI/CR/534115357807/MEGHA K/UTIB/megha.k/SC3567, 649")</f>
        <v>TSV-11-0523, 07-Dec-2025, UPI/CR/534115357807/MEGHA K/UTIB/megha.k/SC3567, 649</v>
      </c>
      <c r="Q1667" s="8">
        <v>2025.0</v>
      </c>
      <c r="R1667" s="8" t="s">
        <v>5275</v>
      </c>
    </row>
    <row r="1668">
      <c r="A1668" s="4" t="s">
        <v>18</v>
      </c>
      <c r="B1668" s="2" t="s">
        <v>5601</v>
      </c>
      <c r="C1668" s="10">
        <v>45998.0</v>
      </c>
      <c r="D1668" s="10">
        <v>45998.0</v>
      </c>
      <c r="E1668" s="4" t="s">
        <v>5602</v>
      </c>
      <c r="F1668" s="9"/>
      <c r="G1668" s="7">
        <v>500.0</v>
      </c>
      <c r="H1668" s="6"/>
      <c r="I1668" s="11">
        <v>16285.76</v>
      </c>
      <c r="J1668" s="2" t="s">
        <v>5603</v>
      </c>
      <c r="K1668" s="2" t="s">
        <v>127</v>
      </c>
      <c r="M1668" s="2" t="s">
        <v>114</v>
      </c>
      <c r="N1668" s="2" t="s">
        <v>169</v>
      </c>
      <c r="O1668" s="2">
        <v>1.10751038E8</v>
      </c>
      <c r="Q1668" s="8">
        <v>2025.0</v>
      </c>
      <c r="R1668" s="8" t="s">
        <v>5275</v>
      </c>
    </row>
    <row r="1669">
      <c r="A1669" s="4" t="s">
        <v>18</v>
      </c>
      <c r="B1669" s="2" t="s">
        <v>5604</v>
      </c>
      <c r="C1669" s="10">
        <v>45998.0</v>
      </c>
      <c r="D1669" s="10">
        <v>45998.0</v>
      </c>
      <c r="E1669" s="4" t="s">
        <v>5605</v>
      </c>
      <c r="F1669" s="9"/>
      <c r="G1669" s="11">
        <v>5000.0</v>
      </c>
      <c r="H1669" s="6"/>
      <c r="I1669" s="11">
        <v>11285.76</v>
      </c>
      <c r="J1669" s="2" t="s">
        <v>5606</v>
      </c>
      <c r="K1669" s="2" t="s">
        <v>119</v>
      </c>
      <c r="M1669" s="2" t="s">
        <v>114</v>
      </c>
      <c r="N1669" s="2" t="s">
        <v>169</v>
      </c>
      <c r="O1669" s="2">
        <v>1.10751038E8</v>
      </c>
      <c r="Q1669" s="8">
        <v>2025.0</v>
      </c>
      <c r="R1669" s="8" t="s">
        <v>5275</v>
      </c>
    </row>
    <row r="1670">
      <c r="A1670" s="4" t="s">
        <v>18</v>
      </c>
      <c r="B1670" s="2" t="s">
        <v>5607</v>
      </c>
      <c r="C1670" s="10">
        <v>45999.0</v>
      </c>
      <c r="D1670" s="10">
        <v>45999.0</v>
      </c>
      <c r="E1670" s="4" t="s">
        <v>5608</v>
      </c>
      <c r="F1670" s="9"/>
      <c r="G1670" s="6"/>
      <c r="H1670" s="7">
        <v>240.0</v>
      </c>
      <c r="I1670" s="11">
        <v>11525.76</v>
      </c>
      <c r="K1670" s="12" t="str">
        <f t="shared" ref="K1670:K1677" si="216">RIGHT(E1670,6)</f>
        <v>KN3817</v>
      </c>
      <c r="L1670" s="2" t="s">
        <v>5609</v>
      </c>
      <c r="M1670" s="2" t="s">
        <v>24</v>
      </c>
      <c r="N1670" s="2" t="s">
        <v>60</v>
      </c>
      <c r="O1670" s="2">
        <v>1.10751038E8</v>
      </c>
      <c r="Q1670" s="8">
        <v>2025.0</v>
      </c>
      <c r="R1670" s="8" t="s">
        <v>5275</v>
      </c>
    </row>
    <row r="1671">
      <c r="A1671" s="4" t="s">
        <v>18</v>
      </c>
      <c r="B1671" s="2" t="s">
        <v>5610</v>
      </c>
      <c r="C1671" s="10">
        <v>45999.0</v>
      </c>
      <c r="D1671" s="10">
        <v>45999.0</v>
      </c>
      <c r="E1671" s="4" t="s">
        <v>5611</v>
      </c>
      <c r="F1671" s="9"/>
      <c r="G1671" s="6"/>
      <c r="H1671" s="7">
        <v>825.0</v>
      </c>
      <c r="I1671" s="11">
        <v>12350.76</v>
      </c>
      <c r="K1671" s="12" t="str">
        <f t="shared" si="216"/>
        <v>UN3668</v>
      </c>
      <c r="L1671" s="2" t="s">
        <v>5612</v>
      </c>
      <c r="M1671" s="2" t="s">
        <v>24</v>
      </c>
      <c r="N1671" s="2" t="s">
        <v>60</v>
      </c>
      <c r="O1671" s="2">
        <v>1.10751038E8</v>
      </c>
      <c r="Q1671" s="8">
        <v>2025.0</v>
      </c>
      <c r="R1671" s="8" t="s">
        <v>5275</v>
      </c>
    </row>
    <row r="1672">
      <c r="A1672" s="4" t="s">
        <v>18</v>
      </c>
      <c r="B1672" s="2" t="s">
        <v>5613</v>
      </c>
      <c r="C1672" s="10">
        <v>45999.0</v>
      </c>
      <c r="D1672" s="10">
        <v>45999.0</v>
      </c>
      <c r="E1672" s="4" t="s">
        <v>5614</v>
      </c>
      <c r="F1672" s="9"/>
      <c r="G1672" s="6"/>
      <c r="H1672" s="7">
        <v>190.0</v>
      </c>
      <c r="I1672" s="11">
        <v>12540.76</v>
      </c>
      <c r="K1672" s="12" t="str">
        <f t="shared" si="216"/>
        <v>SC3567</v>
      </c>
      <c r="L1672" s="2" t="s">
        <v>5615</v>
      </c>
      <c r="M1672" s="2" t="s">
        <v>24</v>
      </c>
      <c r="N1672" s="2" t="s">
        <v>60</v>
      </c>
      <c r="O1672" s="2">
        <v>1.10751038E8</v>
      </c>
      <c r="Q1672" s="8">
        <v>2025.0</v>
      </c>
      <c r="R1672" s="8" t="s">
        <v>5275</v>
      </c>
    </row>
    <row r="1673">
      <c r="A1673" s="4" t="s">
        <v>18</v>
      </c>
      <c r="B1673" s="2" t="s">
        <v>5616</v>
      </c>
      <c r="C1673" s="10">
        <v>45999.0</v>
      </c>
      <c r="D1673" s="10">
        <v>45999.0</v>
      </c>
      <c r="E1673" s="4" t="s">
        <v>5617</v>
      </c>
      <c r="F1673" s="9"/>
      <c r="G1673" s="6"/>
      <c r="H1673" s="7">
        <v>820.0</v>
      </c>
      <c r="I1673" s="11">
        <v>13360.76</v>
      </c>
      <c r="K1673" s="12" t="str">
        <f t="shared" si="216"/>
        <v>SL1610</v>
      </c>
      <c r="L1673" s="2" t="s">
        <v>5618</v>
      </c>
      <c r="M1673" s="2" t="s">
        <v>24</v>
      </c>
      <c r="N1673" s="2" t="s">
        <v>60</v>
      </c>
      <c r="O1673" s="2">
        <v>1.10751038E8</v>
      </c>
      <c r="Q1673" s="8">
        <v>2025.0</v>
      </c>
      <c r="R1673" s="8" t="s">
        <v>5275</v>
      </c>
    </row>
    <row r="1674">
      <c r="A1674" s="4" t="s">
        <v>18</v>
      </c>
      <c r="B1674" s="2" t="s">
        <v>5619</v>
      </c>
      <c r="C1674" s="10">
        <v>45999.0</v>
      </c>
      <c r="D1674" s="10">
        <v>45999.0</v>
      </c>
      <c r="E1674" s="4" t="s">
        <v>5620</v>
      </c>
      <c r="F1674" s="9"/>
      <c r="G1674" s="6"/>
      <c r="H1674" s="7">
        <v>150.0</v>
      </c>
      <c r="I1674" s="11">
        <v>13510.76</v>
      </c>
      <c r="K1674" s="12" t="str">
        <f t="shared" si="216"/>
        <v>SC3567</v>
      </c>
      <c r="L1674" s="2" t="s">
        <v>5621</v>
      </c>
      <c r="M1674" s="2" t="s">
        <v>24</v>
      </c>
      <c r="N1674" s="2" t="s">
        <v>60</v>
      </c>
      <c r="O1674" s="2">
        <v>1.10751038E8</v>
      </c>
      <c r="P1674" s="15"/>
      <c r="Q1674" s="8">
        <v>2025.0</v>
      </c>
      <c r="R1674" s="8" t="s">
        <v>5275</v>
      </c>
    </row>
    <row r="1675">
      <c r="A1675" s="4" t="s">
        <v>18</v>
      </c>
      <c r="B1675" s="2" t="s">
        <v>5622</v>
      </c>
      <c r="C1675" s="10">
        <v>45999.0</v>
      </c>
      <c r="D1675" s="10">
        <v>45999.0</v>
      </c>
      <c r="E1675" s="4" t="s">
        <v>5623</v>
      </c>
      <c r="F1675" s="9"/>
      <c r="G1675" s="6"/>
      <c r="H1675" s="11">
        <v>1250.0</v>
      </c>
      <c r="I1675" s="11">
        <v>14760.76</v>
      </c>
      <c r="K1675" s="12" t="str">
        <f t="shared" si="216"/>
        <v>UN3668</v>
      </c>
      <c r="L1675" s="2" t="s">
        <v>5624</v>
      </c>
      <c r="M1675" s="2" t="s">
        <v>24</v>
      </c>
      <c r="N1675" s="2" t="s">
        <v>60</v>
      </c>
      <c r="O1675" s="2">
        <v>1.10751038E8</v>
      </c>
      <c r="Q1675" s="8">
        <v>2025.0</v>
      </c>
      <c r="R1675" s="8" t="s">
        <v>5275</v>
      </c>
    </row>
    <row r="1676">
      <c r="A1676" s="4" t="s">
        <v>18</v>
      </c>
      <c r="B1676" s="2" t="s">
        <v>5625</v>
      </c>
      <c r="C1676" s="10">
        <v>45999.0</v>
      </c>
      <c r="D1676" s="10">
        <v>45999.0</v>
      </c>
      <c r="E1676" s="4" t="s">
        <v>5626</v>
      </c>
      <c r="F1676" s="9"/>
      <c r="G1676" s="6"/>
      <c r="H1676" s="7">
        <v>600.0</v>
      </c>
      <c r="I1676" s="11">
        <v>15360.76</v>
      </c>
      <c r="K1676" s="12" t="str">
        <f t="shared" si="216"/>
        <v>UN3668</v>
      </c>
      <c r="L1676" s="2" t="s">
        <v>5612</v>
      </c>
      <c r="M1676" s="2" t="s">
        <v>24</v>
      </c>
      <c r="N1676" s="2" t="s">
        <v>60</v>
      </c>
      <c r="O1676" s="2">
        <v>1.10751038E8</v>
      </c>
      <c r="Q1676" s="8">
        <v>2025.0</v>
      </c>
      <c r="R1676" s="8" t="s">
        <v>5275</v>
      </c>
    </row>
    <row r="1677">
      <c r="A1677" s="4" t="s">
        <v>18</v>
      </c>
      <c r="B1677" s="2" t="s">
        <v>5627</v>
      </c>
      <c r="C1677" s="10">
        <v>45999.0</v>
      </c>
      <c r="D1677" s="10">
        <v>45999.0</v>
      </c>
      <c r="E1677" s="4" t="s">
        <v>5628</v>
      </c>
      <c r="F1677" s="9"/>
      <c r="G1677" s="6"/>
      <c r="H1677" s="7">
        <v>400.0</v>
      </c>
      <c r="I1677" s="11">
        <v>15760.76</v>
      </c>
      <c r="K1677" s="12" t="str">
        <f t="shared" si="216"/>
        <v>UN3668</v>
      </c>
      <c r="L1677" s="2" t="s">
        <v>5629</v>
      </c>
      <c r="M1677" s="2" t="s">
        <v>24</v>
      </c>
      <c r="N1677" s="2" t="s">
        <v>60</v>
      </c>
      <c r="O1677" s="2">
        <v>1.10751038E8</v>
      </c>
      <c r="Q1677" s="8">
        <v>2025.0</v>
      </c>
      <c r="R1677" s="8" t="s">
        <v>5275</v>
      </c>
    </row>
    <row r="1678">
      <c r="A1678" s="4" t="s">
        <v>18</v>
      </c>
      <c r="B1678" s="2" t="s">
        <v>5630</v>
      </c>
      <c r="C1678" s="10">
        <v>45999.0</v>
      </c>
      <c r="D1678" s="10">
        <v>45999.0</v>
      </c>
      <c r="E1678" s="4" t="s">
        <v>5631</v>
      </c>
      <c r="F1678" s="9"/>
      <c r="G1678" s="6"/>
      <c r="H1678" s="7">
        <v>518.0</v>
      </c>
      <c r="I1678" s="11">
        <v>16278.76</v>
      </c>
      <c r="K1678" s="2" t="s">
        <v>119</v>
      </c>
      <c r="L1678" s="2" t="s">
        <v>5632</v>
      </c>
      <c r="M1678" s="2" t="s">
        <v>24</v>
      </c>
      <c r="N1678" s="2" t="s">
        <v>60</v>
      </c>
      <c r="O1678" s="2">
        <v>1.10751038E8</v>
      </c>
      <c r="Q1678" s="8">
        <v>2025.0</v>
      </c>
      <c r="R1678" s="8" t="s">
        <v>5275</v>
      </c>
    </row>
    <row r="1679">
      <c r="A1679" s="4" t="s">
        <v>18</v>
      </c>
      <c r="B1679" s="2" t="s">
        <v>5633</v>
      </c>
      <c r="C1679" s="10">
        <v>45999.0</v>
      </c>
      <c r="D1679" s="10">
        <v>45999.0</v>
      </c>
      <c r="E1679" s="4" t="s">
        <v>5634</v>
      </c>
      <c r="F1679" s="9"/>
      <c r="G1679" s="6"/>
      <c r="H1679" s="11">
        <v>1060.0</v>
      </c>
      <c r="I1679" s="11">
        <v>17338.76</v>
      </c>
      <c r="K1679" s="12" t="str">
        <f t="shared" ref="K1679:K1680" si="217">RIGHT(E1679,6)</f>
        <v>SC3567</v>
      </c>
      <c r="L1679" s="2" t="s">
        <v>5635</v>
      </c>
      <c r="M1679" s="2" t="s">
        <v>24</v>
      </c>
      <c r="N1679" s="2" t="s">
        <v>60</v>
      </c>
      <c r="O1679" s="2">
        <v>1.10751038E8</v>
      </c>
      <c r="Q1679" s="8">
        <v>2025.0</v>
      </c>
      <c r="R1679" s="8" t="s">
        <v>5275</v>
      </c>
    </row>
    <row r="1680">
      <c r="A1680" s="4" t="s">
        <v>18</v>
      </c>
      <c r="B1680" s="2" t="s">
        <v>5636</v>
      </c>
      <c r="C1680" s="10">
        <v>45999.0</v>
      </c>
      <c r="D1680" s="10">
        <v>45999.0</v>
      </c>
      <c r="E1680" s="4" t="s">
        <v>5637</v>
      </c>
      <c r="F1680" s="9"/>
      <c r="G1680" s="6"/>
      <c r="H1680" s="11">
        <v>1261.0</v>
      </c>
      <c r="I1680" s="11">
        <v>18599.76</v>
      </c>
      <c r="K1680" s="12" t="str">
        <f t="shared" si="217"/>
        <v>SC3567</v>
      </c>
      <c r="L1680" s="2" t="s">
        <v>5638</v>
      </c>
      <c r="M1680" s="2" t="s">
        <v>24</v>
      </c>
      <c r="N1680" s="2" t="s">
        <v>60</v>
      </c>
      <c r="O1680" s="2">
        <v>1.10751038E8</v>
      </c>
      <c r="Q1680" s="8">
        <v>2025.0</v>
      </c>
      <c r="R1680" s="8" t="s">
        <v>5275</v>
      </c>
    </row>
    <row r="1681">
      <c r="A1681" s="4" t="s">
        <v>18</v>
      </c>
      <c r="B1681" s="2" t="s">
        <v>5639</v>
      </c>
      <c r="C1681" s="10">
        <v>45999.0</v>
      </c>
      <c r="D1681" s="10">
        <v>45999.0</v>
      </c>
      <c r="E1681" s="4" t="s">
        <v>5640</v>
      </c>
      <c r="F1681" s="9"/>
      <c r="G1681" s="11">
        <v>1000.0</v>
      </c>
      <c r="H1681" s="6"/>
      <c r="I1681" s="11">
        <v>17599.76</v>
      </c>
      <c r="J1681" s="2" t="s">
        <v>3060</v>
      </c>
      <c r="K1681" s="2" t="s">
        <v>123</v>
      </c>
      <c r="M1681" s="2" t="s">
        <v>114</v>
      </c>
      <c r="N1681" s="2" t="s">
        <v>385</v>
      </c>
      <c r="O1681" s="2">
        <v>1.10751038E8</v>
      </c>
      <c r="Q1681" s="8">
        <v>2025.0</v>
      </c>
      <c r="R1681" s="8" t="s">
        <v>5275</v>
      </c>
    </row>
    <row r="1682">
      <c r="A1682" s="4" t="s">
        <v>18</v>
      </c>
      <c r="B1682" s="2" t="s">
        <v>5641</v>
      </c>
      <c r="C1682" s="10">
        <v>46000.0</v>
      </c>
      <c r="D1682" s="10">
        <v>46000.0</v>
      </c>
      <c r="E1682" s="4" t="s">
        <v>5642</v>
      </c>
      <c r="F1682" s="9"/>
      <c r="G1682" s="11">
        <v>3000.0</v>
      </c>
      <c r="H1682" s="6"/>
      <c r="I1682" s="11">
        <v>14599.76</v>
      </c>
      <c r="K1682" s="2" t="s">
        <v>23</v>
      </c>
      <c r="M1682" s="2" t="s">
        <v>114</v>
      </c>
      <c r="N1682" s="2" t="s">
        <v>1835</v>
      </c>
      <c r="O1682" s="2">
        <v>1.10751038E8</v>
      </c>
      <c r="Q1682" s="8">
        <v>2025.0</v>
      </c>
      <c r="R1682" s="8" t="s">
        <v>5275</v>
      </c>
    </row>
    <row r="1683">
      <c r="A1683" s="4" t="s">
        <v>18</v>
      </c>
      <c r="B1683" s="2" t="s">
        <v>5643</v>
      </c>
      <c r="C1683" s="10">
        <v>46000.0</v>
      </c>
      <c r="D1683" s="10">
        <v>46000.0</v>
      </c>
      <c r="E1683" s="4" t="s">
        <v>5644</v>
      </c>
      <c r="F1683" s="9"/>
      <c r="G1683" s="11">
        <v>2249.0</v>
      </c>
      <c r="H1683" s="6"/>
      <c r="I1683" s="11">
        <v>12350.76</v>
      </c>
      <c r="K1683" s="2" t="s">
        <v>23</v>
      </c>
      <c r="M1683" s="2" t="s">
        <v>114</v>
      </c>
      <c r="N1683" s="2" t="s">
        <v>1351</v>
      </c>
      <c r="O1683" s="2">
        <v>1.10751038E8</v>
      </c>
      <c r="Q1683" s="8">
        <v>2025.0</v>
      </c>
      <c r="R1683" s="8" t="s">
        <v>5275</v>
      </c>
    </row>
    <row r="1684">
      <c r="A1684" s="4" t="s">
        <v>18</v>
      </c>
      <c r="B1684" s="2" t="s">
        <v>5645</v>
      </c>
      <c r="C1684" s="10">
        <v>46000.0</v>
      </c>
      <c r="D1684" s="10">
        <v>46000.0</v>
      </c>
      <c r="E1684" s="4" t="s">
        <v>5646</v>
      </c>
      <c r="F1684" s="9"/>
      <c r="G1684" s="6"/>
      <c r="H1684" s="7">
        <v>315.0</v>
      </c>
      <c r="I1684" s="11">
        <v>12665.76</v>
      </c>
      <c r="K1684" s="12" t="str">
        <f t="shared" ref="K1684:K1695" si="218">RIGHT(E1684,6)</f>
        <v>UN3668</v>
      </c>
      <c r="L1684" s="2" t="s">
        <v>5647</v>
      </c>
      <c r="M1684" s="2" t="s">
        <v>24</v>
      </c>
      <c r="N1684" s="2" t="s">
        <v>60</v>
      </c>
      <c r="O1684" s="2">
        <v>1.10751038E8</v>
      </c>
      <c r="Q1684" s="8">
        <v>2025.0</v>
      </c>
      <c r="R1684" s="8" t="s">
        <v>5275</v>
      </c>
    </row>
    <row r="1685">
      <c r="A1685" s="4" t="s">
        <v>18</v>
      </c>
      <c r="B1685" s="2" t="s">
        <v>5648</v>
      </c>
      <c r="C1685" s="10">
        <v>46000.0</v>
      </c>
      <c r="D1685" s="10">
        <v>46000.0</v>
      </c>
      <c r="E1685" s="4" t="s">
        <v>5649</v>
      </c>
      <c r="F1685" s="9"/>
      <c r="G1685" s="6"/>
      <c r="H1685" s="7">
        <v>518.0</v>
      </c>
      <c r="I1685" s="11">
        <v>13183.76</v>
      </c>
      <c r="K1685" s="12" t="str">
        <f t="shared" si="218"/>
        <v>UN3668</v>
      </c>
      <c r="L1685" s="2" t="s">
        <v>5650</v>
      </c>
      <c r="M1685" s="2" t="s">
        <v>24</v>
      </c>
      <c r="N1685" s="2" t="s">
        <v>60</v>
      </c>
      <c r="O1685" s="2">
        <v>1.10751038E8</v>
      </c>
      <c r="Q1685" s="8">
        <v>2025.0</v>
      </c>
      <c r="R1685" s="8" t="s">
        <v>5275</v>
      </c>
    </row>
    <row r="1686">
      <c r="A1686" s="4" t="s">
        <v>18</v>
      </c>
      <c r="B1686" s="2" t="s">
        <v>5651</v>
      </c>
      <c r="C1686" s="10">
        <v>46000.0</v>
      </c>
      <c r="D1686" s="10">
        <v>46000.0</v>
      </c>
      <c r="E1686" s="4" t="s">
        <v>5652</v>
      </c>
      <c r="F1686" s="9"/>
      <c r="G1686" s="6"/>
      <c r="H1686" s="7">
        <v>210.0</v>
      </c>
      <c r="I1686" s="11">
        <v>13393.76</v>
      </c>
      <c r="K1686" s="12" t="str">
        <f t="shared" si="218"/>
        <v>UN3668</v>
      </c>
      <c r="L1686" s="2" t="s">
        <v>5653</v>
      </c>
      <c r="M1686" s="2" t="s">
        <v>24</v>
      </c>
      <c r="N1686" s="2" t="s">
        <v>60</v>
      </c>
      <c r="O1686" s="2">
        <v>1.10751038E8</v>
      </c>
      <c r="Q1686" s="8">
        <v>2025.0</v>
      </c>
      <c r="R1686" s="8" t="s">
        <v>5275</v>
      </c>
    </row>
    <row r="1687">
      <c r="A1687" s="4" t="s">
        <v>18</v>
      </c>
      <c r="B1687" s="2" t="s">
        <v>5654</v>
      </c>
      <c r="C1687" s="10">
        <v>46000.0</v>
      </c>
      <c r="D1687" s="10">
        <v>46000.0</v>
      </c>
      <c r="E1687" s="4" t="s">
        <v>5655</v>
      </c>
      <c r="F1687" s="9"/>
      <c r="G1687" s="6"/>
      <c r="H1687" s="7">
        <v>300.0</v>
      </c>
      <c r="I1687" s="11">
        <v>13693.76</v>
      </c>
      <c r="K1687" s="12" t="str">
        <f t="shared" si="218"/>
        <v>KN3817</v>
      </c>
      <c r="L1687" s="2" t="s">
        <v>5656</v>
      </c>
      <c r="M1687" s="2" t="s">
        <v>24</v>
      </c>
      <c r="N1687" s="2" t="s">
        <v>60</v>
      </c>
      <c r="O1687" s="2">
        <v>1.10751038E8</v>
      </c>
      <c r="Q1687" s="8">
        <v>2025.0</v>
      </c>
      <c r="R1687" s="8" t="s">
        <v>5275</v>
      </c>
    </row>
    <row r="1688">
      <c r="A1688" s="4" t="s">
        <v>18</v>
      </c>
      <c r="B1688" s="2" t="s">
        <v>5657</v>
      </c>
      <c r="C1688" s="10">
        <v>46000.0</v>
      </c>
      <c r="D1688" s="10">
        <v>46000.0</v>
      </c>
      <c r="E1688" s="4" t="s">
        <v>5658</v>
      </c>
      <c r="F1688" s="9"/>
      <c r="G1688" s="6"/>
      <c r="H1688" s="7">
        <v>519.0</v>
      </c>
      <c r="I1688" s="11">
        <v>14212.76</v>
      </c>
      <c r="K1688" s="12" t="str">
        <f t="shared" si="218"/>
        <v>SC3567</v>
      </c>
      <c r="L1688" s="2" t="s">
        <v>5659</v>
      </c>
      <c r="M1688" s="2" t="s">
        <v>24</v>
      </c>
      <c r="N1688" s="2" t="s">
        <v>60</v>
      </c>
      <c r="O1688" s="2">
        <v>1.10751038E8</v>
      </c>
      <c r="Q1688" s="8">
        <v>2025.0</v>
      </c>
      <c r="R1688" s="8" t="s">
        <v>5275</v>
      </c>
    </row>
    <row r="1689">
      <c r="A1689" s="4" t="s">
        <v>18</v>
      </c>
      <c r="B1689" s="2" t="s">
        <v>5660</v>
      </c>
      <c r="C1689" s="10">
        <v>46000.0</v>
      </c>
      <c r="D1689" s="10">
        <v>46000.0</v>
      </c>
      <c r="E1689" s="4" t="s">
        <v>5661</v>
      </c>
      <c r="F1689" s="9"/>
      <c r="G1689" s="6"/>
      <c r="H1689" s="7">
        <v>329.0</v>
      </c>
      <c r="I1689" s="11">
        <v>14541.76</v>
      </c>
      <c r="K1689" s="12" t="str">
        <f t="shared" si="218"/>
        <v>SC3567</v>
      </c>
      <c r="L1689" s="2" t="s">
        <v>5662</v>
      </c>
      <c r="M1689" s="2" t="s">
        <v>24</v>
      </c>
      <c r="N1689" s="2" t="s">
        <v>60</v>
      </c>
      <c r="O1689" s="2">
        <v>1.10751038E8</v>
      </c>
      <c r="Q1689" s="8">
        <v>2025.0</v>
      </c>
      <c r="R1689" s="8" t="s">
        <v>5275</v>
      </c>
    </row>
    <row r="1690">
      <c r="A1690" s="4" t="s">
        <v>18</v>
      </c>
      <c r="B1690" s="2" t="s">
        <v>5663</v>
      </c>
      <c r="C1690" s="10">
        <v>46000.0</v>
      </c>
      <c r="D1690" s="10">
        <v>46000.0</v>
      </c>
      <c r="E1690" s="4" t="s">
        <v>5664</v>
      </c>
      <c r="F1690" s="9"/>
      <c r="G1690" s="6"/>
      <c r="H1690" s="11">
        <v>1246.0</v>
      </c>
      <c r="I1690" s="11">
        <v>15787.76</v>
      </c>
      <c r="K1690" s="12" t="str">
        <f t="shared" si="218"/>
        <v>SC3567</v>
      </c>
      <c r="L1690" s="2" t="s">
        <v>5665</v>
      </c>
      <c r="M1690" s="2" t="s">
        <v>24</v>
      </c>
      <c r="N1690" s="2" t="s">
        <v>60</v>
      </c>
      <c r="O1690" s="2">
        <v>1.10751038E8</v>
      </c>
      <c r="Q1690" s="8">
        <v>2025.0</v>
      </c>
      <c r="R1690" s="8" t="s">
        <v>5275</v>
      </c>
    </row>
    <row r="1691">
      <c r="A1691" s="4" t="s">
        <v>18</v>
      </c>
      <c r="B1691" s="2" t="s">
        <v>5666</v>
      </c>
      <c r="C1691" s="10">
        <v>46000.0</v>
      </c>
      <c r="D1691" s="10">
        <v>46000.0</v>
      </c>
      <c r="E1691" s="4" t="s">
        <v>5667</v>
      </c>
      <c r="F1691" s="9"/>
      <c r="G1691" s="6"/>
      <c r="H1691" s="7">
        <v>132.0</v>
      </c>
      <c r="I1691" s="11">
        <v>15919.76</v>
      </c>
      <c r="K1691" s="12" t="str">
        <f t="shared" si="218"/>
        <v>SC3567</v>
      </c>
      <c r="L1691" s="2" t="s">
        <v>5668</v>
      </c>
      <c r="M1691" s="2" t="s">
        <v>24</v>
      </c>
      <c r="N1691" s="2" t="s">
        <v>60</v>
      </c>
      <c r="O1691" s="2">
        <v>1.10751038E8</v>
      </c>
      <c r="Q1691" s="8">
        <v>2025.0</v>
      </c>
      <c r="R1691" s="8" t="s">
        <v>5275</v>
      </c>
    </row>
    <row r="1692">
      <c r="A1692" s="4" t="s">
        <v>18</v>
      </c>
      <c r="B1692" s="2" t="s">
        <v>5669</v>
      </c>
      <c r="C1692" s="10">
        <v>46000.0</v>
      </c>
      <c r="D1692" s="10">
        <v>46000.0</v>
      </c>
      <c r="E1692" s="4" t="s">
        <v>5670</v>
      </c>
      <c r="F1692" s="9"/>
      <c r="G1692" s="6"/>
      <c r="H1692" s="7">
        <v>528.0</v>
      </c>
      <c r="I1692" s="11">
        <v>16447.76</v>
      </c>
      <c r="K1692" s="12" t="str">
        <f t="shared" si="218"/>
        <v>SC3567</v>
      </c>
      <c r="L1692" s="2" t="s">
        <v>5671</v>
      </c>
      <c r="M1692" s="2" t="s">
        <v>24</v>
      </c>
      <c r="N1692" s="2" t="s">
        <v>60</v>
      </c>
      <c r="O1692" s="2">
        <v>1.10751038E8</v>
      </c>
      <c r="Q1692" s="8">
        <v>2025.0</v>
      </c>
      <c r="R1692" s="8" t="s">
        <v>5275</v>
      </c>
    </row>
    <row r="1693">
      <c r="A1693" s="4" t="s">
        <v>18</v>
      </c>
      <c r="B1693" s="2" t="s">
        <v>5672</v>
      </c>
      <c r="C1693" s="10">
        <v>46000.0</v>
      </c>
      <c r="D1693" s="10">
        <v>46000.0</v>
      </c>
      <c r="E1693" s="4" t="s">
        <v>5673</v>
      </c>
      <c r="F1693" s="9"/>
      <c r="G1693" s="6"/>
      <c r="H1693" s="7">
        <v>400.0</v>
      </c>
      <c r="I1693" s="11">
        <v>16847.76</v>
      </c>
      <c r="K1693" s="12" t="str">
        <f t="shared" si="218"/>
        <v>UN3668</v>
      </c>
      <c r="L1693" s="2" t="s">
        <v>5674</v>
      </c>
      <c r="M1693" s="2" t="s">
        <v>24</v>
      </c>
      <c r="N1693" s="2" t="s">
        <v>60</v>
      </c>
      <c r="O1693" s="2">
        <v>1.10751038E8</v>
      </c>
      <c r="Q1693" s="8">
        <v>2025.0</v>
      </c>
      <c r="R1693" s="8" t="s">
        <v>5275</v>
      </c>
    </row>
    <row r="1694">
      <c r="A1694" s="4" t="s">
        <v>18</v>
      </c>
      <c r="B1694" s="2" t="s">
        <v>5675</v>
      </c>
      <c r="C1694" s="10">
        <v>46000.0</v>
      </c>
      <c r="D1694" s="10">
        <v>46000.0</v>
      </c>
      <c r="E1694" s="4" t="s">
        <v>5676</v>
      </c>
      <c r="F1694" s="9"/>
      <c r="G1694" s="6"/>
      <c r="H1694" s="7">
        <v>128.0</v>
      </c>
      <c r="I1694" s="11">
        <v>16975.76</v>
      </c>
      <c r="K1694" s="12" t="str">
        <f t="shared" si="218"/>
        <v>UN3668</v>
      </c>
      <c r="L1694" s="2" t="s">
        <v>5677</v>
      </c>
      <c r="M1694" s="2" t="s">
        <v>24</v>
      </c>
      <c r="N1694" s="2" t="s">
        <v>60</v>
      </c>
      <c r="O1694" s="2">
        <v>1.10751038E8</v>
      </c>
      <c r="Q1694" s="8">
        <v>2025.0</v>
      </c>
      <c r="R1694" s="8" t="s">
        <v>5275</v>
      </c>
    </row>
    <row r="1695">
      <c r="A1695" s="4" t="s">
        <v>18</v>
      </c>
      <c r="B1695" s="2" t="s">
        <v>5678</v>
      </c>
      <c r="C1695" s="10">
        <v>46000.0</v>
      </c>
      <c r="D1695" s="10">
        <v>46000.0</v>
      </c>
      <c r="E1695" s="4" t="s">
        <v>5679</v>
      </c>
      <c r="F1695" s="9"/>
      <c r="G1695" s="6"/>
      <c r="H1695" s="7">
        <v>706.0</v>
      </c>
      <c r="I1695" s="11">
        <v>17681.76</v>
      </c>
      <c r="K1695" s="12" t="str">
        <f t="shared" si="218"/>
        <v>SC3567</v>
      </c>
      <c r="L1695" s="2" t="s">
        <v>5680</v>
      </c>
      <c r="M1695" s="2" t="s">
        <v>24</v>
      </c>
      <c r="N1695" s="2" t="s">
        <v>60</v>
      </c>
      <c r="O1695" s="2">
        <v>1.10751038E8</v>
      </c>
      <c r="Q1695" s="8">
        <v>2025.0</v>
      </c>
      <c r="R1695" s="8" t="s">
        <v>5275</v>
      </c>
    </row>
    <row r="1696">
      <c r="A1696" s="4" t="s">
        <v>18</v>
      </c>
      <c r="B1696" s="2" t="s">
        <v>5681</v>
      </c>
      <c r="C1696" s="10">
        <v>46000.0</v>
      </c>
      <c r="D1696" s="10">
        <v>46000.0</v>
      </c>
      <c r="E1696" s="4" t="s">
        <v>5682</v>
      </c>
      <c r="F1696" s="9"/>
      <c r="G1696" s="6"/>
      <c r="H1696" s="11">
        <v>50000.0</v>
      </c>
      <c r="I1696" s="11">
        <v>67681.76</v>
      </c>
      <c r="J1696" s="2" t="s">
        <v>731</v>
      </c>
      <c r="K1696" s="2" t="s">
        <v>23</v>
      </c>
      <c r="L1696" s="2" t="s">
        <v>5683</v>
      </c>
      <c r="M1696" s="2" t="s">
        <v>24</v>
      </c>
      <c r="N1696" s="2" t="s">
        <v>60</v>
      </c>
      <c r="O1696" s="2">
        <v>1.10751038E8</v>
      </c>
      <c r="P1696" s="15" t="str">
        <f>IFERROR(__xludf.DUMMYFUNCTION("CONCATENATE(B1696,"", "", to_text(D1696),"", "", E1696,"", "", H1696)"),"TSV-11-0552, 09-Dec-2025, IMPS/534320627052/THESHAWVENTURES/SBIN00A6446/4595/ReqPay, 50000")</f>
        <v>TSV-11-0552, 09-Dec-2025, IMPS/534320627052/THESHAWVENTURES/SBIN00A6446/4595/ReqPay, 50000</v>
      </c>
      <c r="Q1696" s="8">
        <v>2025.0</v>
      </c>
      <c r="R1696" s="8" t="s">
        <v>5275</v>
      </c>
    </row>
    <row r="1697">
      <c r="A1697" s="4" t="s">
        <v>18</v>
      </c>
      <c r="B1697" s="2" t="s">
        <v>5684</v>
      </c>
      <c r="C1697" s="10">
        <v>46000.0</v>
      </c>
      <c r="D1697" s="10">
        <v>46000.0</v>
      </c>
      <c r="E1697" s="4" t="s">
        <v>5685</v>
      </c>
      <c r="F1697" s="9"/>
      <c r="G1697" s="11">
        <v>11500.0</v>
      </c>
      <c r="H1697" s="6"/>
      <c r="I1697" s="11">
        <v>56181.76</v>
      </c>
      <c r="J1697" s="2" t="s">
        <v>4137</v>
      </c>
      <c r="K1697" s="12" t="str">
        <f t="shared" ref="K1697:K1709" si="219">RIGHT(E1697,6)</f>
        <v>UN3668</v>
      </c>
      <c r="M1697" s="2" t="s">
        <v>114</v>
      </c>
      <c r="N1697" s="2" t="s">
        <v>169</v>
      </c>
      <c r="O1697" s="2">
        <v>1.10751038E8</v>
      </c>
      <c r="Q1697" s="8">
        <v>2025.0</v>
      </c>
      <c r="R1697" s="8" t="s">
        <v>5275</v>
      </c>
    </row>
    <row r="1698">
      <c r="A1698" s="4" t="s">
        <v>18</v>
      </c>
      <c r="B1698" s="2" t="s">
        <v>5686</v>
      </c>
      <c r="C1698" s="10">
        <v>46000.0</v>
      </c>
      <c r="D1698" s="10">
        <v>46000.0</v>
      </c>
      <c r="E1698" s="4" t="s">
        <v>5687</v>
      </c>
      <c r="F1698" s="9"/>
      <c r="G1698" s="11">
        <v>10128.0</v>
      </c>
      <c r="H1698" s="6"/>
      <c r="I1698" s="11">
        <v>46053.76</v>
      </c>
      <c r="J1698" s="2" t="s">
        <v>2352</v>
      </c>
      <c r="K1698" s="12" t="str">
        <f t="shared" si="219"/>
        <v>KN3817</v>
      </c>
      <c r="M1698" s="2" t="s">
        <v>114</v>
      </c>
      <c r="N1698" s="2" t="s">
        <v>169</v>
      </c>
      <c r="O1698" s="2">
        <v>1.10751038E8</v>
      </c>
      <c r="Q1698" s="8">
        <v>2025.0</v>
      </c>
      <c r="R1698" s="8" t="s">
        <v>5275</v>
      </c>
    </row>
    <row r="1699">
      <c r="A1699" s="4" t="s">
        <v>18</v>
      </c>
      <c r="B1699" s="2" t="s">
        <v>5688</v>
      </c>
      <c r="C1699" s="10">
        <v>46000.0</v>
      </c>
      <c r="D1699" s="10">
        <v>46000.0</v>
      </c>
      <c r="E1699" s="4" t="s">
        <v>5689</v>
      </c>
      <c r="F1699" s="9"/>
      <c r="G1699" s="11">
        <v>6000.0</v>
      </c>
      <c r="H1699" s="6"/>
      <c r="I1699" s="11">
        <v>40053.76</v>
      </c>
      <c r="J1699" s="2" t="s">
        <v>5690</v>
      </c>
      <c r="K1699" s="12" t="str">
        <f t="shared" si="219"/>
        <v>UN3668</v>
      </c>
      <c r="M1699" s="2" t="s">
        <v>114</v>
      </c>
      <c r="N1699" s="2" t="s">
        <v>169</v>
      </c>
      <c r="O1699" s="2">
        <v>1.10751038E8</v>
      </c>
      <c r="Q1699" s="8">
        <v>2025.0</v>
      </c>
      <c r="R1699" s="8" t="s">
        <v>5275</v>
      </c>
    </row>
    <row r="1700">
      <c r="A1700" s="4" t="s">
        <v>18</v>
      </c>
      <c r="B1700" s="2" t="s">
        <v>5691</v>
      </c>
      <c r="C1700" s="10">
        <v>46000.0</v>
      </c>
      <c r="D1700" s="10">
        <v>46000.0</v>
      </c>
      <c r="E1700" s="4" t="s">
        <v>5692</v>
      </c>
      <c r="F1700" s="9"/>
      <c r="G1700" s="11">
        <v>16000.0</v>
      </c>
      <c r="H1700" s="6"/>
      <c r="I1700" s="11">
        <v>24053.76</v>
      </c>
      <c r="J1700" s="2" t="s">
        <v>5693</v>
      </c>
      <c r="K1700" s="12" t="str">
        <f t="shared" si="219"/>
        <v>SC3567</v>
      </c>
      <c r="M1700" s="2" t="s">
        <v>114</v>
      </c>
      <c r="N1700" s="2" t="s">
        <v>169</v>
      </c>
      <c r="O1700" s="2">
        <v>1.10751038E8</v>
      </c>
      <c r="Q1700" s="8">
        <v>2025.0</v>
      </c>
      <c r="R1700" s="8" t="s">
        <v>5275</v>
      </c>
    </row>
    <row r="1701">
      <c r="A1701" s="4" t="s">
        <v>18</v>
      </c>
      <c r="B1701" s="2" t="s">
        <v>5694</v>
      </c>
      <c r="C1701" s="10">
        <v>46000.0</v>
      </c>
      <c r="D1701" s="10">
        <v>46000.0</v>
      </c>
      <c r="E1701" s="4" t="s">
        <v>5695</v>
      </c>
      <c r="F1701" s="9"/>
      <c r="G1701" s="11">
        <v>4000.0</v>
      </c>
      <c r="H1701" s="6"/>
      <c r="I1701" s="11">
        <v>20053.76</v>
      </c>
      <c r="J1701" s="2" t="s">
        <v>5696</v>
      </c>
      <c r="K1701" s="12" t="str">
        <f t="shared" si="219"/>
        <v>KN3817</v>
      </c>
      <c r="M1701" s="2" t="s">
        <v>114</v>
      </c>
      <c r="N1701" s="2" t="s">
        <v>169</v>
      </c>
      <c r="O1701" s="2">
        <v>1.10751038E8</v>
      </c>
      <c r="Q1701" s="8">
        <v>2025.0</v>
      </c>
      <c r="R1701" s="8" t="s">
        <v>5275</v>
      </c>
    </row>
    <row r="1702">
      <c r="A1702" s="4" t="s">
        <v>18</v>
      </c>
      <c r="B1702" s="2" t="s">
        <v>5697</v>
      </c>
      <c r="C1702" s="10">
        <v>46000.0</v>
      </c>
      <c r="D1702" s="10">
        <v>46000.0</v>
      </c>
      <c r="E1702" s="4" t="s">
        <v>5698</v>
      </c>
      <c r="F1702" s="9"/>
      <c r="G1702" s="6"/>
      <c r="H1702" s="11">
        <v>1870.0</v>
      </c>
      <c r="I1702" s="11">
        <v>21923.76</v>
      </c>
      <c r="K1702" s="12" t="str">
        <f t="shared" si="219"/>
        <v>UN3668</v>
      </c>
      <c r="L1702" s="2" t="s">
        <v>5699</v>
      </c>
      <c r="M1702" s="2" t="s">
        <v>24</v>
      </c>
      <c r="N1702" s="2" t="s">
        <v>60</v>
      </c>
      <c r="O1702" s="2">
        <v>1.10751038E8</v>
      </c>
      <c r="Q1702" s="8">
        <v>2025.0</v>
      </c>
      <c r="R1702" s="8" t="s">
        <v>5275</v>
      </c>
    </row>
    <row r="1703">
      <c r="A1703" s="4" t="s">
        <v>18</v>
      </c>
      <c r="B1703" s="2" t="s">
        <v>5700</v>
      </c>
      <c r="C1703" s="10">
        <v>46000.0</v>
      </c>
      <c r="D1703" s="10">
        <v>46000.0</v>
      </c>
      <c r="E1703" s="4" t="s">
        <v>5701</v>
      </c>
      <c r="F1703" s="9"/>
      <c r="G1703" s="6"/>
      <c r="H1703" s="7">
        <v>358.0</v>
      </c>
      <c r="I1703" s="11">
        <v>22281.76</v>
      </c>
      <c r="K1703" s="12" t="str">
        <f t="shared" si="219"/>
        <v>SC3567</v>
      </c>
      <c r="L1703" s="2" t="s">
        <v>5702</v>
      </c>
      <c r="M1703" s="2" t="s">
        <v>24</v>
      </c>
      <c r="N1703" s="2" t="s">
        <v>60</v>
      </c>
      <c r="O1703" s="2">
        <v>1.10751038E8</v>
      </c>
      <c r="Q1703" s="8">
        <v>2025.0</v>
      </c>
      <c r="R1703" s="8" t="s">
        <v>5275</v>
      </c>
    </row>
    <row r="1704">
      <c r="A1704" s="4" t="s">
        <v>18</v>
      </c>
      <c r="B1704" s="2" t="s">
        <v>5703</v>
      </c>
      <c r="C1704" s="5">
        <v>46001.0</v>
      </c>
      <c r="D1704" s="5">
        <v>46001.0</v>
      </c>
      <c r="E1704" s="4" t="s">
        <v>5704</v>
      </c>
      <c r="F1704" s="9"/>
      <c r="G1704" s="6"/>
      <c r="H1704" s="7">
        <v>282.0</v>
      </c>
      <c r="I1704" s="11">
        <v>22563.76</v>
      </c>
      <c r="K1704" s="12" t="str">
        <f t="shared" si="219"/>
        <v>SC3567</v>
      </c>
      <c r="L1704" s="2" t="s">
        <v>5705</v>
      </c>
      <c r="M1704" s="2" t="s">
        <v>24</v>
      </c>
      <c r="N1704" s="2" t="s">
        <v>60</v>
      </c>
      <c r="O1704" s="2">
        <v>1.10751038E8</v>
      </c>
      <c r="Q1704" s="8">
        <v>2025.0</v>
      </c>
      <c r="R1704" s="8" t="s">
        <v>5275</v>
      </c>
    </row>
    <row r="1705">
      <c r="A1705" s="4" t="s">
        <v>18</v>
      </c>
      <c r="B1705" s="2" t="s">
        <v>5706</v>
      </c>
      <c r="C1705" s="5">
        <v>46001.0</v>
      </c>
      <c r="D1705" s="5">
        <v>46001.0</v>
      </c>
      <c r="E1705" s="4" t="s">
        <v>5707</v>
      </c>
      <c r="F1705" s="9"/>
      <c r="G1705" s="6"/>
      <c r="H1705" s="7">
        <v>584.0</v>
      </c>
      <c r="I1705" s="11">
        <v>23147.76</v>
      </c>
      <c r="K1705" s="12" t="str">
        <f t="shared" si="219"/>
        <v>UN3668</v>
      </c>
      <c r="L1705" s="2" t="s">
        <v>5708</v>
      </c>
      <c r="M1705" s="2" t="s">
        <v>24</v>
      </c>
      <c r="N1705" s="2" t="s">
        <v>60</v>
      </c>
      <c r="O1705" s="2">
        <v>1.10751038E8</v>
      </c>
      <c r="Q1705" s="8">
        <v>2025.0</v>
      </c>
      <c r="R1705" s="8" t="s">
        <v>5275</v>
      </c>
    </row>
    <row r="1706">
      <c r="A1706" s="4" t="s">
        <v>18</v>
      </c>
      <c r="B1706" s="2" t="s">
        <v>5709</v>
      </c>
      <c r="C1706" s="5">
        <v>46001.0</v>
      </c>
      <c r="D1706" s="5">
        <v>46001.0</v>
      </c>
      <c r="E1706" s="4" t="s">
        <v>5710</v>
      </c>
      <c r="F1706" s="9"/>
      <c r="G1706" s="6"/>
      <c r="H1706" s="7">
        <v>859.0</v>
      </c>
      <c r="I1706" s="11">
        <v>24006.76</v>
      </c>
      <c r="K1706" s="12" t="str">
        <f t="shared" si="219"/>
        <v>SC3567</v>
      </c>
      <c r="L1706" s="2" t="s">
        <v>5711</v>
      </c>
      <c r="M1706" s="2" t="s">
        <v>24</v>
      </c>
      <c r="N1706" s="2" t="s">
        <v>60</v>
      </c>
      <c r="O1706" s="2">
        <v>1.10751038E8</v>
      </c>
      <c r="Q1706" s="8">
        <v>2025.0</v>
      </c>
      <c r="R1706" s="8" t="s">
        <v>5275</v>
      </c>
    </row>
    <row r="1707">
      <c r="A1707" s="4" t="s">
        <v>18</v>
      </c>
      <c r="B1707" s="2" t="s">
        <v>5712</v>
      </c>
      <c r="C1707" s="5">
        <v>46001.0</v>
      </c>
      <c r="D1707" s="5">
        <v>46001.0</v>
      </c>
      <c r="E1707" s="4" t="s">
        <v>5713</v>
      </c>
      <c r="F1707" s="9"/>
      <c r="G1707" s="6"/>
      <c r="H1707" s="7">
        <v>657.0</v>
      </c>
      <c r="I1707" s="11">
        <v>24663.76</v>
      </c>
      <c r="K1707" s="12" t="str">
        <f t="shared" si="219"/>
        <v>SL1610</v>
      </c>
      <c r="L1707" s="2" t="s">
        <v>5714</v>
      </c>
      <c r="M1707" s="2" t="s">
        <v>24</v>
      </c>
      <c r="N1707" s="2" t="s">
        <v>60</v>
      </c>
      <c r="O1707" s="2">
        <v>1.10751038E8</v>
      </c>
      <c r="Q1707" s="8">
        <v>2025.0</v>
      </c>
      <c r="R1707" s="8" t="s">
        <v>5275</v>
      </c>
    </row>
    <row r="1708">
      <c r="A1708" s="4" t="s">
        <v>18</v>
      </c>
      <c r="B1708" s="2" t="s">
        <v>5715</v>
      </c>
      <c r="C1708" s="5">
        <v>46001.0</v>
      </c>
      <c r="D1708" s="5">
        <v>46001.0</v>
      </c>
      <c r="E1708" s="4" t="s">
        <v>5716</v>
      </c>
      <c r="F1708" s="9"/>
      <c r="G1708" s="6"/>
      <c r="H1708" s="7">
        <v>888.0</v>
      </c>
      <c r="I1708" s="11">
        <v>25551.76</v>
      </c>
      <c r="K1708" s="12" t="str">
        <f t="shared" si="219"/>
        <v>SL1610</v>
      </c>
      <c r="L1708" s="2" t="s">
        <v>5717</v>
      </c>
      <c r="M1708" s="2" t="s">
        <v>24</v>
      </c>
      <c r="N1708" s="2" t="s">
        <v>60</v>
      </c>
      <c r="O1708" s="2">
        <v>1.10751038E8</v>
      </c>
      <c r="Q1708" s="8">
        <v>2025.0</v>
      </c>
      <c r="R1708" s="8" t="s">
        <v>5275</v>
      </c>
    </row>
    <row r="1709">
      <c r="A1709" s="4" t="s">
        <v>18</v>
      </c>
      <c r="B1709" s="2" t="s">
        <v>5718</v>
      </c>
      <c r="C1709" s="5">
        <v>46001.0</v>
      </c>
      <c r="D1709" s="5">
        <v>46001.0</v>
      </c>
      <c r="E1709" s="4" t="s">
        <v>5719</v>
      </c>
      <c r="F1709" s="9"/>
      <c r="G1709" s="6"/>
      <c r="H1709" s="7">
        <v>264.0</v>
      </c>
      <c r="I1709" s="11">
        <v>25815.76</v>
      </c>
      <c r="K1709" s="12" t="str">
        <f t="shared" si="219"/>
        <v>KN3817</v>
      </c>
      <c r="L1709" s="2" t="s">
        <v>5720</v>
      </c>
      <c r="M1709" s="2" t="s">
        <v>24</v>
      </c>
      <c r="N1709" s="2" t="s">
        <v>60</v>
      </c>
      <c r="O1709" s="2">
        <v>1.10751038E8</v>
      </c>
      <c r="Q1709" s="8">
        <v>2025.0</v>
      </c>
      <c r="R1709" s="8" t="s">
        <v>5275</v>
      </c>
    </row>
    <row r="1710">
      <c r="A1710" s="4" t="s">
        <v>18</v>
      </c>
      <c r="B1710" s="2" t="s">
        <v>5721</v>
      </c>
      <c r="C1710" s="5">
        <v>46001.0</v>
      </c>
      <c r="D1710" s="5">
        <v>46001.0</v>
      </c>
      <c r="E1710" s="4" t="s">
        <v>5722</v>
      </c>
      <c r="F1710" s="9"/>
      <c r="G1710" s="11">
        <v>1500.0</v>
      </c>
      <c r="H1710" s="6"/>
      <c r="I1710" s="11">
        <v>24315.76</v>
      </c>
      <c r="K1710" s="2" t="s">
        <v>23</v>
      </c>
      <c r="M1710" s="2" t="s">
        <v>114</v>
      </c>
      <c r="N1710" s="2" t="s">
        <v>1835</v>
      </c>
      <c r="O1710" s="2">
        <v>1.10751038E8</v>
      </c>
      <c r="Q1710" s="8">
        <v>2025.0</v>
      </c>
      <c r="R1710" s="8" t="s">
        <v>5275</v>
      </c>
    </row>
    <row r="1711">
      <c r="A1711" s="4" t="s">
        <v>18</v>
      </c>
      <c r="B1711" s="2" t="s">
        <v>5723</v>
      </c>
      <c r="C1711" s="5">
        <v>46001.0</v>
      </c>
      <c r="D1711" s="5">
        <v>46001.0</v>
      </c>
      <c r="E1711" s="4" t="s">
        <v>5724</v>
      </c>
      <c r="F1711" s="9"/>
      <c r="G1711" s="6"/>
      <c r="H1711" s="7">
        <v>410.0</v>
      </c>
      <c r="I1711" s="11">
        <v>24725.76</v>
      </c>
      <c r="K1711" s="12" t="str">
        <f t="shared" ref="K1711:K1712" si="220">RIGHT(E1711,6)</f>
        <v>SL1610</v>
      </c>
      <c r="L1711" s="2" t="s">
        <v>5725</v>
      </c>
      <c r="M1711" s="2" t="s">
        <v>24</v>
      </c>
      <c r="N1711" s="2" t="s">
        <v>60</v>
      </c>
      <c r="O1711" s="2">
        <v>1.10751038E8</v>
      </c>
      <c r="Q1711" s="8">
        <v>2025.0</v>
      </c>
      <c r="R1711" s="8" t="s">
        <v>5275</v>
      </c>
    </row>
    <row r="1712">
      <c r="A1712" s="4" t="s">
        <v>18</v>
      </c>
      <c r="B1712" s="2" t="s">
        <v>5726</v>
      </c>
      <c r="C1712" s="5">
        <v>46001.0</v>
      </c>
      <c r="D1712" s="5">
        <v>46001.0</v>
      </c>
      <c r="E1712" s="4" t="s">
        <v>5727</v>
      </c>
      <c r="F1712" s="9"/>
      <c r="G1712" s="6"/>
      <c r="H1712" s="7">
        <v>450.0</v>
      </c>
      <c r="I1712" s="11">
        <v>25175.76</v>
      </c>
      <c r="K1712" s="12" t="str">
        <f t="shared" si="220"/>
        <v>UN3668</v>
      </c>
      <c r="L1712" s="2" t="s">
        <v>5728</v>
      </c>
      <c r="M1712" s="2" t="s">
        <v>24</v>
      </c>
      <c r="N1712" s="2" t="s">
        <v>60</v>
      </c>
      <c r="O1712" s="2">
        <v>1.10751038E8</v>
      </c>
      <c r="Q1712" s="8">
        <v>2025.0</v>
      </c>
      <c r="R1712" s="8" t="s">
        <v>5275</v>
      </c>
    </row>
    <row r="1713">
      <c r="A1713" s="4" t="s">
        <v>18</v>
      </c>
      <c r="B1713" s="2" t="s">
        <v>5729</v>
      </c>
      <c r="C1713" s="5">
        <v>46001.0</v>
      </c>
      <c r="D1713" s="5">
        <v>46001.0</v>
      </c>
      <c r="E1713" s="4" t="s">
        <v>5730</v>
      </c>
      <c r="F1713" s="9"/>
      <c r="G1713" s="11">
        <v>1620.0</v>
      </c>
      <c r="H1713" s="6"/>
      <c r="I1713" s="11">
        <v>23555.76</v>
      </c>
      <c r="K1713" s="2" t="s">
        <v>123</v>
      </c>
      <c r="M1713" s="2" t="s">
        <v>114</v>
      </c>
      <c r="N1713" s="2" t="s">
        <v>1800</v>
      </c>
      <c r="O1713" s="2">
        <v>1.10751038E8</v>
      </c>
      <c r="Q1713" s="8">
        <v>2025.0</v>
      </c>
      <c r="R1713" s="8" t="s">
        <v>5275</v>
      </c>
    </row>
    <row r="1714">
      <c r="A1714" s="4" t="s">
        <v>18</v>
      </c>
      <c r="B1714" s="2" t="s">
        <v>5731</v>
      </c>
      <c r="C1714" s="5">
        <v>46001.0</v>
      </c>
      <c r="D1714" s="5">
        <v>46001.0</v>
      </c>
      <c r="E1714" s="4" t="s">
        <v>5732</v>
      </c>
      <c r="F1714" s="9"/>
      <c r="G1714" s="6"/>
      <c r="H1714" s="7">
        <v>300.0</v>
      </c>
      <c r="I1714" s="11">
        <v>23855.76</v>
      </c>
      <c r="K1714" s="12" t="str">
        <f t="shared" ref="K1714:K1717" si="221">RIGHT(E1714,6)</f>
        <v>SC3567</v>
      </c>
      <c r="L1714" s="2" t="s">
        <v>5733</v>
      </c>
      <c r="M1714" s="2" t="s">
        <v>24</v>
      </c>
      <c r="N1714" s="2" t="s">
        <v>60</v>
      </c>
      <c r="O1714" s="2">
        <v>1.10751038E8</v>
      </c>
      <c r="Q1714" s="8">
        <v>2025.0</v>
      </c>
      <c r="R1714" s="8" t="s">
        <v>5275</v>
      </c>
    </row>
    <row r="1715">
      <c r="A1715" s="4" t="s">
        <v>18</v>
      </c>
      <c r="B1715" s="2" t="s">
        <v>5734</v>
      </c>
      <c r="C1715" s="5">
        <v>46001.0</v>
      </c>
      <c r="D1715" s="5">
        <v>46001.0</v>
      </c>
      <c r="E1715" s="4" t="s">
        <v>5735</v>
      </c>
      <c r="F1715" s="9"/>
      <c r="G1715" s="6"/>
      <c r="H1715" s="7">
        <v>739.0</v>
      </c>
      <c r="I1715" s="11">
        <v>24594.76</v>
      </c>
      <c r="K1715" s="12" t="str">
        <f t="shared" si="221"/>
        <v>SL1610</v>
      </c>
      <c r="L1715" s="2" t="s">
        <v>5736</v>
      </c>
      <c r="M1715" s="2" t="s">
        <v>24</v>
      </c>
      <c r="N1715" s="2" t="s">
        <v>60</v>
      </c>
      <c r="O1715" s="2">
        <v>1.10751038E8</v>
      </c>
      <c r="P1715" s="15"/>
      <c r="Q1715" s="8">
        <v>2025.0</v>
      </c>
      <c r="R1715" s="8" t="s">
        <v>5275</v>
      </c>
    </row>
    <row r="1716">
      <c r="A1716" s="4" t="s">
        <v>18</v>
      </c>
      <c r="B1716" s="2" t="s">
        <v>5737</v>
      </c>
      <c r="C1716" s="5">
        <v>46001.0</v>
      </c>
      <c r="D1716" s="5">
        <v>46001.0</v>
      </c>
      <c r="E1716" s="4" t="s">
        <v>5738</v>
      </c>
      <c r="F1716" s="9"/>
      <c r="G1716" s="6"/>
      <c r="H1716" s="7">
        <v>587.0</v>
      </c>
      <c r="I1716" s="11">
        <v>25181.76</v>
      </c>
      <c r="K1716" s="12" t="str">
        <f t="shared" si="221"/>
        <v>SL1610</v>
      </c>
      <c r="L1716" s="2" t="s">
        <v>5739</v>
      </c>
      <c r="M1716" s="2" t="s">
        <v>24</v>
      </c>
      <c r="N1716" s="2" t="s">
        <v>60</v>
      </c>
      <c r="O1716" s="2">
        <v>1.10751038E8</v>
      </c>
      <c r="Q1716" s="8">
        <v>2025.0</v>
      </c>
      <c r="R1716" s="8" t="s">
        <v>5275</v>
      </c>
    </row>
    <row r="1717">
      <c r="A1717" s="4" t="s">
        <v>18</v>
      </c>
      <c r="B1717" s="2" t="s">
        <v>5740</v>
      </c>
      <c r="C1717" s="5">
        <v>46001.0</v>
      </c>
      <c r="D1717" s="5">
        <v>46001.0</v>
      </c>
      <c r="E1717" s="4" t="s">
        <v>5741</v>
      </c>
      <c r="F1717" s="9"/>
      <c r="G1717" s="6"/>
      <c r="H1717" s="11">
        <v>1863.0</v>
      </c>
      <c r="I1717" s="11">
        <v>27044.76</v>
      </c>
      <c r="K1717" s="12" t="str">
        <f t="shared" si="221"/>
        <v>SC3567</v>
      </c>
      <c r="L1717" s="2" t="s">
        <v>5742</v>
      </c>
      <c r="M1717" s="2" t="s">
        <v>24</v>
      </c>
      <c r="N1717" s="2" t="s">
        <v>60</v>
      </c>
      <c r="O1717" s="2">
        <v>1.10751038E8</v>
      </c>
      <c r="Q1717" s="8">
        <v>2025.0</v>
      </c>
      <c r="R1717" s="8" t="s">
        <v>5275</v>
      </c>
    </row>
    <row r="1718">
      <c r="A1718" s="4" t="s">
        <v>18</v>
      </c>
      <c r="B1718" s="2" t="s">
        <v>5743</v>
      </c>
      <c r="C1718" s="5">
        <v>46001.0</v>
      </c>
      <c r="D1718" s="5">
        <v>46001.0</v>
      </c>
      <c r="E1718" s="4" t="s">
        <v>5744</v>
      </c>
      <c r="F1718" s="9"/>
      <c r="G1718" s="6"/>
      <c r="H1718" s="11">
        <v>50000.0</v>
      </c>
      <c r="I1718" s="11">
        <v>77044.76</v>
      </c>
      <c r="J1718" s="2" t="s">
        <v>731</v>
      </c>
      <c r="K1718" s="2" t="s">
        <v>23</v>
      </c>
      <c r="L1718" s="2" t="s">
        <v>5683</v>
      </c>
      <c r="M1718" s="2" t="s">
        <v>24</v>
      </c>
      <c r="N1718" s="2" t="s">
        <v>60</v>
      </c>
      <c r="O1718" s="2">
        <v>1.10751038E8</v>
      </c>
      <c r="P1718" s="15" t="str">
        <f>IFERROR(__xludf.DUMMYFUNCTION("CONCATENATE(B1718,"", "", to_text(D1718),"", "", E1718,"", "", H1718)"),"TSV-11-0574, 10-Dec-2025, IMPS/534421767097/THESHAWVENTURES/SBIN00A6446/4595/ReqPay, 50000")</f>
        <v>TSV-11-0574, 10-Dec-2025, IMPS/534421767097/THESHAWVENTURES/SBIN00A6446/4595/ReqPay, 50000</v>
      </c>
      <c r="Q1718" s="8">
        <v>2025.0</v>
      </c>
      <c r="R1718" s="8" t="s">
        <v>5275</v>
      </c>
    </row>
    <row r="1719">
      <c r="A1719" s="4" t="s">
        <v>18</v>
      </c>
      <c r="B1719" s="2" t="s">
        <v>5745</v>
      </c>
      <c r="C1719" s="5">
        <v>46001.0</v>
      </c>
      <c r="D1719" s="5">
        <v>46001.0</v>
      </c>
      <c r="E1719" s="4" t="s">
        <v>5746</v>
      </c>
      <c r="F1719" s="9"/>
      <c r="G1719" s="11">
        <v>11033.0</v>
      </c>
      <c r="H1719" s="6"/>
      <c r="I1719" s="11">
        <v>66011.76</v>
      </c>
      <c r="J1719" s="2" t="s">
        <v>5747</v>
      </c>
      <c r="K1719" s="12" t="str">
        <f t="shared" ref="K1719:K1729" si="222">RIGHT(E1719,6)</f>
        <v>UN3668</v>
      </c>
      <c r="M1719" s="2" t="s">
        <v>114</v>
      </c>
      <c r="N1719" s="2" t="s">
        <v>169</v>
      </c>
      <c r="O1719" s="2">
        <v>1.10751038E8</v>
      </c>
      <c r="Q1719" s="8">
        <v>2025.0</v>
      </c>
      <c r="R1719" s="8" t="s">
        <v>5275</v>
      </c>
    </row>
    <row r="1720">
      <c r="A1720" s="4" t="s">
        <v>18</v>
      </c>
      <c r="B1720" s="2" t="s">
        <v>5748</v>
      </c>
      <c r="C1720" s="5">
        <v>46001.0</v>
      </c>
      <c r="D1720" s="5">
        <v>46001.0</v>
      </c>
      <c r="E1720" s="4" t="s">
        <v>5749</v>
      </c>
      <c r="F1720" s="9"/>
      <c r="G1720" s="11">
        <v>16533.0</v>
      </c>
      <c r="H1720" s="6"/>
      <c r="I1720" s="11">
        <v>49478.76</v>
      </c>
      <c r="J1720" s="2" t="s">
        <v>2406</v>
      </c>
      <c r="K1720" s="12" t="str">
        <f t="shared" si="222"/>
        <v>SC3567</v>
      </c>
      <c r="M1720" s="2" t="s">
        <v>114</v>
      </c>
      <c r="N1720" s="2" t="s">
        <v>169</v>
      </c>
      <c r="O1720" s="2">
        <v>1.10751038E8</v>
      </c>
      <c r="Q1720" s="8">
        <v>2025.0</v>
      </c>
      <c r="R1720" s="8" t="s">
        <v>5275</v>
      </c>
    </row>
    <row r="1721">
      <c r="A1721" s="4" t="s">
        <v>18</v>
      </c>
      <c r="B1721" s="2" t="s">
        <v>5750</v>
      </c>
      <c r="C1721" s="5">
        <v>46002.0</v>
      </c>
      <c r="D1721" s="5">
        <v>46002.0</v>
      </c>
      <c r="E1721" s="4" t="s">
        <v>5751</v>
      </c>
      <c r="F1721" s="9"/>
      <c r="G1721" s="6"/>
      <c r="H1721" s="7">
        <v>300.0</v>
      </c>
      <c r="I1721" s="11">
        <v>49778.76</v>
      </c>
      <c r="K1721" s="12" t="str">
        <f t="shared" si="222"/>
        <v>UN3668</v>
      </c>
      <c r="L1721" s="2" t="s">
        <v>5752</v>
      </c>
      <c r="M1721" s="2" t="s">
        <v>24</v>
      </c>
      <c r="N1721" s="2" t="s">
        <v>60</v>
      </c>
      <c r="O1721" s="2">
        <v>1.10751038E8</v>
      </c>
      <c r="Q1721" s="8">
        <v>2025.0</v>
      </c>
      <c r="R1721" s="8" t="s">
        <v>5275</v>
      </c>
    </row>
    <row r="1722">
      <c r="A1722" s="4" t="s">
        <v>18</v>
      </c>
      <c r="B1722" s="2" t="s">
        <v>5753</v>
      </c>
      <c r="C1722" s="5">
        <v>46002.0</v>
      </c>
      <c r="D1722" s="5">
        <v>46002.0</v>
      </c>
      <c r="E1722" s="4" t="s">
        <v>5754</v>
      </c>
      <c r="F1722" s="9"/>
      <c r="G1722" s="6"/>
      <c r="H1722" s="7">
        <v>320.0</v>
      </c>
      <c r="I1722" s="11">
        <v>50098.76</v>
      </c>
      <c r="K1722" s="12" t="str">
        <f t="shared" si="222"/>
        <v>KN3817</v>
      </c>
      <c r="L1722" s="2" t="s">
        <v>2871</v>
      </c>
      <c r="M1722" s="2" t="s">
        <v>24</v>
      </c>
      <c r="N1722" s="2" t="s">
        <v>60</v>
      </c>
      <c r="O1722" s="2">
        <v>1.10751038E8</v>
      </c>
      <c r="Q1722" s="8">
        <v>2025.0</v>
      </c>
      <c r="R1722" s="8" t="s">
        <v>5275</v>
      </c>
    </row>
    <row r="1723">
      <c r="A1723" s="4" t="s">
        <v>18</v>
      </c>
      <c r="B1723" s="2" t="s">
        <v>5755</v>
      </c>
      <c r="C1723" s="5">
        <v>46002.0</v>
      </c>
      <c r="D1723" s="5">
        <v>46002.0</v>
      </c>
      <c r="E1723" s="4" t="s">
        <v>5756</v>
      </c>
      <c r="F1723" s="9"/>
      <c r="G1723" s="6"/>
      <c r="H1723" s="7">
        <v>435.0</v>
      </c>
      <c r="I1723" s="11">
        <v>50533.76</v>
      </c>
      <c r="K1723" s="12" t="str">
        <f t="shared" si="222"/>
        <v>UN3668</v>
      </c>
      <c r="L1723" s="2" t="s">
        <v>5757</v>
      </c>
      <c r="M1723" s="2" t="s">
        <v>24</v>
      </c>
      <c r="N1723" s="2" t="s">
        <v>60</v>
      </c>
      <c r="O1723" s="2">
        <v>1.10751038E8</v>
      </c>
      <c r="Q1723" s="8">
        <v>2025.0</v>
      </c>
      <c r="R1723" s="8" t="s">
        <v>5275</v>
      </c>
    </row>
    <row r="1724">
      <c r="A1724" s="4" t="s">
        <v>18</v>
      </c>
      <c r="B1724" s="2" t="s">
        <v>5758</v>
      </c>
      <c r="C1724" s="5">
        <v>46002.0</v>
      </c>
      <c r="D1724" s="5">
        <v>46002.0</v>
      </c>
      <c r="E1724" s="4" t="s">
        <v>5759</v>
      </c>
      <c r="F1724" s="9"/>
      <c r="G1724" s="6"/>
      <c r="H1724" s="7">
        <v>835.0</v>
      </c>
      <c r="I1724" s="11">
        <v>51368.76</v>
      </c>
      <c r="K1724" s="12" t="str">
        <f t="shared" si="222"/>
        <v>KN3817</v>
      </c>
      <c r="L1724" s="2" t="s">
        <v>5760</v>
      </c>
      <c r="M1724" s="2" t="s">
        <v>24</v>
      </c>
      <c r="N1724" s="2" t="s">
        <v>60</v>
      </c>
      <c r="O1724" s="2">
        <v>1.10751038E8</v>
      </c>
      <c r="Q1724" s="8">
        <v>2025.0</v>
      </c>
      <c r="R1724" s="8" t="s">
        <v>5275</v>
      </c>
    </row>
    <row r="1725">
      <c r="A1725" s="4" t="s">
        <v>18</v>
      </c>
      <c r="B1725" s="2" t="s">
        <v>5761</v>
      </c>
      <c r="C1725" s="5">
        <v>46002.0</v>
      </c>
      <c r="D1725" s="5">
        <v>46002.0</v>
      </c>
      <c r="E1725" s="4" t="s">
        <v>5762</v>
      </c>
      <c r="F1725" s="9"/>
      <c r="G1725" s="6"/>
      <c r="H1725" s="7">
        <v>608.0</v>
      </c>
      <c r="I1725" s="11">
        <v>51976.76</v>
      </c>
      <c r="K1725" s="12" t="str">
        <f t="shared" si="222"/>
        <v>UN3668</v>
      </c>
      <c r="L1725" s="2" t="s">
        <v>5763</v>
      </c>
      <c r="M1725" s="2" t="s">
        <v>24</v>
      </c>
      <c r="N1725" s="2" t="s">
        <v>60</v>
      </c>
      <c r="O1725" s="2">
        <v>1.10751038E8</v>
      </c>
      <c r="Q1725" s="8">
        <v>2025.0</v>
      </c>
      <c r="R1725" s="8" t="s">
        <v>5275</v>
      </c>
    </row>
    <row r="1726">
      <c r="A1726" s="4" t="s">
        <v>18</v>
      </c>
      <c r="B1726" s="2" t="s">
        <v>5764</v>
      </c>
      <c r="C1726" s="5">
        <v>46002.0</v>
      </c>
      <c r="D1726" s="5">
        <v>46002.0</v>
      </c>
      <c r="E1726" s="4" t="s">
        <v>5765</v>
      </c>
      <c r="F1726" s="9"/>
      <c r="G1726" s="6"/>
      <c r="H1726" s="7">
        <v>897.0</v>
      </c>
      <c r="I1726" s="11">
        <v>52873.76</v>
      </c>
      <c r="K1726" s="12" t="str">
        <f t="shared" si="222"/>
        <v>SC3567</v>
      </c>
      <c r="L1726" s="2" t="s">
        <v>5766</v>
      </c>
      <c r="M1726" s="2" t="s">
        <v>24</v>
      </c>
      <c r="N1726" s="2" t="s">
        <v>60</v>
      </c>
      <c r="O1726" s="2">
        <v>1.10751038E8</v>
      </c>
      <c r="Q1726" s="8">
        <v>2025.0</v>
      </c>
      <c r="R1726" s="8" t="s">
        <v>5275</v>
      </c>
    </row>
    <row r="1727">
      <c r="A1727" s="4" t="s">
        <v>18</v>
      </c>
      <c r="B1727" s="2" t="s">
        <v>5767</v>
      </c>
      <c r="C1727" s="5">
        <v>46002.0</v>
      </c>
      <c r="D1727" s="5">
        <v>46002.0</v>
      </c>
      <c r="E1727" s="4" t="s">
        <v>5768</v>
      </c>
      <c r="F1727" s="9"/>
      <c r="G1727" s="6"/>
      <c r="H1727" s="7">
        <v>278.0</v>
      </c>
      <c r="I1727" s="11">
        <v>53151.76</v>
      </c>
      <c r="K1727" s="12" t="str">
        <f t="shared" si="222"/>
        <v>SL1610</v>
      </c>
      <c r="L1727" s="2" t="s">
        <v>5769</v>
      </c>
      <c r="M1727" s="2" t="s">
        <v>24</v>
      </c>
      <c r="N1727" s="2" t="s">
        <v>60</v>
      </c>
      <c r="O1727" s="2">
        <v>1.10751038E8</v>
      </c>
      <c r="Q1727" s="8">
        <v>2025.0</v>
      </c>
      <c r="R1727" s="8" t="s">
        <v>5275</v>
      </c>
    </row>
    <row r="1728">
      <c r="A1728" s="4" t="s">
        <v>18</v>
      </c>
      <c r="B1728" s="2" t="s">
        <v>5770</v>
      </c>
      <c r="C1728" s="5">
        <v>46002.0</v>
      </c>
      <c r="D1728" s="5">
        <v>46002.0</v>
      </c>
      <c r="E1728" s="4" t="s">
        <v>5771</v>
      </c>
      <c r="F1728" s="9"/>
      <c r="G1728" s="6"/>
      <c r="H1728" s="7">
        <v>283.0</v>
      </c>
      <c r="I1728" s="11">
        <v>53434.76</v>
      </c>
      <c r="K1728" s="12" t="str">
        <f t="shared" si="222"/>
        <v>SL1610</v>
      </c>
      <c r="L1728" s="2" t="s">
        <v>5772</v>
      </c>
      <c r="M1728" s="2" t="s">
        <v>24</v>
      </c>
      <c r="N1728" s="2" t="s">
        <v>60</v>
      </c>
      <c r="O1728" s="2">
        <v>1.10751038E8</v>
      </c>
      <c r="Q1728" s="8">
        <v>2025.0</v>
      </c>
      <c r="R1728" s="8" t="s">
        <v>5275</v>
      </c>
    </row>
    <row r="1729">
      <c r="A1729" s="4" t="s">
        <v>18</v>
      </c>
      <c r="B1729" s="2" t="s">
        <v>5773</v>
      </c>
      <c r="C1729" s="5">
        <v>46002.0</v>
      </c>
      <c r="D1729" s="5">
        <v>46002.0</v>
      </c>
      <c r="E1729" s="4" t="s">
        <v>5774</v>
      </c>
      <c r="F1729" s="9"/>
      <c r="G1729" s="6"/>
      <c r="H1729" s="11">
        <v>1500.0</v>
      </c>
      <c r="I1729" s="11">
        <v>54934.76</v>
      </c>
      <c r="K1729" s="12" t="str">
        <f t="shared" si="222"/>
        <v>UN3668</v>
      </c>
      <c r="L1729" s="2" t="s">
        <v>5775</v>
      </c>
      <c r="M1729" s="2" t="s">
        <v>24</v>
      </c>
      <c r="N1729" s="2" t="s">
        <v>60</v>
      </c>
      <c r="O1729" s="2">
        <v>1.10751038E8</v>
      </c>
      <c r="Q1729" s="8">
        <v>2025.0</v>
      </c>
      <c r="R1729" s="8" t="s">
        <v>5275</v>
      </c>
    </row>
    <row r="1730">
      <c r="A1730" s="4" t="s">
        <v>18</v>
      </c>
      <c r="B1730" s="2" t="s">
        <v>5776</v>
      </c>
      <c r="C1730" s="5">
        <v>46002.0</v>
      </c>
      <c r="D1730" s="5">
        <v>46002.0</v>
      </c>
      <c r="E1730" s="4" t="s">
        <v>5777</v>
      </c>
      <c r="F1730" s="9"/>
      <c r="G1730" s="7">
        <v>970.0</v>
      </c>
      <c r="H1730" s="6"/>
      <c r="I1730" s="11">
        <v>53964.76</v>
      </c>
      <c r="K1730" s="2" t="s">
        <v>127</v>
      </c>
      <c r="M1730" s="2" t="s">
        <v>114</v>
      </c>
      <c r="N1730" s="2" t="s">
        <v>2739</v>
      </c>
      <c r="O1730" s="2">
        <v>1.10751038E8</v>
      </c>
      <c r="Q1730" s="8">
        <v>2025.0</v>
      </c>
      <c r="R1730" s="8" t="s">
        <v>5275</v>
      </c>
    </row>
    <row r="1731">
      <c r="A1731" s="4" t="s">
        <v>18</v>
      </c>
      <c r="B1731" s="2" t="s">
        <v>5778</v>
      </c>
      <c r="C1731" s="5">
        <v>46002.0</v>
      </c>
      <c r="D1731" s="5">
        <v>46002.0</v>
      </c>
      <c r="E1731" s="4" t="s">
        <v>5779</v>
      </c>
      <c r="F1731" s="9"/>
      <c r="G1731" s="6"/>
      <c r="H1731" s="7">
        <v>295.0</v>
      </c>
      <c r="I1731" s="11">
        <v>54259.76</v>
      </c>
      <c r="K1731" s="12" t="str">
        <f>RIGHT(E1731,6)</f>
        <v>SC3567</v>
      </c>
      <c r="L1731" s="2" t="s">
        <v>5780</v>
      </c>
      <c r="M1731" s="2" t="s">
        <v>24</v>
      </c>
      <c r="N1731" s="2" t="s">
        <v>60</v>
      </c>
      <c r="O1731" s="2">
        <v>1.10751038E8</v>
      </c>
      <c r="P1731" s="15" t="str">
        <f>IFERROR(__xludf.DUMMYFUNCTION("CONCATENATE(B1731,"", "", to_text(D1731),"", "", E1731,"", "", H1731)"),"TSV-11-0587, 11-Dec-2025, UPI/CR/115489554519/DIVYANSH/KKBK/divyans/SC3567, 295")</f>
        <v>TSV-11-0587, 11-Dec-2025, UPI/CR/115489554519/DIVYANSH/KKBK/divyans/SC3567, 295</v>
      </c>
      <c r="Q1731" s="8">
        <v>2025.0</v>
      </c>
      <c r="R1731" s="8" t="s">
        <v>5275</v>
      </c>
    </row>
    <row r="1732">
      <c r="A1732" s="4" t="s">
        <v>18</v>
      </c>
      <c r="B1732" s="2" t="s">
        <v>5781</v>
      </c>
      <c r="C1732" s="5">
        <v>46002.0</v>
      </c>
      <c r="D1732" s="5">
        <v>46002.0</v>
      </c>
      <c r="E1732" s="4" t="s">
        <v>5782</v>
      </c>
      <c r="F1732" s="9"/>
      <c r="G1732" s="11">
        <v>12667.0</v>
      </c>
      <c r="H1732" s="6"/>
      <c r="I1732" s="11">
        <v>41592.76</v>
      </c>
      <c r="J1732" s="2" t="s">
        <v>3243</v>
      </c>
      <c r="K1732" s="2" t="s">
        <v>127</v>
      </c>
      <c r="M1732" s="2" t="s">
        <v>114</v>
      </c>
      <c r="N1732" s="2" t="s">
        <v>169</v>
      </c>
      <c r="O1732" s="2">
        <v>1.10751038E8</v>
      </c>
      <c r="Q1732" s="8">
        <v>2025.0</v>
      </c>
      <c r="R1732" s="8" t="s">
        <v>5275</v>
      </c>
    </row>
    <row r="1733">
      <c r="A1733" s="4" t="s">
        <v>18</v>
      </c>
      <c r="B1733" s="2" t="s">
        <v>5783</v>
      </c>
      <c r="C1733" s="5">
        <v>46002.0</v>
      </c>
      <c r="D1733" s="5">
        <v>46002.0</v>
      </c>
      <c r="E1733" s="4" t="s">
        <v>5784</v>
      </c>
      <c r="F1733" s="9"/>
      <c r="G1733" s="6"/>
      <c r="H1733" s="11">
        <v>16533.0</v>
      </c>
      <c r="I1733" s="11">
        <v>58125.76</v>
      </c>
      <c r="J1733" s="2" t="s">
        <v>195</v>
      </c>
      <c r="K1733" s="2" t="s">
        <v>23</v>
      </c>
      <c r="L1733" s="2" t="s">
        <v>5683</v>
      </c>
      <c r="M1733" s="2" t="s">
        <v>24</v>
      </c>
      <c r="N1733" s="2" t="s">
        <v>195</v>
      </c>
      <c r="O1733" s="2">
        <v>1.10751038E8</v>
      </c>
      <c r="Q1733" s="8">
        <v>2025.0</v>
      </c>
      <c r="R1733" s="8" t="s">
        <v>5275</v>
      </c>
    </row>
    <row r="1734">
      <c r="A1734" s="4" t="s">
        <v>18</v>
      </c>
      <c r="B1734" s="2" t="s">
        <v>5785</v>
      </c>
      <c r="C1734" s="5">
        <v>46003.0</v>
      </c>
      <c r="D1734" s="5">
        <v>46003.0</v>
      </c>
      <c r="E1734" s="4" t="s">
        <v>5786</v>
      </c>
      <c r="F1734" s="9"/>
      <c r="G1734" s="6"/>
      <c r="H1734" s="7">
        <v>304.0</v>
      </c>
      <c r="I1734" s="11">
        <v>58429.76</v>
      </c>
      <c r="K1734" s="12" t="str">
        <f t="shared" ref="K1734:K1735" si="223">RIGHT(E1734,6)</f>
        <v>KN3817</v>
      </c>
      <c r="L1734" s="2" t="s">
        <v>2657</v>
      </c>
      <c r="M1734" s="2" t="s">
        <v>24</v>
      </c>
      <c r="N1734" s="2" t="s">
        <v>60</v>
      </c>
      <c r="O1734" s="2">
        <v>1.10751038E8</v>
      </c>
      <c r="P1734" s="15" t="str">
        <f>IFERROR(__xludf.DUMMYFUNCTION("CONCATENATE(B1734,"", "", to_text(D1734),"", "", E1734,"", "", H1734)"),"TSV-11-0590, 12-Dec-2025, UPI/CR/534695270792/AMRITA J/YESB/amritax/KN3817, 304")</f>
        <v>TSV-11-0590, 12-Dec-2025, UPI/CR/534695270792/AMRITA J/YESB/amritax/KN3817, 304</v>
      </c>
      <c r="Q1734" s="8">
        <v>2025.0</v>
      </c>
      <c r="R1734" s="8" t="s">
        <v>5275</v>
      </c>
    </row>
    <row r="1735">
      <c r="A1735" s="4" t="s">
        <v>18</v>
      </c>
      <c r="B1735" s="2" t="s">
        <v>5787</v>
      </c>
      <c r="C1735" s="5">
        <v>46003.0</v>
      </c>
      <c r="D1735" s="5">
        <v>46003.0</v>
      </c>
      <c r="E1735" s="4" t="s">
        <v>5788</v>
      </c>
      <c r="F1735" s="9"/>
      <c r="G1735" s="6"/>
      <c r="H1735" s="7">
        <v>530.0</v>
      </c>
      <c r="I1735" s="11">
        <v>58959.76</v>
      </c>
      <c r="K1735" s="12" t="str">
        <f t="shared" si="223"/>
        <v>SL1610</v>
      </c>
      <c r="L1735" s="2" t="s">
        <v>5789</v>
      </c>
      <c r="M1735" s="2" t="s">
        <v>24</v>
      </c>
      <c r="N1735" s="2" t="s">
        <v>60</v>
      </c>
      <c r="O1735" s="2">
        <v>1.10751038E8</v>
      </c>
      <c r="P1735" s="15"/>
      <c r="Q1735" s="8">
        <v>2025.0</v>
      </c>
      <c r="R1735" s="8" t="s">
        <v>5275</v>
      </c>
    </row>
    <row r="1736">
      <c r="A1736" s="4" t="s">
        <v>18</v>
      </c>
      <c r="B1736" s="2" t="s">
        <v>5790</v>
      </c>
      <c r="C1736" s="5">
        <v>46003.0</v>
      </c>
      <c r="D1736" s="5">
        <v>46003.0</v>
      </c>
      <c r="E1736" s="4" t="s">
        <v>5791</v>
      </c>
      <c r="F1736" s="9"/>
      <c r="G1736" s="11">
        <v>10920.0</v>
      </c>
      <c r="H1736" s="6"/>
      <c r="I1736" s="11">
        <v>48039.76</v>
      </c>
      <c r="K1736" s="2" t="s">
        <v>127</v>
      </c>
      <c r="M1736" s="2" t="s">
        <v>114</v>
      </c>
      <c r="N1736" s="2" t="s">
        <v>220</v>
      </c>
      <c r="O1736" s="2">
        <v>1.10751038E8</v>
      </c>
      <c r="Q1736" s="8">
        <v>2025.0</v>
      </c>
      <c r="R1736" s="8" t="s">
        <v>5275</v>
      </c>
    </row>
    <row r="1737">
      <c r="A1737" s="4" t="s">
        <v>18</v>
      </c>
      <c r="B1737" s="2" t="s">
        <v>5792</v>
      </c>
      <c r="C1737" s="5">
        <v>46003.0</v>
      </c>
      <c r="D1737" s="5">
        <v>46003.0</v>
      </c>
      <c r="E1737" s="4" t="s">
        <v>5793</v>
      </c>
      <c r="F1737" s="9"/>
      <c r="G1737" s="6"/>
      <c r="H1737" s="7">
        <v>800.0</v>
      </c>
      <c r="I1737" s="11">
        <v>48839.76</v>
      </c>
      <c r="K1737" s="12" t="str">
        <f t="shared" ref="K1737:K1744" si="224">RIGHT(E1737,6)</f>
        <v>KN3817</v>
      </c>
      <c r="L1737" s="2" t="s">
        <v>5794</v>
      </c>
      <c r="M1737" s="2" t="s">
        <v>24</v>
      </c>
      <c r="N1737" s="2" t="s">
        <v>60</v>
      </c>
      <c r="O1737" s="2">
        <v>1.10751038E8</v>
      </c>
      <c r="Q1737" s="8">
        <v>2025.0</v>
      </c>
      <c r="R1737" s="8" t="s">
        <v>5275</v>
      </c>
    </row>
    <row r="1738">
      <c r="A1738" s="4" t="s">
        <v>18</v>
      </c>
      <c r="B1738" s="2" t="s">
        <v>5795</v>
      </c>
      <c r="C1738" s="5">
        <v>46003.0</v>
      </c>
      <c r="D1738" s="5">
        <v>46003.0</v>
      </c>
      <c r="E1738" s="4" t="s">
        <v>5796</v>
      </c>
      <c r="F1738" s="9"/>
      <c r="G1738" s="6"/>
      <c r="H1738" s="11">
        <v>1950.0</v>
      </c>
      <c r="I1738" s="11">
        <v>50789.76</v>
      </c>
      <c r="K1738" s="12" t="str">
        <f t="shared" si="224"/>
        <v>KN3817</v>
      </c>
      <c r="L1738" s="2" t="s">
        <v>5797</v>
      </c>
      <c r="M1738" s="2" t="s">
        <v>24</v>
      </c>
      <c r="N1738" s="2" t="s">
        <v>60</v>
      </c>
      <c r="O1738" s="2">
        <v>1.10751038E8</v>
      </c>
      <c r="Q1738" s="8">
        <v>2025.0</v>
      </c>
      <c r="R1738" s="8" t="s">
        <v>5275</v>
      </c>
    </row>
    <row r="1739">
      <c r="A1739" s="4" t="s">
        <v>18</v>
      </c>
      <c r="B1739" s="2" t="s">
        <v>5798</v>
      </c>
      <c r="C1739" s="5">
        <v>46003.0</v>
      </c>
      <c r="D1739" s="5">
        <v>46003.0</v>
      </c>
      <c r="E1739" s="4" t="s">
        <v>5799</v>
      </c>
      <c r="F1739" s="9"/>
      <c r="G1739" s="6"/>
      <c r="H1739" s="7">
        <v>530.0</v>
      </c>
      <c r="I1739" s="11">
        <v>51319.76</v>
      </c>
      <c r="K1739" s="12" t="str">
        <f t="shared" si="224"/>
        <v>SC3567</v>
      </c>
      <c r="L1739" s="2" t="s">
        <v>5800</v>
      </c>
      <c r="M1739" s="2" t="s">
        <v>24</v>
      </c>
      <c r="N1739" s="2" t="s">
        <v>60</v>
      </c>
      <c r="O1739" s="2">
        <v>1.10751038E8</v>
      </c>
      <c r="Q1739" s="8">
        <v>2025.0</v>
      </c>
      <c r="R1739" s="8" t="s">
        <v>5275</v>
      </c>
    </row>
    <row r="1740">
      <c r="A1740" s="4" t="s">
        <v>18</v>
      </c>
      <c r="B1740" s="2" t="s">
        <v>5801</v>
      </c>
      <c r="C1740" s="5">
        <v>46003.0</v>
      </c>
      <c r="D1740" s="5">
        <v>46003.0</v>
      </c>
      <c r="E1740" s="4" t="s">
        <v>5802</v>
      </c>
      <c r="F1740" s="9"/>
      <c r="G1740" s="6"/>
      <c r="H1740" s="7">
        <v>760.0</v>
      </c>
      <c r="I1740" s="11">
        <v>52079.76</v>
      </c>
      <c r="K1740" s="12" t="str">
        <f t="shared" si="224"/>
        <v>KN3817</v>
      </c>
      <c r="L1740" s="2" t="s">
        <v>2960</v>
      </c>
      <c r="M1740" s="2" t="s">
        <v>24</v>
      </c>
      <c r="N1740" s="2" t="s">
        <v>60</v>
      </c>
      <c r="O1740" s="2">
        <v>1.10751038E8</v>
      </c>
      <c r="Q1740" s="8">
        <v>2025.0</v>
      </c>
      <c r="R1740" s="8" t="s">
        <v>5275</v>
      </c>
    </row>
    <row r="1741">
      <c r="A1741" s="4" t="s">
        <v>18</v>
      </c>
      <c r="B1741" s="2" t="s">
        <v>5803</v>
      </c>
      <c r="C1741" s="5">
        <v>46003.0</v>
      </c>
      <c r="D1741" s="5">
        <v>46003.0</v>
      </c>
      <c r="E1741" s="4" t="s">
        <v>5804</v>
      </c>
      <c r="F1741" s="9"/>
      <c r="G1741" s="6"/>
      <c r="H1741" s="7">
        <v>166.0</v>
      </c>
      <c r="I1741" s="11">
        <v>52245.76</v>
      </c>
      <c r="K1741" s="12" t="str">
        <f t="shared" si="224"/>
        <v>UN3668</v>
      </c>
      <c r="L1741" s="2" t="s">
        <v>5805</v>
      </c>
      <c r="M1741" s="2" t="s">
        <v>24</v>
      </c>
      <c r="N1741" s="2" t="s">
        <v>60</v>
      </c>
      <c r="O1741" s="2">
        <v>1.10751038E8</v>
      </c>
      <c r="Q1741" s="8">
        <v>2025.0</v>
      </c>
      <c r="R1741" s="8" t="s">
        <v>5275</v>
      </c>
    </row>
    <row r="1742">
      <c r="A1742" s="4" t="s">
        <v>18</v>
      </c>
      <c r="B1742" s="2" t="s">
        <v>5806</v>
      </c>
      <c r="C1742" s="5">
        <v>46003.0</v>
      </c>
      <c r="D1742" s="5">
        <v>46003.0</v>
      </c>
      <c r="E1742" s="4" t="s">
        <v>5807</v>
      </c>
      <c r="F1742" s="9"/>
      <c r="G1742" s="11">
        <v>2750.0</v>
      </c>
      <c r="H1742" s="6"/>
      <c r="I1742" s="11">
        <v>49495.76</v>
      </c>
      <c r="J1742" s="2" t="s">
        <v>3259</v>
      </c>
      <c r="K1742" s="12" t="str">
        <f t="shared" si="224"/>
        <v>UN3668</v>
      </c>
      <c r="M1742" s="2" t="s">
        <v>114</v>
      </c>
      <c r="N1742" s="2" t="s">
        <v>169</v>
      </c>
      <c r="O1742" s="2">
        <v>1.10751038E8</v>
      </c>
      <c r="Q1742" s="8">
        <v>2025.0</v>
      </c>
      <c r="R1742" s="8" t="s">
        <v>5275</v>
      </c>
    </row>
    <row r="1743">
      <c r="A1743" s="4" t="s">
        <v>18</v>
      </c>
      <c r="B1743" s="2" t="s">
        <v>5808</v>
      </c>
      <c r="C1743" s="5">
        <v>46003.0</v>
      </c>
      <c r="D1743" s="5">
        <v>46003.0</v>
      </c>
      <c r="E1743" s="4" t="s">
        <v>5809</v>
      </c>
      <c r="F1743" s="9"/>
      <c r="G1743" s="11">
        <v>20729.0</v>
      </c>
      <c r="H1743" s="6"/>
      <c r="I1743" s="11">
        <v>28766.76</v>
      </c>
      <c r="J1743" s="2" t="s">
        <v>3279</v>
      </c>
      <c r="K1743" s="12" t="str">
        <f t="shared" si="224"/>
        <v>SC3567</v>
      </c>
      <c r="M1743" s="2" t="s">
        <v>114</v>
      </c>
      <c r="N1743" s="2" t="s">
        <v>169</v>
      </c>
      <c r="O1743" s="2">
        <v>1.10751038E8</v>
      </c>
      <c r="Q1743" s="8">
        <v>2025.0</v>
      </c>
      <c r="R1743" s="8" t="s">
        <v>5275</v>
      </c>
    </row>
    <row r="1744">
      <c r="A1744" s="4" t="s">
        <v>18</v>
      </c>
      <c r="B1744" s="2" t="s">
        <v>5810</v>
      </c>
      <c r="C1744" s="5">
        <v>46003.0</v>
      </c>
      <c r="D1744" s="5">
        <v>46003.0</v>
      </c>
      <c r="E1744" s="4" t="s">
        <v>5811</v>
      </c>
      <c r="F1744" s="9"/>
      <c r="G1744" s="11">
        <v>21600.0</v>
      </c>
      <c r="H1744" s="6"/>
      <c r="I1744" s="11">
        <v>7166.76</v>
      </c>
      <c r="K1744" s="12" t="str">
        <f t="shared" si="224"/>
        <v>SL1610</v>
      </c>
      <c r="M1744" s="2" t="s">
        <v>114</v>
      </c>
      <c r="N1744" s="2" t="s">
        <v>169</v>
      </c>
      <c r="O1744" s="2">
        <v>1.10751038E8</v>
      </c>
      <c r="Q1744" s="8">
        <v>2025.0</v>
      </c>
      <c r="R1744" s="8" t="s">
        <v>5275</v>
      </c>
    </row>
    <row r="1745">
      <c r="A1745" s="4" t="s">
        <v>18</v>
      </c>
      <c r="B1745" s="2" t="s">
        <v>5812</v>
      </c>
      <c r="C1745" s="5">
        <v>46003.0</v>
      </c>
      <c r="D1745" s="5">
        <v>46003.0</v>
      </c>
      <c r="E1745" s="4" t="s">
        <v>5813</v>
      </c>
      <c r="F1745" s="9"/>
      <c r="G1745" s="7">
        <v>700.0</v>
      </c>
      <c r="H1745" s="6"/>
      <c r="I1745" s="11">
        <v>6466.76</v>
      </c>
      <c r="J1745" s="2" t="s">
        <v>5814</v>
      </c>
      <c r="K1745" s="2" t="s">
        <v>127</v>
      </c>
      <c r="M1745" s="2" t="s">
        <v>114</v>
      </c>
      <c r="N1745" s="2" t="s">
        <v>169</v>
      </c>
      <c r="O1745" s="2">
        <v>1.10751038E8</v>
      </c>
      <c r="Q1745" s="8">
        <v>2025.0</v>
      </c>
      <c r="R1745" s="8" t="s">
        <v>5275</v>
      </c>
    </row>
    <row r="1746">
      <c r="A1746" s="4" t="s">
        <v>18</v>
      </c>
      <c r="B1746" s="2" t="s">
        <v>5815</v>
      </c>
      <c r="C1746" s="5">
        <v>46003.0</v>
      </c>
      <c r="D1746" s="5">
        <v>46003.0</v>
      </c>
      <c r="E1746" s="4" t="s">
        <v>5816</v>
      </c>
      <c r="F1746" s="9"/>
      <c r="G1746" s="6"/>
      <c r="H1746" s="7">
        <v>442.0</v>
      </c>
      <c r="I1746" s="11">
        <v>6908.76</v>
      </c>
      <c r="K1746" s="12" t="str">
        <f t="shared" ref="K1746:K1748" si="225">RIGHT(E1746,6)</f>
        <v>SC3567</v>
      </c>
      <c r="L1746" s="2" t="s">
        <v>5817</v>
      </c>
      <c r="M1746" s="2" t="s">
        <v>24</v>
      </c>
      <c r="N1746" s="2" t="s">
        <v>60</v>
      </c>
      <c r="O1746" s="2">
        <v>1.10751038E8</v>
      </c>
      <c r="Q1746" s="8">
        <v>2025.0</v>
      </c>
      <c r="R1746" s="8" t="s">
        <v>5275</v>
      </c>
    </row>
    <row r="1747">
      <c r="A1747" s="4" t="s">
        <v>18</v>
      </c>
      <c r="B1747" s="2" t="s">
        <v>5818</v>
      </c>
      <c r="C1747" s="5">
        <v>46003.0</v>
      </c>
      <c r="D1747" s="5">
        <v>46003.0</v>
      </c>
      <c r="E1747" s="4" t="s">
        <v>5819</v>
      </c>
      <c r="F1747" s="9"/>
      <c r="G1747" s="6"/>
      <c r="H1747" s="7">
        <v>500.0</v>
      </c>
      <c r="I1747" s="11">
        <v>7408.76</v>
      </c>
      <c r="K1747" s="12" t="str">
        <f t="shared" si="225"/>
        <v>KN3817</v>
      </c>
      <c r="L1747" s="2" t="s">
        <v>2702</v>
      </c>
      <c r="M1747" s="2" t="s">
        <v>24</v>
      </c>
      <c r="N1747" s="2" t="s">
        <v>60</v>
      </c>
      <c r="O1747" s="2">
        <v>1.10751038E8</v>
      </c>
      <c r="P1747" s="15"/>
      <c r="Q1747" s="8">
        <v>2025.0</v>
      </c>
      <c r="R1747" s="8" t="s">
        <v>5275</v>
      </c>
    </row>
    <row r="1748">
      <c r="A1748" s="4" t="s">
        <v>18</v>
      </c>
      <c r="B1748" s="2" t="s">
        <v>5820</v>
      </c>
      <c r="C1748" s="5">
        <v>46003.0</v>
      </c>
      <c r="D1748" s="5">
        <v>46003.0</v>
      </c>
      <c r="E1748" s="4" t="s">
        <v>5821</v>
      </c>
      <c r="F1748" s="9"/>
      <c r="G1748" s="6"/>
      <c r="H1748" s="11">
        <v>1268.0</v>
      </c>
      <c r="I1748" s="11">
        <v>8676.76</v>
      </c>
      <c r="K1748" s="12" t="str">
        <f t="shared" si="225"/>
        <v>KN3817</v>
      </c>
      <c r="L1748" s="2" t="s">
        <v>5822</v>
      </c>
      <c r="M1748" s="2" t="s">
        <v>24</v>
      </c>
      <c r="N1748" s="2" t="s">
        <v>60</v>
      </c>
      <c r="O1748" s="2">
        <v>1.10751038E8</v>
      </c>
      <c r="Q1748" s="8">
        <v>2025.0</v>
      </c>
      <c r="R1748" s="8" t="s">
        <v>5275</v>
      </c>
    </row>
    <row r="1749">
      <c r="A1749" s="4" t="s">
        <v>18</v>
      </c>
      <c r="B1749" s="2" t="s">
        <v>5823</v>
      </c>
      <c r="C1749" s="5">
        <v>46003.0</v>
      </c>
      <c r="D1749" s="5">
        <v>46003.0</v>
      </c>
      <c r="E1749" s="4" t="s">
        <v>5824</v>
      </c>
      <c r="F1749" s="9"/>
      <c r="G1749" s="11">
        <v>1210.0</v>
      </c>
      <c r="H1749" s="6"/>
      <c r="I1749" s="11">
        <v>7466.76</v>
      </c>
      <c r="K1749" s="2" t="s">
        <v>119</v>
      </c>
      <c r="L1749" s="2" t="s">
        <v>5683</v>
      </c>
      <c r="M1749" s="2" t="s">
        <v>114</v>
      </c>
      <c r="N1749" s="2" t="s">
        <v>4962</v>
      </c>
      <c r="O1749" s="2">
        <v>1.10751038E8</v>
      </c>
      <c r="Q1749" s="8">
        <v>2025.0</v>
      </c>
      <c r="R1749" s="8" t="s">
        <v>5275</v>
      </c>
    </row>
    <row r="1750">
      <c r="A1750" s="4" t="s">
        <v>18</v>
      </c>
      <c r="B1750" s="2" t="s">
        <v>5825</v>
      </c>
      <c r="C1750" s="5">
        <v>46003.0</v>
      </c>
      <c r="D1750" s="5">
        <v>46003.0</v>
      </c>
      <c r="E1750" s="4" t="s">
        <v>5826</v>
      </c>
      <c r="F1750" s="9"/>
      <c r="G1750" s="6"/>
      <c r="H1750" s="11">
        <v>1500.0</v>
      </c>
      <c r="I1750" s="11">
        <v>8966.76</v>
      </c>
      <c r="K1750" s="12" t="str">
        <f t="shared" ref="K1750:K1759" si="226">RIGHT(E1750,6)</f>
        <v>KN3817</v>
      </c>
      <c r="L1750" s="2" t="s">
        <v>2657</v>
      </c>
      <c r="M1750" s="2" t="s">
        <v>24</v>
      </c>
      <c r="N1750" s="2" t="s">
        <v>60</v>
      </c>
      <c r="O1750" s="2">
        <v>1.10751038E8</v>
      </c>
      <c r="Q1750" s="8">
        <v>2025.0</v>
      </c>
      <c r="R1750" s="8" t="s">
        <v>5275</v>
      </c>
    </row>
    <row r="1751">
      <c r="A1751" s="4" t="s">
        <v>18</v>
      </c>
      <c r="B1751" s="2" t="s">
        <v>5827</v>
      </c>
      <c r="C1751" s="5">
        <v>46003.0</v>
      </c>
      <c r="D1751" s="5">
        <v>46003.0</v>
      </c>
      <c r="E1751" s="4" t="s">
        <v>5828</v>
      </c>
      <c r="F1751" s="9"/>
      <c r="G1751" s="6"/>
      <c r="H1751" s="7">
        <v>296.0</v>
      </c>
      <c r="I1751" s="11">
        <v>9262.76</v>
      </c>
      <c r="K1751" s="12" t="str">
        <f t="shared" si="226"/>
        <v>UN3668</v>
      </c>
      <c r="L1751" s="2" t="s">
        <v>5829</v>
      </c>
      <c r="M1751" s="2" t="s">
        <v>24</v>
      </c>
      <c r="N1751" s="2" t="s">
        <v>60</v>
      </c>
      <c r="O1751" s="2">
        <v>1.10751038E8</v>
      </c>
      <c r="Q1751" s="8">
        <v>2025.0</v>
      </c>
      <c r="R1751" s="8" t="s">
        <v>5275</v>
      </c>
    </row>
    <row r="1752">
      <c r="A1752" s="4" t="s">
        <v>18</v>
      </c>
      <c r="B1752" s="2" t="s">
        <v>5830</v>
      </c>
      <c r="C1752" s="5">
        <v>46004.0</v>
      </c>
      <c r="D1752" s="5">
        <v>46004.0</v>
      </c>
      <c r="E1752" s="4" t="s">
        <v>5831</v>
      </c>
      <c r="F1752" s="9"/>
      <c r="G1752" s="6"/>
      <c r="H1752" s="7">
        <v>482.0</v>
      </c>
      <c r="I1752" s="11">
        <v>9744.76</v>
      </c>
      <c r="K1752" s="12" t="str">
        <f t="shared" si="226"/>
        <v>SL1610</v>
      </c>
      <c r="L1752" s="2" t="s">
        <v>5832</v>
      </c>
      <c r="M1752" s="2" t="s">
        <v>24</v>
      </c>
      <c r="N1752" s="2" t="s">
        <v>60</v>
      </c>
      <c r="O1752" s="2">
        <v>1.10751038E8</v>
      </c>
      <c r="Q1752" s="8">
        <v>2025.0</v>
      </c>
      <c r="R1752" s="8" t="s">
        <v>5275</v>
      </c>
    </row>
    <row r="1753">
      <c r="A1753" s="4" t="s">
        <v>18</v>
      </c>
      <c r="B1753" s="2" t="s">
        <v>5833</v>
      </c>
      <c r="C1753" s="5">
        <v>46004.0</v>
      </c>
      <c r="D1753" s="5">
        <v>46004.0</v>
      </c>
      <c r="E1753" s="4" t="s">
        <v>5834</v>
      </c>
      <c r="F1753" s="9"/>
      <c r="G1753" s="6"/>
      <c r="H1753" s="7">
        <v>634.0</v>
      </c>
      <c r="I1753" s="11">
        <v>10378.76</v>
      </c>
      <c r="K1753" s="12" t="str">
        <f t="shared" si="226"/>
        <v>UN3668</v>
      </c>
      <c r="L1753" s="2" t="s">
        <v>5835</v>
      </c>
      <c r="M1753" s="2" t="s">
        <v>24</v>
      </c>
      <c r="N1753" s="2" t="s">
        <v>60</v>
      </c>
      <c r="O1753" s="2">
        <v>1.10751038E8</v>
      </c>
      <c r="Q1753" s="8">
        <v>2025.0</v>
      </c>
      <c r="R1753" s="8" t="s">
        <v>5275</v>
      </c>
    </row>
    <row r="1754">
      <c r="A1754" s="4" t="s">
        <v>18</v>
      </c>
      <c r="B1754" s="2" t="s">
        <v>5836</v>
      </c>
      <c r="C1754" s="5">
        <v>46004.0</v>
      </c>
      <c r="D1754" s="5">
        <v>46004.0</v>
      </c>
      <c r="E1754" s="4" t="s">
        <v>5837</v>
      </c>
      <c r="F1754" s="9"/>
      <c r="G1754" s="6"/>
      <c r="H1754" s="7">
        <v>566.0</v>
      </c>
      <c r="I1754" s="11">
        <v>10944.76</v>
      </c>
      <c r="K1754" s="12" t="str">
        <f t="shared" si="226"/>
        <v>SL1610</v>
      </c>
      <c r="L1754" s="2" t="s">
        <v>5838</v>
      </c>
      <c r="M1754" s="2" t="s">
        <v>24</v>
      </c>
      <c r="N1754" s="2" t="s">
        <v>60</v>
      </c>
      <c r="O1754" s="2">
        <v>1.10751038E8</v>
      </c>
      <c r="P1754" s="15"/>
      <c r="Q1754" s="8">
        <v>2025.0</v>
      </c>
      <c r="R1754" s="8" t="s">
        <v>5275</v>
      </c>
    </row>
    <row r="1755">
      <c r="A1755" s="4" t="s">
        <v>18</v>
      </c>
      <c r="B1755" s="2" t="s">
        <v>5839</v>
      </c>
      <c r="C1755" s="5">
        <v>46004.0</v>
      </c>
      <c r="D1755" s="5">
        <v>46004.0</v>
      </c>
      <c r="E1755" s="4" t="s">
        <v>5840</v>
      </c>
      <c r="F1755" s="9"/>
      <c r="G1755" s="6"/>
      <c r="H1755" s="11">
        <v>2523.0</v>
      </c>
      <c r="I1755" s="11">
        <v>13467.76</v>
      </c>
      <c r="K1755" s="12" t="str">
        <f t="shared" si="226"/>
        <v>KN3817</v>
      </c>
      <c r="L1755" s="2" t="s">
        <v>5841</v>
      </c>
      <c r="M1755" s="2" t="s">
        <v>24</v>
      </c>
      <c r="N1755" s="2" t="s">
        <v>60</v>
      </c>
      <c r="O1755" s="2">
        <v>1.10751038E8</v>
      </c>
      <c r="P1755" s="15"/>
      <c r="Q1755" s="8">
        <v>2025.0</v>
      </c>
      <c r="R1755" s="8" t="s">
        <v>5275</v>
      </c>
    </row>
    <row r="1756">
      <c r="A1756" s="4" t="s">
        <v>18</v>
      </c>
      <c r="B1756" s="2" t="s">
        <v>5842</v>
      </c>
      <c r="C1756" s="5">
        <v>46004.0</v>
      </c>
      <c r="D1756" s="5">
        <v>46004.0</v>
      </c>
      <c r="E1756" s="4" t="s">
        <v>5843</v>
      </c>
      <c r="F1756" s="9"/>
      <c r="G1756" s="6"/>
      <c r="H1756" s="11">
        <v>10000.0</v>
      </c>
      <c r="I1756" s="11">
        <v>23467.76</v>
      </c>
      <c r="K1756" s="12" t="str">
        <f t="shared" si="226"/>
        <v>KN3817</v>
      </c>
      <c r="L1756" s="2" t="s">
        <v>619</v>
      </c>
      <c r="M1756" s="2" t="s">
        <v>24</v>
      </c>
      <c r="N1756" s="2" t="s">
        <v>60</v>
      </c>
      <c r="O1756" s="2">
        <v>1.10751038E8</v>
      </c>
      <c r="Q1756" s="8">
        <v>2025.0</v>
      </c>
      <c r="R1756" s="8" t="s">
        <v>5275</v>
      </c>
    </row>
    <row r="1757">
      <c r="A1757" s="4" t="s">
        <v>18</v>
      </c>
      <c r="B1757" s="2" t="s">
        <v>5844</v>
      </c>
      <c r="C1757" s="5">
        <v>46004.0</v>
      </c>
      <c r="D1757" s="5">
        <v>46004.0</v>
      </c>
      <c r="E1757" s="4" t="s">
        <v>5845</v>
      </c>
      <c r="F1757" s="9"/>
      <c r="G1757" s="6"/>
      <c r="H1757" s="7">
        <v>682.0</v>
      </c>
      <c r="I1757" s="11">
        <v>24149.76</v>
      </c>
      <c r="K1757" s="12" t="str">
        <f t="shared" si="226"/>
        <v>SC3567</v>
      </c>
      <c r="L1757" s="2" t="s">
        <v>5846</v>
      </c>
      <c r="M1757" s="2" t="s">
        <v>24</v>
      </c>
      <c r="N1757" s="2" t="s">
        <v>60</v>
      </c>
      <c r="O1757" s="2">
        <v>1.10751038E8</v>
      </c>
      <c r="P1757" s="15"/>
      <c r="Q1757" s="8">
        <v>2025.0</v>
      </c>
      <c r="R1757" s="8" t="s">
        <v>5275</v>
      </c>
    </row>
    <row r="1758">
      <c r="A1758" s="4" t="s">
        <v>18</v>
      </c>
      <c r="B1758" s="2" t="s">
        <v>5847</v>
      </c>
      <c r="C1758" s="5">
        <v>46004.0</v>
      </c>
      <c r="D1758" s="5">
        <v>46004.0</v>
      </c>
      <c r="E1758" s="4" t="s">
        <v>5848</v>
      </c>
      <c r="F1758" s="9"/>
      <c r="G1758" s="6"/>
      <c r="H1758" s="7">
        <v>530.0</v>
      </c>
      <c r="I1758" s="11">
        <v>24679.76</v>
      </c>
      <c r="K1758" s="12" t="str">
        <f t="shared" si="226"/>
        <v>SL1610</v>
      </c>
      <c r="L1758" s="2" t="s">
        <v>5789</v>
      </c>
      <c r="M1758" s="2" t="s">
        <v>24</v>
      </c>
      <c r="N1758" s="2" t="s">
        <v>60</v>
      </c>
      <c r="O1758" s="2">
        <v>1.10751038E8</v>
      </c>
      <c r="P1758" s="15"/>
      <c r="Q1758" s="8">
        <v>2025.0</v>
      </c>
      <c r="R1758" s="8" t="s">
        <v>5275</v>
      </c>
    </row>
    <row r="1759">
      <c r="A1759" s="4" t="s">
        <v>18</v>
      </c>
      <c r="B1759" s="2" t="s">
        <v>5849</v>
      </c>
      <c r="C1759" s="5">
        <v>46004.0</v>
      </c>
      <c r="D1759" s="5">
        <v>46004.0</v>
      </c>
      <c r="E1759" s="4" t="s">
        <v>5850</v>
      </c>
      <c r="F1759" s="9"/>
      <c r="G1759" s="6"/>
      <c r="H1759" s="7">
        <v>280.0</v>
      </c>
      <c r="I1759" s="11">
        <v>24959.76</v>
      </c>
      <c r="K1759" s="12" t="str">
        <f t="shared" si="226"/>
        <v>UN3668</v>
      </c>
      <c r="L1759" s="2" t="s">
        <v>5851</v>
      </c>
      <c r="M1759" s="2" t="s">
        <v>24</v>
      </c>
      <c r="N1759" s="2" t="s">
        <v>60</v>
      </c>
      <c r="O1759" s="2">
        <v>1.10751038E8</v>
      </c>
      <c r="P1759" s="15"/>
      <c r="Q1759" s="8">
        <v>2025.0</v>
      </c>
      <c r="R1759" s="8" t="s">
        <v>5275</v>
      </c>
    </row>
    <row r="1760">
      <c r="A1760" s="4" t="s">
        <v>18</v>
      </c>
      <c r="B1760" s="2" t="s">
        <v>5852</v>
      </c>
      <c r="C1760" s="5">
        <v>46004.0</v>
      </c>
      <c r="D1760" s="5">
        <v>46004.0</v>
      </c>
      <c r="E1760" s="4" t="s">
        <v>5853</v>
      </c>
      <c r="F1760" s="9"/>
      <c r="G1760" s="7">
        <v>193.0</v>
      </c>
      <c r="H1760" s="6"/>
      <c r="I1760" s="11">
        <v>24766.76</v>
      </c>
      <c r="K1760" s="2" t="s">
        <v>127</v>
      </c>
      <c r="L1760" s="2" t="s">
        <v>5683</v>
      </c>
      <c r="M1760" s="2" t="s">
        <v>114</v>
      </c>
      <c r="N1760" s="2" t="s">
        <v>478</v>
      </c>
      <c r="O1760" s="2">
        <v>1.10751038E8</v>
      </c>
      <c r="Q1760" s="8">
        <v>2025.0</v>
      </c>
      <c r="R1760" s="8" t="s">
        <v>5275</v>
      </c>
    </row>
    <row r="1761">
      <c r="A1761" s="4" t="s">
        <v>18</v>
      </c>
      <c r="B1761" s="2" t="s">
        <v>5854</v>
      </c>
      <c r="C1761" s="5">
        <v>46004.0</v>
      </c>
      <c r="D1761" s="5">
        <v>46004.0</v>
      </c>
      <c r="E1761" s="4" t="s">
        <v>5855</v>
      </c>
      <c r="F1761" s="9"/>
      <c r="G1761" s="11">
        <v>1603.0</v>
      </c>
      <c r="H1761" s="6"/>
      <c r="I1761" s="11">
        <v>23163.76</v>
      </c>
      <c r="J1761" s="2" t="s">
        <v>1800</v>
      </c>
      <c r="K1761" s="2" t="s">
        <v>119</v>
      </c>
      <c r="L1761" s="2" t="s">
        <v>5683</v>
      </c>
      <c r="M1761" s="2" t="s">
        <v>114</v>
      </c>
      <c r="N1761" s="2" t="s">
        <v>1800</v>
      </c>
      <c r="O1761" s="2">
        <v>1.10751038E8</v>
      </c>
      <c r="Q1761" s="8">
        <v>2025.0</v>
      </c>
      <c r="R1761" s="8" t="s">
        <v>5275</v>
      </c>
    </row>
    <row r="1762">
      <c r="A1762" s="4" t="s">
        <v>18</v>
      </c>
      <c r="B1762" s="2" t="s">
        <v>5856</v>
      </c>
      <c r="C1762" s="5">
        <v>46004.0</v>
      </c>
      <c r="D1762" s="5">
        <v>46004.0</v>
      </c>
      <c r="E1762" s="4" t="s">
        <v>5857</v>
      </c>
      <c r="F1762" s="9"/>
      <c r="G1762" s="6"/>
      <c r="H1762" s="11">
        <v>1231.0</v>
      </c>
      <c r="I1762" s="11">
        <v>24394.76</v>
      </c>
      <c r="K1762" s="12" t="str">
        <f>RIGHT(E1762,6)</f>
        <v>SL1610</v>
      </c>
      <c r="L1762" s="2" t="s">
        <v>5858</v>
      </c>
      <c r="M1762" s="2" t="s">
        <v>24</v>
      </c>
      <c r="N1762" s="2" t="s">
        <v>60</v>
      </c>
      <c r="O1762" s="2">
        <v>1.10751038E8</v>
      </c>
      <c r="P1762" s="15"/>
      <c r="Q1762" s="8">
        <v>2025.0</v>
      </c>
      <c r="R1762" s="8" t="s">
        <v>5275</v>
      </c>
    </row>
    <row r="1763">
      <c r="A1763" s="4" t="s">
        <v>18</v>
      </c>
      <c r="B1763" s="2" t="s">
        <v>5859</v>
      </c>
      <c r="C1763" s="5">
        <v>46004.0</v>
      </c>
      <c r="D1763" s="5">
        <v>46004.0</v>
      </c>
      <c r="E1763" s="4" t="s">
        <v>5860</v>
      </c>
      <c r="F1763" s="9"/>
      <c r="G1763" s="11">
        <v>1000.0</v>
      </c>
      <c r="H1763" s="6"/>
      <c r="I1763" s="11">
        <v>23394.76</v>
      </c>
      <c r="J1763" s="2" t="s">
        <v>5861</v>
      </c>
      <c r="K1763" s="2" t="s">
        <v>127</v>
      </c>
      <c r="L1763" s="2" t="s">
        <v>5683</v>
      </c>
      <c r="M1763" s="2" t="s">
        <v>114</v>
      </c>
      <c r="N1763" s="2" t="s">
        <v>169</v>
      </c>
      <c r="O1763" s="2">
        <v>1.10751038E8</v>
      </c>
      <c r="Q1763" s="8">
        <v>2025.0</v>
      </c>
      <c r="R1763" s="8" t="s">
        <v>5275</v>
      </c>
    </row>
    <row r="1764">
      <c r="A1764" s="4" t="s">
        <v>18</v>
      </c>
      <c r="B1764" s="2" t="s">
        <v>5862</v>
      </c>
      <c r="C1764" s="5">
        <v>46004.0</v>
      </c>
      <c r="D1764" s="5">
        <v>46004.0</v>
      </c>
      <c r="E1764" s="4" t="s">
        <v>5863</v>
      </c>
      <c r="F1764" s="9"/>
      <c r="G1764" s="6"/>
      <c r="H1764" s="7">
        <v>250.0</v>
      </c>
      <c r="I1764" s="11">
        <v>23644.76</v>
      </c>
      <c r="K1764" s="12" t="str">
        <f t="shared" ref="K1764:K1769" si="227">RIGHT(E1764,6)</f>
        <v>SC3567</v>
      </c>
      <c r="L1764" s="2" t="s">
        <v>5864</v>
      </c>
      <c r="M1764" s="2" t="s">
        <v>24</v>
      </c>
      <c r="N1764" s="2" t="s">
        <v>60</v>
      </c>
      <c r="O1764" s="2">
        <v>1.10751038E8</v>
      </c>
      <c r="P1764" s="15"/>
      <c r="Q1764" s="8">
        <v>2025.0</v>
      </c>
      <c r="R1764" s="8" t="s">
        <v>5275</v>
      </c>
    </row>
    <row r="1765">
      <c r="A1765" s="4" t="s">
        <v>18</v>
      </c>
      <c r="B1765" s="2" t="s">
        <v>5865</v>
      </c>
      <c r="C1765" s="5">
        <v>46004.0</v>
      </c>
      <c r="D1765" s="5">
        <v>46004.0</v>
      </c>
      <c r="E1765" s="4" t="s">
        <v>5866</v>
      </c>
      <c r="F1765" s="9"/>
      <c r="G1765" s="6"/>
      <c r="H1765" s="7">
        <v>250.0</v>
      </c>
      <c r="I1765" s="11">
        <v>23894.76</v>
      </c>
      <c r="K1765" s="12" t="str">
        <f t="shared" si="227"/>
        <v>KN3817</v>
      </c>
      <c r="L1765" s="2" t="s">
        <v>5867</v>
      </c>
      <c r="M1765" s="2" t="s">
        <v>24</v>
      </c>
      <c r="N1765" s="2" t="s">
        <v>60</v>
      </c>
      <c r="O1765" s="2">
        <v>1.10751038E8</v>
      </c>
      <c r="P1765" s="15"/>
      <c r="Q1765" s="8">
        <v>2025.0</v>
      </c>
      <c r="R1765" s="8" t="s">
        <v>5275</v>
      </c>
    </row>
    <row r="1766">
      <c r="A1766" s="4" t="s">
        <v>18</v>
      </c>
      <c r="B1766" s="2" t="s">
        <v>5868</v>
      </c>
      <c r="C1766" s="5">
        <v>46004.0</v>
      </c>
      <c r="D1766" s="5">
        <v>46004.0</v>
      </c>
      <c r="E1766" s="4" t="s">
        <v>5869</v>
      </c>
      <c r="F1766" s="9"/>
      <c r="G1766" s="6"/>
      <c r="H1766" s="7">
        <v>120.0</v>
      </c>
      <c r="I1766" s="11">
        <v>24014.76</v>
      </c>
      <c r="K1766" s="12" t="str">
        <f t="shared" si="227"/>
        <v>KN3817</v>
      </c>
      <c r="L1766" s="2" t="s">
        <v>5870</v>
      </c>
      <c r="M1766" s="2" t="s">
        <v>24</v>
      </c>
      <c r="N1766" s="2" t="s">
        <v>60</v>
      </c>
      <c r="O1766" s="2">
        <v>1.10751038E8</v>
      </c>
      <c r="P1766" s="15"/>
      <c r="Q1766" s="8">
        <v>2025.0</v>
      </c>
      <c r="R1766" s="8" t="s">
        <v>5275</v>
      </c>
    </row>
    <row r="1767">
      <c r="A1767" s="4" t="s">
        <v>18</v>
      </c>
      <c r="B1767" s="2" t="s">
        <v>5871</v>
      </c>
      <c r="C1767" s="5">
        <v>46004.0</v>
      </c>
      <c r="D1767" s="5">
        <v>46004.0</v>
      </c>
      <c r="E1767" s="4" t="s">
        <v>5872</v>
      </c>
      <c r="F1767" s="9"/>
      <c r="G1767" s="6"/>
      <c r="H1767" s="11">
        <v>1042.0</v>
      </c>
      <c r="I1767" s="11">
        <v>25056.76</v>
      </c>
      <c r="K1767" s="12" t="str">
        <f t="shared" si="227"/>
        <v>SC3567</v>
      </c>
      <c r="L1767" s="2" t="s">
        <v>5873</v>
      </c>
      <c r="M1767" s="2" t="s">
        <v>24</v>
      </c>
      <c r="N1767" s="2" t="s">
        <v>60</v>
      </c>
      <c r="O1767" s="2">
        <v>1.10751038E8</v>
      </c>
      <c r="P1767" s="15"/>
      <c r="Q1767" s="8">
        <v>2025.0</v>
      </c>
      <c r="R1767" s="8" t="s">
        <v>5275</v>
      </c>
    </row>
    <row r="1768">
      <c r="A1768" s="4" t="s">
        <v>18</v>
      </c>
      <c r="B1768" s="2" t="s">
        <v>5874</v>
      </c>
      <c r="C1768" s="5">
        <v>46004.0</v>
      </c>
      <c r="D1768" s="5">
        <v>46004.0</v>
      </c>
      <c r="E1768" s="4" t="s">
        <v>5875</v>
      </c>
      <c r="F1768" s="9"/>
      <c r="G1768" s="6"/>
      <c r="H1768" s="7">
        <v>334.0</v>
      </c>
      <c r="I1768" s="11">
        <v>25390.76</v>
      </c>
      <c r="K1768" s="12" t="str">
        <f t="shared" si="227"/>
        <v>SL1610</v>
      </c>
      <c r="L1768" s="2" t="s">
        <v>5876</v>
      </c>
      <c r="M1768" s="2" t="s">
        <v>24</v>
      </c>
      <c r="N1768" s="2" t="s">
        <v>60</v>
      </c>
      <c r="O1768" s="2">
        <v>1.10751038E8</v>
      </c>
      <c r="P1768" s="15"/>
      <c r="Q1768" s="8">
        <v>2025.0</v>
      </c>
      <c r="R1768" s="8" t="s">
        <v>5275</v>
      </c>
    </row>
    <row r="1769">
      <c r="A1769" s="4" t="s">
        <v>18</v>
      </c>
      <c r="B1769" s="2" t="s">
        <v>5877</v>
      </c>
      <c r="C1769" s="5">
        <v>46004.0</v>
      </c>
      <c r="D1769" s="5">
        <v>46004.0</v>
      </c>
      <c r="E1769" s="4" t="s">
        <v>5878</v>
      </c>
      <c r="F1769" s="9"/>
      <c r="G1769" s="6"/>
      <c r="H1769" s="7">
        <v>528.0</v>
      </c>
      <c r="I1769" s="11">
        <v>25918.76</v>
      </c>
      <c r="K1769" s="12" t="str">
        <f t="shared" si="227"/>
        <v>SL1610</v>
      </c>
      <c r="L1769" s="2" t="s">
        <v>5879</v>
      </c>
      <c r="M1769" s="2" t="s">
        <v>24</v>
      </c>
      <c r="N1769" s="2" t="s">
        <v>60</v>
      </c>
      <c r="O1769" s="2">
        <v>1.10751038E8</v>
      </c>
      <c r="P1769" s="15"/>
      <c r="Q1769" s="8">
        <v>2025.0</v>
      </c>
      <c r="R1769" s="8" t="s">
        <v>5275</v>
      </c>
    </row>
    <row r="1770">
      <c r="A1770" s="4" t="s">
        <v>18</v>
      </c>
      <c r="B1770" s="2" t="s">
        <v>5880</v>
      </c>
      <c r="C1770" s="5">
        <v>46004.0</v>
      </c>
      <c r="D1770" s="5">
        <v>46004.0</v>
      </c>
      <c r="E1770" s="4" t="s">
        <v>5881</v>
      </c>
      <c r="F1770" s="9"/>
      <c r="G1770" s="6"/>
      <c r="H1770" s="7">
        <v>396.0</v>
      </c>
      <c r="I1770" s="11">
        <v>26314.76</v>
      </c>
      <c r="K1770" s="2" t="s">
        <v>127</v>
      </c>
      <c r="L1770" s="2" t="s">
        <v>5882</v>
      </c>
      <c r="M1770" s="2" t="s">
        <v>24</v>
      </c>
      <c r="N1770" s="2" t="s">
        <v>60</v>
      </c>
      <c r="O1770" s="2">
        <v>1.10751038E8</v>
      </c>
      <c r="P1770" s="15"/>
      <c r="Q1770" s="8">
        <v>2025.0</v>
      </c>
      <c r="R1770" s="8" t="s">
        <v>5275</v>
      </c>
    </row>
    <row r="1771">
      <c r="A1771" s="4" t="s">
        <v>18</v>
      </c>
      <c r="B1771" s="2" t="s">
        <v>5883</v>
      </c>
      <c r="C1771" s="5">
        <v>46005.0</v>
      </c>
      <c r="D1771" s="5">
        <v>46005.0</v>
      </c>
      <c r="E1771" s="4" t="s">
        <v>5884</v>
      </c>
      <c r="F1771" s="9"/>
      <c r="G1771" s="6"/>
      <c r="H1771" s="7">
        <v>950.0</v>
      </c>
      <c r="I1771" s="11">
        <v>27264.76</v>
      </c>
      <c r="K1771" s="12" t="str">
        <f t="shared" ref="K1771:K1779" si="228">RIGHT(E1771,6)</f>
        <v>UN3668</v>
      </c>
      <c r="L1771" s="2" t="s">
        <v>5885</v>
      </c>
      <c r="M1771" s="2" t="s">
        <v>24</v>
      </c>
      <c r="N1771" s="2" t="s">
        <v>60</v>
      </c>
      <c r="O1771" s="2">
        <v>1.10751038E8</v>
      </c>
      <c r="P1771" s="15"/>
      <c r="Q1771" s="8">
        <v>2025.0</v>
      </c>
      <c r="R1771" s="8" t="s">
        <v>5275</v>
      </c>
    </row>
    <row r="1772">
      <c r="A1772" s="4" t="s">
        <v>18</v>
      </c>
      <c r="B1772" s="2" t="s">
        <v>5886</v>
      </c>
      <c r="C1772" s="5">
        <v>46005.0</v>
      </c>
      <c r="D1772" s="5">
        <v>46005.0</v>
      </c>
      <c r="E1772" s="4" t="s">
        <v>5887</v>
      </c>
      <c r="F1772" s="9"/>
      <c r="G1772" s="6"/>
      <c r="H1772" s="7">
        <v>349.0</v>
      </c>
      <c r="I1772" s="11">
        <v>27613.76</v>
      </c>
      <c r="K1772" s="12" t="str">
        <f t="shared" si="228"/>
        <v>SC3567</v>
      </c>
      <c r="L1772" s="2" t="s">
        <v>5888</v>
      </c>
      <c r="M1772" s="2" t="s">
        <v>24</v>
      </c>
      <c r="N1772" s="2" t="s">
        <v>60</v>
      </c>
      <c r="O1772" s="2">
        <v>1.10751038E8</v>
      </c>
      <c r="P1772" s="15"/>
      <c r="Q1772" s="8">
        <v>2025.0</v>
      </c>
      <c r="R1772" s="8" t="s">
        <v>5275</v>
      </c>
    </row>
    <row r="1773">
      <c r="A1773" s="4" t="s">
        <v>18</v>
      </c>
      <c r="B1773" s="2" t="s">
        <v>5889</v>
      </c>
      <c r="C1773" s="5">
        <v>46005.0</v>
      </c>
      <c r="D1773" s="5">
        <v>46005.0</v>
      </c>
      <c r="E1773" s="4" t="s">
        <v>5890</v>
      </c>
      <c r="F1773" s="9"/>
      <c r="G1773" s="6"/>
      <c r="H1773" s="7">
        <v>220.0</v>
      </c>
      <c r="I1773" s="11">
        <v>27833.76</v>
      </c>
      <c r="K1773" s="12" t="str">
        <f t="shared" si="228"/>
        <v>KN3817</v>
      </c>
      <c r="M1773" s="2" t="s">
        <v>24</v>
      </c>
      <c r="N1773" s="2" t="s">
        <v>60</v>
      </c>
      <c r="O1773" s="2">
        <v>1.10751038E8</v>
      </c>
      <c r="P1773" s="15" t="str">
        <f>IFERROR(__xludf.DUMMYFUNCTION("CONCATENATE(B1773,"", "", to_text(D1773),"", "", E1773,"", "", H1773)"),"TSV-11-0629, 14-Dec-2025, UPI/CR/534812631531/NEELAM N/UTIB/9560830/KN3817, 220")</f>
        <v>TSV-11-0629, 14-Dec-2025, UPI/CR/534812631531/NEELAM N/UTIB/9560830/KN3817, 220</v>
      </c>
      <c r="Q1773" s="8">
        <v>2025.0</v>
      </c>
      <c r="R1773" s="8" t="s">
        <v>5275</v>
      </c>
    </row>
    <row r="1774">
      <c r="A1774" s="4" t="s">
        <v>18</v>
      </c>
      <c r="B1774" s="2" t="s">
        <v>5891</v>
      </c>
      <c r="C1774" s="5">
        <v>46005.0</v>
      </c>
      <c r="D1774" s="5">
        <v>46005.0</v>
      </c>
      <c r="E1774" s="4" t="s">
        <v>5892</v>
      </c>
      <c r="F1774" s="9"/>
      <c r="G1774" s="6"/>
      <c r="H1774" s="11">
        <v>3500.0</v>
      </c>
      <c r="I1774" s="11">
        <v>31333.76</v>
      </c>
      <c r="K1774" s="12" t="str">
        <f t="shared" si="228"/>
        <v>UN3668</v>
      </c>
      <c r="L1774" s="2" t="s">
        <v>619</v>
      </c>
      <c r="M1774" s="2" t="s">
        <v>24</v>
      </c>
      <c r="N1774" s="2" t="s">
        <v>60</v>
      </c>
      <c r="O1774" s="2">
        <v>1.10751038E8</v>
      </c>
      <c r="P1774" s="15"/>
      <c r="Q1774" s="8">
        <v>2025.0</v>
      </c>
      <c r="R1774" s="8" t="s">
        <v>5275</v>
      </c>
    </row>
    <row r="1775">
      <c r="A1775" s="4" t="s">
        <v>18</v>
      </c>
      <c r="B1775" s="2" t="s">
        <v>5893</v>
      </c>
      <c r="C1775" s="5">
        <v>46005.0</v>
      </c>
      <c r="D1775" s="5">
        <v>46005.0</v>
      </c>
      <c r="E1775" s="4" t="s">
        <v>5894</v>
      </c>
      <c r="F1775" s="9"/>
      <c r="G1775" s="6"/>
      <c r="H1775" s="7">
        <v>560.0</v>
      </c>
      <c r="I1775" s="11">
        <v>31893.76</v>
      </c>
      <c r="K1775" s="12" t="str">
        <f t="shared" si="228"/>
        <v>UN3668</v>
      </c>
      <c r="L1775" s="2" t="s">
        <v>5895</v>
      </c>
      <c r="M1775" s="2" t="s">
        <v>24</v>
      </c>
      <c r="N1775" s="2" t="s">
        <v>60</v>
      </c>
      <c r="O1775" s="2">
        <v>1.10751038E8</v>
      </c>
      <c r="P1775" s="15"/>
      <c r="Q1775" s="8">
        <v>2025.0</v>
      </c>
      <c r="R1775" s="8" t="s">
        <v>5275</v>
      </c>
    </row>
    <row r="1776">
      <c r="A1776" s="4" t="s">
        <v>18</v>
      </c>
      <c r="B1776" s="2" t="s">
        <v>5896</v>
      </c>
      <c r="C1776" s="5">
        <v>46005.0</v>
      </c>
      <c r="D1776" s="5">
        <v>46005.0</v>
      </c>
      <c r="E1776" s="4" t="s">
        <v>5897</v>
      </c>
      <c r="F1776" s="9"/>
      <c r="G1776" s="6"/>
      <c r="H1776" s="11">
        <v>1218.0</v>
      </c>
      <c r="I1776" s="11">
        <v>33111.76</v>
      </c>
      <c r="K1776" s="12" t="str">
        <f t="shared" si="228"/>
        <v>KN3817</v>
      </c>
      <c r="L1776" s="2" t="s">
        <v>2878</v>
      </c>
      <c r="M1776" s="2" t="s">
        <v>24</v>
      </c>
      <c r="N1776" s="2" t="s">
        <v>60</v>
      </c>
      <c r="O1776" s="2">
        <v>1.10751038E8</v>
      </c>
      <c r="P1776" s="15"/>
      <c r="Q1776" s="8">
        <v>2025.0</v>
      </c>
      <c r="R1776" s="8" t="s">
        <v>5275</v>
      </c>
    </row>
    <row r="1777">
      <c r="A1777" s="4" t="s">
        <v>18</v>
      </c>
      <c r="B1777" s="2" t="s">
        <v>5898</v>
      </c>
      <c r="C1777" s="5">
        <v>46005.0</v>
      </c>
      <c r="D1777" s="5">
        <v>46005.0</v>
      </c>
      <c r="E1777" s="4" t="s">
        <v>5899</v>
      </c>
      <c r="F1777" s="9"/>
      <c r="G1777" s="6"/>
      <c r="H1777" s="11">
        <v>1260.0</v>
      </c>
      <c r="I1777" s="11">
        <v>34371.76</v>
      </c>
      <c r="K1777" s="12" t="str">
        <f t="shared" si="228"/>
        <v>SL1610</v>
      </c>
      <c r="L1777" s="2" t="s">
        <v>5900</v>
      </c>
      <c r="M1777" s="2" t="s">
        <v>24</v>
      </c>
      <c r="N1777" s="2" t="s">
        <v>60</v>
      </c>
      <c r="O1777" s="2">
        <v>1.10751038E8</v>
      </c>
      <c r="P1777" s="15"/>
      <c r="Q1777" s="8">
        <v>2025.0</v>
      </c>
      <c r="R1777" s="8" t="s">
        <v>5275</v>
      </c>
    </row>
    <row r="1778">
      <c r="A1778" s="4" t="s">
        <v>18</v>
      </c>
      <c r="B1778" s="2" t="s">
        <v>5901</v>
      </c>
      <c r="C1778" s="5">
        <v>46005.0</v>
      </c>
      <c r="D1778" s="5">
        <v>46005.0</v>
      </c>
      <c r="E1778" s="4" t="s">
        <v>5902</v>
      </c>
      <c r="F1778" s="9"/>
      <c r="G1778" s="6"/>
      <c r="H1778" s="11">
        <v>4401.0</v>
      </c>
      <c r="I1778" s="11">
        <v>38772.76</v>
      </c>
      <c r="K1778" s="12" t="str">
        <f t="shared" si="228"/>
        <v>SL1610</v>
      </c>
      <c r="L1778" s="2" t="s">
        <v>5903</v>
      </c>
      <c r="M1778" s="2" t="s">
        <v>24</v>
      </c>
      <c r="N1778" s="2" t="s">
        <v>60</v>
      </c>
      <c r="O1778" s="2">
        <v>1.10751038E8</v>
      </c>
      <c r="P1778" s="15"/>
      <c r="Q1778" s="8">
        <v>2025.0</v>
      </c>
      <c r="R1778" s="8" t="s">
        <v>5275</v>
      </c>
    </row>
    <row r="1779">
      <c r="A1779" s="4" t="s">
        <v>18</v>
      </c>
      <c r="B1779" s="2" t="s">
        <v>5904</v>
      </c>
      <c r="C1779" s="5">
        <v>46005.0</v>
      </c>
      <c r="D1779" s="5">
        <v>46005.0</v>
      </c>
      <c r="E1779" s="4" t="s">
        <v>5905</v>
      </c>
      <c r="F1779" s="9"/>
      <c r="G1779" s="6"/>
      <c r="H1779" s="7">
        <v>655.0</v>
      </c>
      <c r="I1779" s="11">
        <v>39427.76</v>
      </c>
      <c r="K1779" s="12" t="str">
        <f t="shared" si="228"/>
        <v>SL1610</v>
      </c>
      <c r="L1779" s="2" t="s">
        <v>5906</v>
      </c>
      <c r="M1779" s="2" t="s">
        <v>24</v>
      </c>
      <c r="N1779" s="2" t="s">
        <v>60</v>
      </c>
      <c r="O1779" s="2">
        <v>1.10751038E8</v>
      </c>
      <c r="P1779" s="15"/>
      <c r="Q1779" s="8">
        <v>2025.0</v>
      </c>
      <c r="R1779" s="8" t="s">
        <v>5275</v>
      </c>
    </row>
    <row r="1780">
      <c r="A1780" s="4" t="s">
        <v>18</v>
      </c>
      <c r="B1780" s="2" t="s">
        <v>5907</v>
      </c>
      <c r="C1780" s="5">
        <v>46005.0</v>
      </c>
      <c r="D1780" s="5">
        <v>46005.0</v>
      </c>
      <c r="E1780" s="4" t="s">
        <v>5908</v>
      </c>
      <c r="F1780" s="9"/>
      <c r="G1780" s="6"/>
      <c r="H1780" s="11">
        <v>12100.0</v>
      </c>
      <c r="I1780" s="11">
        <v>51527.76</v>
      </c>
      <c r="J1780" s="2" t="s">
        <v>5909</v>
      </c>
      <c r="K1780" s="2" t="s">
        <v>23</v>
      </c>
      <c r="L1780" s="2" t="s">
        <v>5683</v>
      </c>
      <c r="M1780" s="2" t="s">
        <v>24</v>
      </c>
      <c r="N1780" s="2" t="s">
        <v>60</v>
      </c>
      <c r="O1780" s="2">
        <v>1.10751038E8</v>
      </c>
      <c r="P1780" s="15"/>
      <c r="Q1780" s="8">
        <v>2025.0</v>
      </c>
      <c r="R1780" s="8" t="s">
        <v>5275</v>
      </c>
    </row>
    <row r="1781">
      <c r="A1781" s="4" t="s">
        <v>18</v>
      </c>
      <c r="B1781" s="2" t="s">
        <v>5910</v>
      </c>
      <c r="C1781" s="5">
        <v>46005.0</v>
      </c>
      <c r="D1781" s="5">
        <v>46005.0</v>
      </c>
      <c r="E1781" s="4" t="s">
        <v>5911</v>
      </c>
      <c r="F1781" s="9"/>
      <c r="G1781" s="11">
        <v>20554.0</v>
      </c>
      <c r="H1781" s="6"/>
      <c r="I1781" s="11">
        <v>30973.76</v>
      </c>
      <c r="J1781" s="2" t="s">
        <v>5912</v>
      </c>
      <c r="K1781" s="2" t="s">
        <v>127</v>
      </c>
      <c r="L1781" s="2" t="s">
        <v>5683</v>
      </c>
      <c r="M1781" s="2" t="s">
        <v>114</v>
      </c>
      <c r="N1781" s="2" t="s">
        <v>169</v>
      </c>
      <c r="O1781" s="2">
        <v>1.10751038E8</v>
      </c>
      <c r="Q1781" s="8">
        <v>2025.0</v>
      </c>
      <c r="R1781" s="8" t="s">
        <v>5275</v>
      </c>
    </row>
    <row r="1782">
      <c r="A1782" s="4" t="s">
        <v>18</v>
      </c>
      <c r="B1782" s="2" t="s">
        <v>5913</v>
      </c>
      <c r="C1782" s="5">
        <v>46005.0</v>
      </c>
      <c r="D1782" s="5">
        <v>46005.0</v>
      </c>
      <c r="E1782" s="4" t="s">
        <v>5914</v>
      </c>
      <c r="F1782" s="9"/>
      <c r="G1782" s="6"/>
      <c r="H1782" s="7">
        <v>424.0</v>
      </c>
      <c r="I1782" s="11">
        <v>31397.76</v>
      </c>
      <c r="K1782" s="12" t="str">
        <f t="shared" ref="K1782:K1789" si="229">RIGHT(E1782,6)</f>
        <v>SC3567</v>
      </c>
      <c r="L1782" s="2" t="s">
        <v>5915</v>
      </c>
      <c r="M1782" s="2" t="s">
        <v>24</v>
      </c>
      <c r="N1782" s="2" t="s">
        <v>60</v>
      </c>
      <c r="O1782" s="2">
        <v>1.10751038E8</v>
      </c>
      <c r="P1782" s="15"/>
      <c r="Q1782" s="8">
        <v>2025.0</v>
      </c>
      <c r="R1782" s="8" t="s">
        <v>5275</v>
      </c>
    </row>
    <row r="1783">
      <c r="A1783" s="4" t="s">
        <v>18</v>
      </c>
      <c r="B1783" s="2" t="s">
        <v>5916</v>
      </c>
      <c r="C1783" s="5">
        <v>46005.0</v>
      </c>
      <c r="D1783" s="5">
        <v>46005.0</v>
      </c>
      <c r="E1783" s="4" t="s">
        <v>5917</v>
      </c>
      <c r="F1783" s="9"/>
      <c r="G1783" s="6"/>
      <c r="H1783" s="11">
        <v>1410.0</v>
      </c>
      <c r="I1783" s="11">
        <v>32807.76</v>
      </c>
      <c r="K1783" s="12" t="str">
        <f t="shared" si="229"/>
        <v>UN3668</v>
      </c>
      <c r="L1783" s="2" t="s">
        <v>5918</v>
      </c>
      <c r="M1783" s="2" t="s">
        <v>24</v>
      </c>
      <c r="N1783" s="2" t="s">
        <v>60</v>
      </c>
      <c r="O1783" s="2">
        <v>1.10751038E8</v>
      </c>
      <c r="P1783" s="15"/>
      <c r="Q1783" s="8">
        <v>2025.0</v>
      </c>
      <c r="R1783" s="8" t="s">
        <v>5275</v>
      </c>
    </row>
    <row r="1784">
      <c r="A1784" s="4" t="s">
        <v>18</v>
      </c>
      <c r="B1784" s="2" t="s">
        <v>5919</v>
      </c>
      <c r="C1784" s="5">
        <v>46005.0</v>
      </c>
      <c r="D1784" s="5">
        <v>46005.0</v>
      </c>
      <c r="E1784" s="4" t="s">
        <v>5920</v>
      </c>
      <c r="F1784" s="9"/>
      <c r="G1784" s="6"/>
      <c r="H1784" s="7">
        <v>666.0</v>
      </c>
      <c r="I1784" s="11">
        <v>33473.76</v>
      </c>
      <c r="K1784" s="12" t="str">
        <f t="shared" si="229"/>
        <v>SC3567</v>
      </c>
      <c r="L1784" s="2" t="s">
        <v>5921</v>
      </c>
      <c r="M1784" s="2" t="s">
        <v>24</v>
      </c>
      <c r="N1784" s="2" t="s">
        <v>60</v>
      </c>
      <c r="O1784" s="2">
        <v>1.10751038E8</v>
      </c>
      <c r="P1784" s="15"/>
      <c r="Q1784" s="8">
        <v>2025.0</v>
      </c>
      <c r="R1784" s="8" t="s">
        <v>5275</v>
      </c>
    </row>
    <row r="1785">
      <c r="A1785" s="4" t="s">
        <v>18</v>
      </c>
      <c r="B1785" s="2" t="s">
        <v>5922</v>
      </c>
      <c r="C1785" s="5">
        <v>46005.0</v>
      </c>
      <c r="D1785" s="5">
        <v>46005.0</v>
      </c>
      <c r="E1785" s="4" t="s">
        <v>5923</v>
      </c>
      <c r="F1785" s="9"/>
      <c r="G1785" s="6"/>
      <c r="H1785" s="11">
        <v>1605.0</v>
      </c>
      <c r="I1785" s="11">
        <v>35078.76</v>
      </c>
      <c r="K1785" s="12" t="str">
        <f t="shared" si="229"/>
        <v>KN3817</v>
      </c>
      <c r="L1785" s="2" t="s">
        <v>5924</v>
      </c>
      <c r="M1785" s="2" t="s">
        <v>24</v>
      </c>
      <c r="N1785" s="2" t="s">
        <v>60</v>
      </c>
      <c r="O1785" s="2">
        <v>1.10751038E8</v>
      </c>
      <c r="P1785" s="15"/>
      <c r="Q1785" s="8">
        <v>2025.0</v>
      </c>
      <c r="R1785" s="8" t="s">
        <v>5275</v>
      </c>
    </row>
    <row r="1786">
      <c r="A1786" s="4" t="s">
        <v>18</v>
      </c>
      <c r="B1786" s="2" t="s">
        <v>5925</v>
      </c>
      <c r="C1786" s="5">
        <v>46005.0</v>
      </c>
      <c r="D1786" s="5">
        <v>46005.0</v>
      </c>
      <c r="E1786" s="4" t="s">
        <v>5926</v>
      </c>
      <c r="F1786" s="9"/>
      <c r="G1786" s="6"/>
      <c r="H1786" s="7">
        <v>375.0</v>
      </c>
      <c r="I1786" s="11">
        <v>35453.76</v>
      </c>
      <c r="K1786" s="12" t="str">
        <f t="shared" si="229"/>
        <v>UN3668</v>
      </c>
      <c r="L1786" s="2" t="s">
        <v>5927</v>
      </c>
      <c r="M1786" s="2" t="s">
        <v>24</v>
      </c>
      <c r="N1786" s="2" t="s">
        <v>60</v>
      </c>
      <c r="O1786" s="2">
        <v>1.10751038E8</v>
      </c>
      <c r="P1786" s="15"/>
      <c r="Q1786" s="8">
        <v>2025.0</v>
      </c>
      <c r="R1786" s="8" t="s">
        <v>5275</v>
      </c>
    </row>
    <row r="1787">
      <c r="A1787" s="4" t="s">
        <v>18</v>
      </c>
      <c r="B1787" s="2" t="s">
        <v>5928</v>
      </c>
      <c r="C1787" s="5">
        <v>46005.0</v>
      </c>
      <c r="D1787" s="5">
        <v>46005.0</v>
      </c>
      <c r="E1787" s="4" t="s">
        <v>5929</v>
      </c>
      <c r="F1787" s="9"/>
      <c r="G1787" s="6"/>
      <c r="H1787" s="7">
        <v>396.0</v>
      </c>
      <c r="I1787" s="11">
        <v>35849.76</v>
      </c>
      <c r="K1787" s="12" t="str">
        <f t="shared" si="229"/>
        <v>UN3668</v>
      </c>
      <c r="L1787" s="2" t="s">
        <v>5930</v>
      </c>
      <c r="M1787" s="2" t="s">
        <v>24</v>
      </c>
      <c r="N1787" s="2" t="s">
        <v>60</v>
      </c>
      <c r="O1787" s="2">
        <v>1.10751038E8</v>
      </c>
      <c r="P1787" s="15"/>
      <c r="Q1787" s="8">
        <v>2025.0</v>
      </c>
      <c r="R1787" s="8" t="s">
        <v>5275</v>
      </c>
    </row>
    <row r="1788">
      <c r="A1788" s="4" t="s">
        <v>18</v>
      </c>
      <c r="B1788" s="2" t="s">
        <v>5931</v>
      </c>
      <c r="C1788" s="5">
        <v>46005.0</v>
      </c>
      <c r="D1788" s="5">
        <v>46005.0</v>
      </c>
      <c r="E1788" s="4" t="s">
        <v>5932</v>
      </c>
      <c r="F1788" s="9"/>
      <c r="G1788" s="6"/>
      <c r="H1788" s="7">
        <v>300.0</v>
      </c>
      <c r="I1788" s="11">
        <v>36149.76</v>
      </c>
      <c r="K1788" s="12" t="str">
        <f t="shared" si="229"/>
        <v>UN3668</v>
      </c>
      <c r="L1788" s="2" t="s">
        <v>5933</v>
      </c>
      <c r="M1788" s="2" t="s">
        <v>24</v>
      </c>
      <c r="N1788" s="2" t="s">
        <v>60</v>
      </c>
      <c r="O1788" s="2">
        <v>1.10751038E8</v>
      </c>
      <c r="P1788" s="15"/>
      <c r="Q1788" s="8">
        <v>2025.0</v>
      </c>
      <c r="R1788" s="8" t="s">
        <v>5275</v>
      </c>
    </row>
    <row r="1789">
      <c r="A1789" s="4" t="s">
        <v>18</v>
      </c>
      <c r="B1789" s="2" t="s">
        <v>5934</v>
      </c>
      <c r="C1789" s="5">
        <v>46005.0</v>
      </c>
      <c r="D1789" s="5">
        <v>46005.0</v>
      </c>
      <c r="E1789" s="4" t="s">
        <v>5935</v>
      </c>
      <c r="F1789" s="9"/>
      <c r="G1789" s="6"/>
      <c r="H1789" s="11">
        <v>1215.0</v>
      </c>
      <c r="I1789" s="11">
        <v>37364.76</v>
      </c>
      <c r="K1789" s="12" t="str">
        <f t="shared" si="229"/>
        <v>UN3668</v>
      </c>
      <c r="L1789" s="2" t="s">
        <v>5936</v>
      </c>
      <c r="M1789" s="2" t="s">
        <v>24</v>
      </c>
      <c r="N1789" s="2" t="s">
        <v>60</v>
      </c>
      <c r="O1789" s="2">
        <v>1.10751038E8</v>
      </c>
      <c r="P1789" s="15"/>
      <c r="Q1789" s="8">
        <v>2025.0</v>
      </c>
      <c r="R1789" s="8" t="s">
        <v>5275</v>
      </c>
    </row>
    <row r="1790">
      <c r="A1790" s="4" t="s">
        <v>18</v>
      </c>
      <c r="B1790" s="2" t="s">
        <v>5937</v>
      </c>
      <c r="C1790" s="5">
        <v>46006.0</v>
      </c>
      <c r="D1790" s="5">
        <v>46006.0</v>
      </c>
      <c r="E1790" s="4" t="s">
        <v>5938</v>
      </c>
      <c r="F1790" s="9"/>
      <c r="G1790" s="11">
        <v>1000.0</v>
      </c>
      <c r="H1790" s="6"/>
      <c r="I1790" s="11">
        <v>36364.76</v>
      </c>
      <c r="J1790" s="2" t="s">
        <v>1363</v>
      </c>
      <c r="K1790" s="2" t="s">
        <v>23</v>
      </c>
      <c r="M1790" s="2" t="s">
        <v>114</v>
      </c>
      <c r="N1790" s="2" t="s">
        <v>1363</v>
      </c>
      <c r="O1790" s="2">
        <v>1.10751038E8</v>
      </c>
      <c r="Q1790" s="8">
        <v>2025.0</v>
      </c>
      <c r="R1790" s="8" t="s">
        <v>5275</v>
      </c>
    </row>
    <row r="1791">
      <c r="A1791" s="4" t="s">
        <v>18</v>
      </c>
      <c r="B1791" s="2" t="s">
        <v>5939</v>
      </c>
      <c r="C1791" s="5">
        <v>46006.0</v>
      </c>
      <c r="D1791" s="5">
        <v>46006.0</v>
      </c>
      <c r="E1791" s="4" t="s">
        <v>5940</v>
      </c>
      <c r="F1791" s="9"/>
      <c r="G1791" s="7">
        <v>90.0</v>
      </c>
      <c r="H1791" s="6"/>
      <c r="I1791" s="11">
        <v>36274.76</v>
      </c>
      <c r="J1791" s="2" t="s">
        <v>1363</v>
      </c>
      <c r="K1791" s="2" t="s">
        <v>23</v>
      </c>
      <c r="M1791" s="2" t="s">
        <v>114</v>
      </c>
      <c r="N1791" s="2" t="s">
        <v>1363</v>
      </c>
      <c r="O1791" s="2">
        <v>1.10751038E8</v>
      </c>
      <c r="Q1791" s="8">
        <v>2025.0</v>
      </c>
      <c r="R1791" s="8" t="s">
        <v>5275</v>
      </c>
    </row>
    <row r="1792">
      <c r="A1792" s="4" t="s">
        <v>18</v>
      </c>
      <c r="B1792" s="2" t="s">
        <v>5941</v>
      </c>
      <c r="C1792" s="5">
        <v>46006.0</v>
      </c>
      <c r="D1792" s="5">
        <v>46006.0</v>
      </c>
      <c r="E1792" s="4" t="s">
        <v>5942</v>
      </c>
      <c r="F1792" s="9"/>
      <c r="G1792" s="7">
        <v>90.0</v>
      </c>
      <c r="H1792" s="6"/>
      <c r="I1792" s="11">
        <v>36184.76</v>
      </c>
      <c r="J1792" s="2" t="s">
        <v>1363</v>
      </c>
      <c r="K1792" s="2" t="s">
        <v>23</v>
      </c>
      <c r="M1792" s="2" t="s">
        <v>114</v>
      </c>
      <c r="N1792" s="2" t="s">
        <v>1363</v>
      </c>
      <c r="O1792" s="2">
        <v>1.10751038E8</v>
      </c>
      <c r="Q1792" s="8">
        <v>2025.0</v>
      </c>
      <c r="R1792" s="8" t="s">
        <v>5275</v>
      </c>
    </row>
    <row r="1793">
      <c r="A1793" s="4" t="s">
        <v>18</v>
      </c>
      <c r="B1793" s="2" t="s">
        <v>5943</v>
      </c>
      <c r="C1793" s="5">
        <v>46006.0</v>
      </c>
      <c r="D1793" s="5">
        <v>46006.0</v>
      </c>
      <c r="E1793" s="4" t="s">
        <v>5944</v>
      </c>
      <c r="F1793" s="9"/>
      <c r="G1793" s="7">
        <v>354.0</v>
      </c>
      <c r="H1793" s="6"/>
      <c r="I1793" s="11">
        <v>35830.76</v>
      </c>
      <c r="J1793" s="2" t="s">
        <v>5945</v>
      </c>
      <c r="K1793" s="2" t="s">
        <v>123</v>
      </c>
      <c r="M1793" s="2" t="s">
        <v>114</v>
      </c>
      <c r="N1793" s="2" t="s">
        <v>385</v>
      </c>
      <c r="O1793" s="2">
        <v>1.10751038E8</v>
      </c>
      <c r="Q1793" s="8">
        <v>2025.0</v>
      </c>
      <c r="R1793" s="8" t="s">
        <v>5275</v>
      </c>
    </row>
    <row r="1794">
      <c r="A1794" s="4" t="s">
        <v>18</v>
      </c>
      <c r="B1794" s="2" t="s">
        <v>5946</v>
      </c>
      <c r="C1794" s="5">
        <v>46006.0</v>
      </c>
      <c r="D1794" s="5">
        <v>46006.0</v>
      </c>
      <c r="E1794" s="4" t="s">
        <v>5947</v>
      </c>
      <c r="F1794" s="9"/>
      <c r="G1794" s="6"/>
      <c r="H1794" s="7">
        <v>799.0</v>
      </c>
      <c r="I1794" s="11">
        <v>36629.76</v>
      </c>
      <c r="K1794" s="12" t="str">
        <f t="shared" ref="K1794:K1797" si="230">RIGHT(E1794,6)</f>
        <v>SL1610</v>
      </c>
      <c r="L1794" s="2" t="s">
        <v>5948</v>
      </c>
      <c r="M1794" s="2" t="s">
        <v>24</v>
      </c>
      <c r="N1794" s="2" t="s">
        <v>60</v>
      </c>
      <c r="O1794" s="2">
        <v>1.10751038E8</v>
      </c>
      <c r="P1794" s="15"/>
      <c r="Q1794" s="8">
        <v>2025.0</v>
      </c>
      <c r="R1794" s="8" t="s">
        <v>5275</v>
      </c>
    </row>
    <row r="1795">
      <c r="A1795" s="4" t="s">
        <v>18</v>
      </c>
      <c r="B1795" s="2" t="s">
        <v>5949</v>
      </c>
      <c r="C1795" s="5">
        <v>46006.0</v>
      </c>
      <c r="D1795" s="5">
        <v>46006.0</v>
      </c>
      <c r="E1795" s="4" t="s">
        <v>5950</v>
      </c>
      <c r="F1795" s="9"/>
      <c r="G1795" s="6"/>
      <c r="H1795" s="7">
        <v>228.0</v>
      </c>
      <c r="I1795" s="11">
        <v>36857.76</v>
      </c>
      <c r="K1795" s="12" t="str">
        <f t="shared" si="230"/>
        <v>UN3668</v>
      </c>
      <c r="L1795" s="21" t="s">
        <v>5951</v>
      </c>
      <c r="M1795" s="2" t="s">
        <v>24</v>
      </c>
      <c r="N1795" s="2" t="s">
        <v>60</v>
      </c>
      <c r="O1795" s="2">
        <v>1.10751038E8</v>
      </c>
      <c r="P1795" s="15"/>
      <c r="Q1795" s="8">
        <v>2025.0</v>
      </c>
      <c r="R1795" s="8" t="s">
        <v>5275</v>
      </c>
    </row>
    <row r="1796">
      <c r="A1796" s="4" t="s">
        <v>18</v>
      </c>
      <c r="B1796" s="2" t="s">
        <v>5952</v>
      </c>
      <c r="C1796" s="5">
        <v>46006.0</v>
      </c>
      <c r="D1796" s="5">
        <v>46006.0</v>
      </c>
      <c r="E1796" s="4" t="s">
        <v>5953</v>
      </c>
      <c r="F1796" s="9"/>
      <c r="G1796" s="6"/>
      <c r="H1796" s="7">
        <v>963.0</v>
      </c>
      <c r="I1796" s="11">
        <v>37820.76</v>
      </c>
      <c r="K1796" s="12" t="str">
        <f t="shared" si="230"/>
        <v>SL1610</v>
      </c>
      <c r="L1796" s="2" t="s">
        <v>5954</v>
      </c>
      <c r="M1796" s="2" t="s">
        <v>24</v>
      </c>
      <c r="N1796" s="2" t="s">
        <v>60</v>
      </c>
      <c r="O1796" s="2">
        <v>1.10751038E8</v>
      </c>
      <c r="P1796" s="15"/>
      <c r="Q1796" s="8">
        <v>2025.0</v>
      </c>
      <c r="R1796" s="8" t="s">
        <v>5275</v>
      </c>
    </row>
    <row r="1797">
      <c r="A1797" s="4" t="s">
        <v>18</v>
      </c>
      <c r="B1797" s="2" t="s">
        <v>5955</v>
      </c>
      <c r="C1797" s="5">
        <v>46006.0</v>
      </c>
      <c r="D1797" s="5">
        <v>46006.0</v>
      </c>
      <c r="E1797" s="4" t="s">
        <v>5956</v>
      </c>
      <c r="F1797" s="9"/>
      <c r="G1797" s="6"/>
      <c r="H1797" s="7">
        <v>541.0</v>
      </c>
      <c r="I1797" s="11">
        <v>38361.76</v>
      </c>
      <c r="K1797" s="12" t="str">
        <f t="shared" si="230"/>
        <v>SL1610</v>
      </c>
      <c r="L1797" s="2" t="s">
        <v>5957</v>
      </c>
      <c r="M1797" s="2" t="s">
        <v>24</v>
      </c>
      <c r="N1797" s="2" t="s">
        <v>60</v>
      </c>
      <c r="O1797" s="2">
        <v>1.10751038E8</v>
      </c>
      <c r="P1797" s="15"/>
      <c r="Q1797" s="8">
        <v>2025.0</v>
      </c>
      <c r="R1797" s="8" t="s">
        <v>5275</v>
      </c>
    </row>
    <row r="1798">
      <c r="A1798" s="4" t="s">
        <v>18</v>
      </c>
      <c r="B1798" s="2" t="s">
        <v>5958</v>
      </c>
      <c r="C1798" s="5">
        <v>46006.0</v>
      </c>
      <c r="D1798" s="5">
        <v>46006.0</v>
      </c>
      <c r="E1798" s="4" t="s">
        <v>5959</v>
      </c>
      <c r="F1798" s="9"/>
      <c r="G1798" s="6"/>
      <c r="H1798" s="11">
        <v>1250.0</v>
      </c>
      <c r="I1798" s="11">
        <v>39611.76</v>
      </c>
      <c r="K1798" s="2" t="s">
        <v>113</v>
      </c>
      <c r="L1798" s="2" t="s">
        <v>5960</v>
      </c>
      <c r="M1798" s="2" t="s">
        <v>24</v>
      </c>
      <c r="N1798" s="2" t="s">
        <v>60</v>
      </c>
      <c r="O1798" s="2">
        <v>1.10751038E8</v>
      </c>
      <c r="P1798" s="15"/>
      <c r="Q1798" s="8">
        <v>2025.0</v>
      </c>
      <c r="R1798" s="8" t="s">
        <v>5275</v>
      </c>
    </row>
    <row r="1799">
      <c r="A1799" s="4" t="s">
        <v>18</v>
      </c>
      <c r="B1799" s="2" t="s">
        <v>5961</v>
      </c>
      <c r="C1799" s="5">
        <v>46006.0</v>
      </c>
      <c r="D1799" s="5">
        <v>46006.0</v>
      </c>
      <c r="E1799" s="4" t="s">
        <v>5962</v>
      </c>
      <c r="F1799" s="9"/>
      <c r="G1799" s="6"/>
      <c r="H1799" s="7">
        <v>824.0</v>
      </c>
      <c r="I1799" s="11">
        <v>40435.76</v>
      </c>
      <c r="K1799" s="12" t="str">
        <f t="shared" ref="K1799:K1805" si="231">RIGHT(E1799,6)</f>
        <v>SL1610</v>
      </c>
      <c r="L1799" s="2" t="s">
        <v>5963</v>
      </c>
      <c r="M1799" s="2" t="s">
        <v>24</v>
      </c>
      <c r="N1799" s="2" t="s">
        <v>60</v>
      </c>
      <c r="O1799" s="2">
        <v>1.10751038E8</v>
      </c>
      <c r="P1799" s="15"/>
      <c r="Q1799" s="8">
        <v>2025.0</v>
      </c>
      <c r="R1799" s="8" t="s">
        <v>5275</v>
      </c>
    </row>
    <row r="1800">
      <c r="A1800" s="4" t="s">
        <v>18</v>
      </c>
      <c r="B1800" s="2" t="s">
        <v>5964</v>
      </c>
      <c r="C1800" s="5">
        <v>46006.0</v>
      </c>
      <c r="D1800" s="5">
        <v>46006.0</v>
      </c>
      <c r="E1800" s="4" t="s">
        <v>5965</v>
      </c>
      <c r="F1800" s="9"/>
      <c r="G1800" s="6"/>
      <c r="H1800" s="7">
        <v>349.0</v>
      </c>
      <c r="I1800" s="11">
        <v>40784.76</v>
      </c>
      <c r="K1800" s="12" t="str">
        <f t="shared" si="231"/>
        <v>SL1610</v>
      </c>
      <c r="L1800" s="2" t="s">
        <v>5966</v>
      </c>
      <c r="M1800" s="2" t="s">
        <v>24</v>
      </c>
      <c r="N1800" s="2" t="s">
        <v>60</v>
      </c>
      <c r="O1800" s="2">
        <v>1.10751038E8</v>
      </c>
      <c r="P1800" s="15"/>
      <c r="Q1800" s="8">
        <v>2025.0</v>
      </c>
      <c r="R1800" s="8" t="s">
        <v>5275</v>
      </c>
    </row>
    <row r="1801">
      <c r="A1801" s="4" t="s">
        <v>18</v>
      </c>
      <c r="B1801" s="2" t="s">
        <v>5967</v>
      </c>
      <c r="C1801" s="5">
        <v>46006.0</v>
      </c>
      <c r="D1801" s="5">
        <v>46006.0</v>
      </c>
      <c r="E1801" s="4" t="s">
        <v>5968</v>
      </c>
      <c r="F1801" s="9"/>
      <c r="G1801" s="6"/>
      <c r="H1801" s="11">
        <v>2456.0</v>
      </c>
      <c r="I1801" s="11">
        <v>43240.76</v>
      </c>
      <c r="K1801" s="12" t="str">
        <f t="shared" si="231"/>
        <v>SC3567</v>
      </c>
      <c r="M1801" s="2" t="s">
        <v>24</v>
      </c>
      <c r="N1801" s="2" t="s">
        <v>60</v>
      </c>
      <c r="O1801" s="2">
        <v>1.10751038E8</v>
      </c>
      <c r="P1801" s="15" t="str">
        <f>IFERROR(__xludf.DUMMYFUNCTION("CONCATENATE(B1801,"", "", to_text(D1801),"", "", E1801,"", "", H1801)"),"TSV-11-0657, 15-Dec-2025, UPI/CR/571541379135/PRIYA GI/UTIB/gillpri/SC3567, 2456")</f>
        <v>TSV-11-0657, 15-Dec-2025, UPI/CR/571541379135/PRIYA GI/UTIB/gillpri/SC3567, 2456</v>
      </c>
      <c r="Q1801" s="8">
        <v>2025.0</v>
      </c>
      <c r="R1801" s="8" t="s">
        <v>5275</v>
      </c>
    </row>
    <row r="1802">
      <c r="A1802" s="4" t="s">
        <v>18</v>
      </c>
      <c r="B1802" s="2" t="s">
        <v>5969</v>
      </c>
      <c r="C1802" s="5">
        <v>46006.0</v>
      </c>
      <c r="D1802" s="5">
        <v>46006.0</v>
      </c>
      <c r="E1802" s="4" t="s">
        <v>5970</v>
      </c>
      <c r="F1802" s="9"/>
      <c r="G1802" s="6"/>
      <c r="H1802" s="7">
        <v>844.0</v>
      </c>
      <c r="I1802" s="11">
        <v>44084.76</v>
      </c>
      <c r="K1802" s="12" t="str">
        <f t="shared" si="231"/>
        <v>SC3567</v>
      </c>
      <c r="M1802" s="2" t="s">
        <v>24</v>
      </c>
      <c r="N1802" s="2" t="s">
        <v>60</v>
      </c>
      <c r="O1802" s="2">
        <v>1.10751038E8</v>
      </c>
      <c r="P1802" s="15" t="str">
        <f>IFERROR(__xludf.DUMMYFUNCTION("CONCATENATE(B1802,"", "", to_text(D1802),"", "", E1802,"", "", H1802)"),"TSV-11-0658, 15-Dec-2025, UPI/CR/115674861887/PREETI K/HDFC/preetis/SC3567, 844")</f>
        <v>TSV-11-0658, 15-Dec-2025, UPI/CR/115674861887/PREETI K/HDFC/preetis/SC3567, 844</v>
      </c>
      <c r="Q1802" s="8">
        <v>2025.0</v>
      </c>
      <c r="R1802" s="8" t="s">
        <v>5275</v>
      </c>
    </row>
    <row r="1803">
      <c r="A1803" s="4" t="s">
        <v>18</v>
      </c>
      <c r="B1803" s="2" t="s">
        <v>5971</v>
      </c>
      <c r="C1803" s="5">
        <v>46006.0</v>
      </c>
      <c r="D1803" s="5">
        <v>46006.0</v>
      </c>
      <c r="E1803" s="4" t="s">
        <v>5972</v>
      </c>
      <c r="F1803" s="9"/>
      <c r="G1803" s="6"/>
      <c r="H1803" s="7">
        <v>396.0</v>
      </c>
      <c r="I1803" s="11">
        <v>44480.76</v>
      </c>
      <c r="K1803" s="12" t="str">
        <f t="shared" si="231"/>
        <v>UN3668</v>
      </c>
      <c r="L1803" s="21" t="s">
        <v>5973</v>
      </c>
      <c r="M1803" s="2" t="s">
        <v>24</v>
      </c>
      <c r="N1803" s="2" t="s">
        <v>60</v>
      </c>
      <c r="O1803" s="2">
        <v>1.10751038E8</v>
      </c>
      <c r="P1803" s="15"/>
      <c r="Q1803" s="8">
        <v>2025.0</v>
      </c>
      <c r="R1803" s="8" t="s">
        <v>5275</v>
      </c>
    </row>
    <row r="1804">
      <c r="A1804" s="4" t="s">
        <v>18</v>
      </c>
      <c r="B1804" s="2" t="s">
        <v>5974</v>
      </c>
      <c r="C1804" s="5">
        <v>46006.0</v>
      </c>
      <c r="D1804" s="5">
        <v>46006.0</v>
      </c>
      <c r="E1804" s="4" t="s">
        <v>5975</v>
      </c>
      <c r="F1804" s="9"/>
      <c r="G1804" s="6"/>
      <c r="H1804" s="11">
        <v>3024.0</v>
      </c>
      <c r="I1804" s="11">
        <v>47504.76</v>
      </c>
      <c r="K1804" s="12" t="str">
        <f t="shared" si="231"/>
        <v>KN3817</v>
      </c>
      <c r="L1804" s="2" t="s">
        <v>5976</v>
      </c>
      <c r="M1804" s="2" t="s">
        <v>24</v>
      </c>
      <c r="N1804" s="2" t="s">
        <v>60</v>
      </c>
      <c r="O1804" s="2">
        <v>1.10751038E8</v>
      </c>
      <c r="P1804" s="15"/>
      <c r="Q1804" s="8">
        <v>2025.0</v>
      </c>
      <c r="R1804" s="8" t="s">
        <v>5275</v>
      </c>
    </row>
    <row r="1805">
      <c r="A1805" s="4" t="s">
        <v>18</v>
      </c>
      <c r="B1805" s="2" t="s">
        <v>5977</v>
      </c>
      <c r="C1805" s="5">
        <v>46006.0</v>
      </c>
      <c r="D1805" s="5">
        <v>46006.0</v>
      </c>
      <c r="E1805" s="4" t="s">
        <v>5978</v>
      </c>
      <c r="F1805" s="9"/>
      <c r="G1805" s="6"/>
      <c r="H1805" s="7">
        <v>905.0</v>
      </c>
      <c r="I1805" s="11">
        <v>48409.76</v>
      </c>
      <c r="K1805" s="12" t="str">
        <f t="shared" si="231"/>
        <v>KN3817</v>
      </c>
      <c r="L1805" s="2" t="s">
        <v>3079</v>
      </c>
      <c r="M1805" s="2" t="s">
        <v>24</v>
      </c>
      <c r="N1805" s="2" t="s">
        <v>60</v>
      </c>
      <c r="O1805" s="2">
        <v>1.10751038E8</v>
      </c>
      <c r="P1805" s="15"/>
      <c r="Q1805" s="8">
        <v>2025.0</v>
      </c>
      <c r="R1805" s="8" t="s">
        <v>5275</v>
      </c>
    </row>
    <row r="1806">
      <c r="A1806" s="4" t="s">
        <v>18</v>
      </c>
      <c r="B1806" s="2" t="s">
        <v>5979</v>
      </c>
      <c r="C1806" s="5">
        <v>46006.0</v>
      </c>
      <c r="D1806" s="5">
        <v>46006.0</v>
      </c>
      <c r="E1806" s="4" t="s">
        <v>5980</v>
      </c>
      <c r="F1806" s="9"/>
      <c r="G1806" s="11">
        <v>1323.0</v>
      </c>
      <c r="H1806" s="6"/>
      <c r="I1806" s="11">
        <v>47086.76</v>
      </c>
      <c r="K1806" s="2" t="s">
        <v>127</v>
      </c>
      <c r="M1806" s="2" t="s">
        <v>114</v>
      </c>
      <c r="N1806" s="2" t="s">
        <v>2883</v>
      </c>
      <c r="O1806" s="2">
        <v>1.10751038E8</v>
      </c>
      <c r="Q1806" s="8">
        <v>2025.0</v>
      </c>
      <c r="R1806" s="8" t="s">
        <v>5275</v>
      </c>
    </row>
    <row r="1807">
      <c r="A1807" s="4" t="s">
        <v>18</v>
      </c>
      <c r="B1807" s="2" t="s">
        <v>5981</v>
      </c>
      <c r="C1807" s="5">
        <v>46006.0</v>
      </c>
      <c r="D1807" s="5">
        <v>46006.0</v>
      </c>
      <c r="E1807" s="4" t="s">
        <v>5982</v>
      </c>
      <c r="F1807" s="9"/>
      <c r="G1807" s="6"/>
      <c r="H1807" s="7">
        <v>3.28</v>
      </c>
      <c r="I1807" s="11">
        <v>47090.04</v>
      </c>
      <c r="K1807" s="2" t="s">
        <v>23</v>
      </c>
      <c r="M1807" s="2" t="s">
        <v>24</v>
      </c>
      <c r="N1807" s="2" t="s">
        <v>60</v>
      </c>
      <c r="O1807" s="2">
        <v>1.10751038E8</v>
      </c>
      <c r="P1807" s="15" t="str">
        <f>IFERROR(__xludf.DUMMYFUNCTION("CONCATENATE(B1807,"", "", to_text(D1807),"", "", E1807,"", "", H1807)"),"TSV-11-0663, 15-Dec-2025, NEFT/AIRPH34902924453/Airtel Payments Bank Ltd/AIRP0000001/., 3.28")</f>
        <v>TSV-11-0663, 15-Dec-2025, NEFT/AIRPH34902924453/Airtel Payments Bank Ltd/AIRP0000001/., 3.28</v>
      </c>
      <c r="Q1807" s="8">
        <v>2025.0</v>
      </c>
      <c r="R1807" s="8" t="s">
        <v>5275</v>
      </c>
    </row>
    <row r="1808">
      <c r="A1808" s="4" t="s">
        <v>18</v>
      </c>
      <c r="B1808" s="2" t="s">
        <v>5983</v>
      </c>
      <c r="C1808" s="5">
        <v>46007.0</v>
      </c>
      <c r="D1808" s="5">
        <v>46007.0</v>
      </c>
      <c r="E1808" s="4" t="s">
        <v>5984</v>
      </c>
      <c r="F1808" s="9"/>
      <c r="G1808" s="6"/>
      <c r="H1808" s="7">
        <v>143.0</v>
      </c>
      <c r="I1808" s="11">
        <v>47233.04</v>
      </c>
      <c r="K1808" s="12" t="str">
        <f>RIGHT(E1808,6)</f>
        <v>UN3668</v>
      </c>
      <c r="L1808" s="21" t="s">
        <v>5985</v>
      </c>
      <c r="M1808" s="2" t="s">
        <v>24</v>
      </c>
      <c r="N1808" s="2" t="s">
        <v>60</v>
      </c>
      <c r="O1808" s="2">
        <v>1.10751038E8</v>
      </c>
      <c r="P1808" s="15"/>
      <c r="Q1808" s="8">
        <v>2025.0</v>
      </c>
      <c r="R1808" s="8" t="s">
        <v>5275</v>
      </c>
    </row>
    <row r="1809">
      <c r="A1809" s="4" t="s">
        <v>18</v>
      </c>
      <c r="B1809" s="2" t="s">
        <v>5986</v>
      </c>
      <c r="C1809" s="5">
        <v>46007.0</v>
      </c>
      <c r="D1809" s="5">
        <v>46007.0</v>
      </c>
      <c r="E1809" s="4" t="s">
        <v>5987</v>
      </c>
      <c r="F1809" s="9"/>
      <c r="G1809" s="7">
        <v>284.0</v>
      </c>
      <c r="H1809" s="6"/>
      <c r="I1809" s="11">
        <v>46949.04</v>
      </c>
      <c r="K1809" s="2" t="s">
        <v>127</v>
      </c>
      <c r="M1809" s="2" t="s">
        <v>114</v>
      </c>
      <c r="N1809" s="2" t="s">
        <v>478</v>
      </c>
      <c r="O1809" s="2">
        <v>1.10751038E8</v>
      </c>
      <c r="Q1809" s="8">
        <v>2025.0</v>
      </c>
      <c r="R1809" s="8" t="s">
        <v>5275</v>
      </c>
    </row>
    <row r="1810">
      <c r="A1810" s="4" t="s">
        <v>18</v>
      </c>
      <c r="B1810" s="2" t="s">
        <v>5988</v>
      </c>
      <c r="C1810" s="5">
        <v>46007.0</v>
      </c>
      <c r="D1810" s="5">
        <v>46007.0</v>
      </c>
      <c r="E1810" s="4" t="s">
        <v>5989</v>
      </c>
      <c r="F1810" s="9"/>
      <c r="G1810" s="7">
        <v>363.0</v>
      </c>
      <c r="H1810" s="6"/>
      <c r="I1810" s="11">
        <v>46586.04</v>
      </c>
      <c r="K1810" s="2" t="s">
        <v>119</v>
      </c>
      <c r="M1810" s="2" t="s">
        <v>114</v>
      </c>
      <c r="N1810" s="2" t="s">
        <v>478</v>
      </c>
      <c r="O1810" s="2">
        <v>1.10751038E8</v>
      </c>
      <c r="Q1810" s="8">
        <v>2025.0</v>
      </c>
      <c r="R1810" s="8" t="s">
        <v>5275</v>
      </c>
    </row>
    <row r="1811">
      <c r="A1811" s="4" t="s">
        <v>18</v>
      </c>
      <c r="B1811" s="2" t="s">
        <v>5990</v>
      </c>
      <c r="C1811" s="5">
        <v>46007.0</v>
      </c>
      <c r="D1811" s="5">
        <v>46007.0</v>
      </c>
      <c r="E1811" s="4" t="s">
        <v>5991</v>
      </c>
      <c r="F1811" s="9"/>
      <c r="G1811" s="6"/>
      <c r="H1811" s="7">
        <v>540.0</v>
      </c>
      <c r="I1811" s="11">
        <v>47126.04</v>
      </c>
      <c r="K1811" s="12" t="str">
        <f>RIGHT(E1811,6)</f>
        <v>UN3668</v>
      </c>
      <c r="L1811" s="21" t="s">
        <v>5992</v>
      </c>
      <c r="M1811" s="2" t="s">
        <v>24</v>
      </c>
      <c r="N1811" s="2" t="s">
        <v>60</v>
      </c>
      <c r="O1811" s="2">
        <v>1.10751038E8</v>
      </c>
      <c r="P1811" s="15"/>
      <c r="Q1811" s="8">
        <v>2025.0</v>
      </c>
      <c r="R1811" s="8" t="s">
        <v>5275</v>
      </c>
    </row>
    <row r="1812">
      <c r="A1812" s="4" t="s">
        <v>18</v>
      </c>
      <c r="B1812" s="2" t="s">
        <v>5993</v>
      </c>
      <c r="C1812" s="5">
        <v>46007.0</v>
      </c>
      <c r="D1812" s="5">
        <v>46007.0</v>
      </c>
      <c r="E1812" s="4" t="s">
        <v>5994</v>
      </c>
      <c r="F1812" s="9"/>
      <c r="G1812" s="11">
        <v>4000.0</v>
      </c>
      <c r="H1812" s="6"/>
      <c r="I1812" s="11">
        <v>43126.04</v>
      </c>
      <c r="K1812" s="2" t="s">
        <v>23</v>
      </c>
      <c r="M1812" s="2" t="s">
        <v>114</v>
      </c>
      <c r="N1812" s="2" t="s">
        <v>1835</v>
      </c>
      <c r="O1812" s="2">
        <v>1.10751038E8</v>
      </c>
      <c r="Q1812" s="8">
        <v>2025.0</v>
      </c>
      <c r="R1812" s="8" t="s">
        <v>5275</v>
      </c>
    </row>
    <row r="1813">
      <c r="A1813" s="4" t="s">
        <v>18</v>
      </c>
      <c r="B1813" s="2" t="s">
        <v>5995</v>
      </c>
      <c r="C1813" s="5">
        <v>46007.0</v>
      </c>
      <c r="D1813" s="5">
        <v>46007.0</v>
      </c>
      <c r="E1813" s="4" t="s">
        <v>5996</v>
      </c>
      <c r="F1813" s="9"/>
      <c r="G1813" s="6"/>
      <c r="H1813" s="11">
        <v>1080.0</v>
      </c>
      <c r="I1813" s="11">
        <v>44206.04</v>
      </c>
      <c r="K1813" s="12" t="str">
        <f t="shared" ref="K1813:K1815" si="232">RIGHT(E1813,6)</f>
        <v>SC3567</v>
      </c>
      <c r="M1813" s="2" t="s">
        <v>24</v>
      </c>
      <c r="N1813" s="2" t="s">
        <v>60</v>
      </c>
      <c r="O1813" s="2">
        <v>1.10751038E8</v>
      </c>
      <c r="P1813" s="15" t="str">
        <f>IFERROR(__xludf.DUMMYFUNCTION("CONCATENATE(B1813,"", "", to_text(D1813),"", "", E1813,"", "", H1813)"),"TSV-11-0669, 16-Dec-2025, UPI/CR/115712090894/POONAM Y/HDFC/avninik/SC3567, 1080")</f>
        <v>TSV-11-0669, 16-Dec-2025, UPI/CR/115712090894/POONAM Y/HDFC/avninik/SC3567, 1080</v>
      </c>
      <c r="Q1813" s="8">
        <v>2025.0</v>
      </c>
      <c r="R1813" s="8" t="s">
        <v>5275</v>
      </c>
    </row>
    <row r="1814">
      <c r="A1814" s="4" t="s">
        <v>18</v>
      </c>
      <c r="B1814" s="2" t="s">
        <v>5997</v>
      </c>
      <c r="C1814" s="5">
        <v>46007.0</v>
      </c>
      <c r="D1814" s="5">
        <v>46007.0</v>
      </c>
      <c r="E1814" s="4" t="s">
        <v>5998</v>
      </c>
      <c r="F1814" s="9"/>
      <c r="G1814" s="6"/>
      <c r="H1814" s="7">
        <v>225.0</v>
      </c>
      <c r="I1814" s="11">
        <v>44431.04</v>
      </c>
      <c r="K1814" s="12" t="str">
        <f t="shared" si="232"/>
        <v>UN3668</v>
      </c>
      <c r="L1814" s="21" t="s">
        <v>5999</v>
      </c>
      <c r="M1814" s="2" t="s">
        <v>24</v>
      </c>
      <c r="N1814" s="2" t="s">
        <v>60</v>
      </c>
      <c r="O1814" s="2">
        <v>1.10751038E8</v>
      </c>
      <c r="P1814" s="15"/>
      <c r="Q1814" s="8">
        <v>2025.0</v>
      </c>
      <c r="R1814" s="8" t="s">
        <v>5275</v>
      </c>
    </row>
    <row r="1815">
      <c r="A1815" s="4" t="s">
        <v>18</v>
      </c>
      <c r="B1815" s="2" t="s">
        <v>6000</v>
      </c>
      <c r="C1815" s="5">
        <v>46007.0</v>
      </c>
      <c r="D1815" s="5">
        <v>46007.0</v>
      </c>
      <c r="E1815" s="4" t="s">
        <v>6001</v>
      </c>
      <c r="F1815" s="9"/>
      <c r="G1815" s="6"/>
      <c r="H1815" s="7">
        <v>495.0</v>
      </c>
      <c r="I1815" s="11">
        <v>44926.04</v>
      </c>
      <c r="K1815" s="12" t="str">
        <f t="shared" si="232"/>
        <v>UN3668</v>
      </c>
      <c r="L1815" s="21" t="s">
        <v>6002</v>
      </c>
      <c r="M1815" s="2" t="s">
        <v>24</v>
      </c>
      <c r="N1815" s="2" t="s">
        <v>60</v>
      </c>
      <c r="O1815" s="2">
        <v>1.10751038E8</v>
      </c>
      <c r="P1815" s="15"/>
      <c r="Q1815" s="8">
        <v>2025.0</v>
      </c>
      <c r="R1815" s="8" t="s">
        <v>5275</v>
      </c>
    </row>
    <row r="1816">
      <c r="A1816" s="4" t="s">
        <v>18</v>
      </c>
      <c r="B1816" s="2" t="s">
        <v>6003</v>
      </c>
      <c r="C1816" s="5">
        <v>46007.0</v>
      </c>
      <c r="D1816" s="5">
        <v>46007.0</v>
      </c>
      <c r="E1816" s="4" t="s">
        <v>6004</v>
      </c>
      <c r="F1816" s="9"/>
      <c r="G1816" s="11">
        <v>1000.0</v>
      </c>
      <c r="H1816" s="6"/>
      <c r="I1816" s="11">
        <v>43926.04</v>
      </c>
      <c r="J1816" s="2" t="s">
        <v>4289</v>
      </c>
      <c r="K1816" s="2" t="s">
        <v>123</v>
      </c>
      <c r="M1816" s="2" t="s">
        <v>114</v>
      </c>
      <c r="N1816" s="2" t="s">
        <v>169</v>
      </c>
      <c r="O1816" s="2">
        <v>1.10751038E8</v>
      </c>
      <c r="Q1816" s="8">
        <v>2025.0</v>
      </c>
      <c r="R1816" s="8" t="s">
        <v>5275</v>
      </c>
    </row>
    <row r="1817">
      <c r="A1817" s="4" t="s">
        <v>18</v>
      </c>
      <c r="B1817" s="2" t="s">
        <v>6005</v>
      </c>
      <c r="C1817" s="5">
        <v>46007.0</v>
      </c>
      <c r="D1817" s="5">
        <v>46007.0</v>
      </c>
      <c r="E1817" s="4" t="s">
        <v>6006</v>
      </c>
      <c r="F1817" s="9"/>
      <c r="G1817" s="6"/>
      <c r="H1817" s="7">
        <v>770.0</v>
      </c>
      <c r="I1817" s="11">
        <v>44696.04</v>
      </c>
      <c r="K1817" s="12" t="str">
        <f t="shared" ref="K1817:K1818" si="233">RIGHT(E1817,6)</f>
        <v>UN3668</v>
      </c>
      <c r="L1817" s="21" t="s">
        <v>6007</v>
      </c>
      <c r="M1817" s="2" t="s">
        <v>24</v>
      </c>
      <c r="N1817" s="2" t="s">
        <v>60</v>
      </c>
      <c r="O1817" s="2">
        <v>1.10751038E8</v>
      </c>
      <c r="P1817" s="15"/>
      <c r="Q1817" s="8">
        <v>2025.0</v>
      </c>
      <c r="R1817" s="8" t="s">
        <v>5275</v>
      </c>
    </row>
    <row r="1818">
      <c r="A1818" s="4" t="s">
        <v>18</v>
      </c>
      <c r="B1818" s="2" t="s">
        <v>6008</v>
      </c>
      <c r="C1818" s="5">
        <v>46007.0</v>
      </c>
      <c r="D1818" s="5">
        <v>46007.0</v>
      </c>
      <c r="E1818" s="4" t="s">
        <v>6009</v>
      </c>
      <c r="F1818" s="9"/>
      <c r="G1818" s="6"/>
      <c r="H1818" s="7">
        <v>540.0</v>
      </c>
      <c r="I1818" s="11">
        <v>45236.04</v>
      </c>
      <c r="K1818" s="12" t="str">
        <f t="shared" si="233"/>
        <v>UN3668</v>
      </c>
      <c r="L1818" s="21" t="s">
        <v>6010</v>
      </c>
      <c r="M1818" s="2" t="s">
        <v>24</v>
      </c>
      <c r="N1818" s="2" t="s">
        <v>60</v>
      </c>
      <c r="O1818" s="2">
        <v>1.10751038E8</v>
      </c>
      <c r="P1818" s="15"/>
      <c r="Q1818" s="8">
        <v>2025.0</v>
      </c>
      <c r="R1818" s="8" t="s">
        <v>5275</v>
      </c>
    </row>
    <row r="1819">
      <c r="A1819" s="4" t="s">
        <v>18</v>
      </c>
      <c r="B1819" s="2" t="s">
        <v>6011</v>
      </c>
      <c r="C1819" s="5">
        <v>46007.0</v>
      </c>
      <c r="D1819" s="5">
        <v>46007.0</v>
      </c>
      <c r="E1819" s="4" t="s">
        <v>6012</v>
      </c>
      <c r="F1819" s="9"/>
      <c r="G1819" s="11">
        <v>1620.0</v>
      </c>
      <c r="H1819" s="6"/>
      <c r="I1819" s="11">
        <v>43616.04</v>
      </c>
      <c r="K1819" s="2" t="s">
        <v>113</v>
      </c>
      <c r="M1819" s="2" t="s">
        <v>114</v>
      </c>
      <c r="N1819" s="2" t="s">
        <v>1800</v>
      </c>
      <c r="O1819" s="2">
        <v>1.10751038E8</v>
      </c>
      <c r="Q1819" s="8">
        <v>2025.0</v>
      </c>
      <c r="R1819" s="8" t="s">
        <v>5275</v>
      </c>
    </row>
    <row r="1820">
      <c r="A1820" s="4" t="s">
        <v>18</v>
      </c>
      <c r="B1820" s="2" t="s">
        <v>6013</v>
      </c>
      <c r="C1820" s="5">
        <v>46007.0</v>
      </c>
      <c r="D1820" s="5">
        <v>46007.0</v>
      </c>
      <c r="E1820" s="4" t="s">
        <v>6014</v>
      </c>
      <c r="F1820" s="9"/>
      <c r="G1820" s="6"/>
      <c r="H1820" s="7">
        <v>1.0</v>
      </c>
      <c r="I1820" s="11">
        <v>43617.04</v>
      </c>
      <c r="K1820" s="12" t="str">
        <f>RIGHT(E1820,6)</f>
        <v>SC3567</v>
      </c>
      <c r="M1820" s="2" t="s">
        <v>24</v>
      </c>
      <c r="N1820" s="2" t="s">
        <v>60</v>
      </c>
      <c r="O1820" s="2">
        <v>1.10751038E8</v>
      </c>
      <c r="P1820" s="15" t="str">
        <f>IFERROR(__xludf.DUMMYFUNCTION("CONCATENATE(B1820,"", "", to_text(D1820),"", "", E1820,"", "", H1820)"),"TSV-11-0676, 16-Dec-2025, UPI/CR/115725587230/TARUN SH/HDFC/tarunsh/SC3567, 1")</f>
        <v>TSV-11-0676, 16-Dec-2025, UPI/CR/115725587230/TARUN SH/HDFC/tarunsh/SC3567, 1</v>
      </c>
      <c r="Q1820" s="8">
        <v>2025.0</v>
      </c>
      <c r="R1820" s="8" t="s">
        <v>5275</v>
      </c>
    </row>
    <row r="1821">
      <c r="A1821" s="4" t="s">
        <v>18</v>
      </c>
      <c r="B1821" s="2" t="s">
        <v>6015</v>
      </c>
      <c r="C1821" s="5">
        <v>46007.0</v>
      </c>
      <c r="D1821" s="5">
        <v>46007.0</v>
      </c>
      <c r="E1821" s="4" t="s">
        <v>6016</v>
      </c>
      <c r="F1821" s="9"/>
      <c r="G1821" s="7">
        <v>200.0</v>
      </c>
      <c r="H1821" s="6"/>
      <c r="I1821" s="11">
        <v>43417.04</v>
      </c>
      <c r="K1821" s="2" t="s">
        <v>127</v>
      </c>
      <c r="M1821" s="2" t="s">
        <v>114</v>
      </c>
      <c r="N1821" s="2" t="s">
        <v>1835</v>
      </c>
      <c r="O1821" s="2">
        <v>1.10751038E8</v>
      </c>
      <c r="Q1821" s="8">
        <v>2025.0</v>
      </c>
      <c r="R1821" s="8" t="s">
        <v>5275</v>
      </c>
    </row>
    <row r="1822">
      <c r="A1822" s="4" t="s">
        <v>18</v>
      </c>
      <c r="B1822" s="2" t="s">
        <v>6017</v>
      </c>
      <c r="C1822" s="5">
        <v>46007.0</v>
      </c>
      <c r="D1822" s="5">
        <v>46007.0</v>
      </c>
      <c r="E1822" s="4" t="s">
        <v>6018</v>
      </c>
      <c r="F1822" s="9"/>
      <c r="G1822" s="6"/>
      <c r="H1822" s="7">
        <v>400.0</v>
      </c>
      <c r="I1822" s="11">
        <v>43817.04</v>
      </c>
      <c r="K1822" s="12" t="str">
        <f t="shared" ref="K1822:K1831" si="234">RIGHT(E1822,6)</f>
        <v>UN3668</v>
      </c>
      <c r="L1822" s="21" t="s">
        <v>6019</v>
      </c>
      <c r="M1822" s="2" t="s">
        <v>24</v>
      </c>
      <c r="N1822" s="2" t="s">
        <v>60</v>
      </c>
      <c r="O1822" s="2">
        <v>1.10751038E8</v>
      </c>
      <c r="P1822" s="15"/>
      <c r="Q1822" s="8">
        <v>2025.0</v>
      </c>
      <c r="R1822" s="8" t="s">
        <v>5275</v>
      </c>
    </row>
    <row r="1823">
      <c r="A1823" s="4" t="s">
        <v>18</v>
      </c>
      <c r="B1823" s="2" t="s">
        <v>6020</v>
      </c>
      <c r="C1823" s="5">
        <v>46007.0</v>
      </c>
      <c r="D1823" s="5">
        <v>46007.0</v>
      </c>
      <c r="E1823" s="4" t="s">
        <v>6021</v>
      </c>
      <c r="F1823" s="9"/>
      <c r="G1823" s="6"/>
      <c r="H1823" s="7">
        <v>280.0</v>
      </c>
      <c r="I1823" s="11">
        <v>44097.04</v>
      </c>
      <c r="K1823" s="12" t="str">
        <f t="shared" si="234"/>
        <v>UN3668</v>
      </c>
      <c r="L1823" s="21" t="s">
        <v>6022</v>
      </c>
      <c r="M1823" s="2" t="s">
        <v>24</v>
      </c>
      <c r="N1823" s="2" t="s">
        <v>60</v>
      </c>
      <c r="O1823" s="2">
        <v>1.10751038E8</v>
      </c>
      <c r="P1823" s="15"/>
      <c r="Q1823" s="8">
        <v>2025.0</v>
      </c>
      <c r="R1823" s="8" t="s">
        <v>5275</v>
      </c>
    </row>
    <row r="1824">
      <c r="A1824" s="4" t="s">
        <v>18</v>
      </c>
      <c r="B1824" s="2" t="s">
        <v>6023</v>
      </c>
      <c r="C1824" s="5">
        <v>46007.0</v>
      </c>
      <c r="D1824" s="5">
        <v>46007.0</v>
      </c>
      <c r="E1824" s="4" t="s">
        <v>6024</v>
      </c>
      <c r="F1824" s="9"/>
      <c r="G1824" s="6"/>
      <c r="H1824" s="7">
        <v>600.0</v>
      </c>
      <c r="I1824" s="11">
        <v>44697.04</v>
      </c>
      <c r="K1824" s="12" t="str">
        <f t="shared" si="234"/>
        <v>UN3668</v>
      </c>
      <c r="L1824" s="21" t="s">
        <v>6025</v>
      </c>
      <c r="M1824" s="2" t="s">
        <v>24</v>
      </c>
      <c r="N1824" s="2" t="s">
        <v>60</v>
      </c>
      <c r="O1824" s="2">
        <v>1.10751038E8</v>
      </c>
      <c r="P1824" s="15"/>
      <c r="Q1824" s="8">
        <v>2025.0</v>
      </c>
      <c r="R1824" s="8" t="s">
        <v>5275</v>
      </c>
    </row>
    <row r="1825">
      <c r="A1825" s="4" t="s">
        <v>18</v>
      </c>
      <c r="B1825" s="2" t="s">
        <v>6026</v>
      </c>
      <c r="C1825" s="5">
        <v>46007.0</v>
      </c>
      <c r="D1825" s="5">
        <v>46007.0</v>
      </c>
      <c r="E1825" s="4" t="s">
        <v>6027</v>
      </c>
      <c r="F1825" s="9"/>
      <c r="G1825" s="6"/>
      <c r="H1825" s="7">
        <v>372.0</v>
      </c>
      <c r="I1825" s="11">
        <v>45069.04</v>
      </c>
      <c r="K1825" s="12" t="str">
        <f t="shared" si="234"/>
        <v>SC3567</v>
      </c>
      <c r="M1825" s="2" t="s">
        <v>24</v>
      </c>
      <c r="N1825" s="2" t="s">
        <v>60</v>
      </c>
      <c r="O1825" s="2">
        <v>1.10751038E8</v>
      </c>
      <c r="P1825" s="15" t="str">
        <f>IFERROR(__xludf.DUMMYFUNCTION("CONCATENATE(B1825,"", "", to_text(D1825),"", "", E1825,"", "", H1825)"),"TSV-11-0681, 16-Dec-2025, UPI/CR/571628829344/Mr VISHA/CBIN/9212541/SC3567, 372")</f>
        <v>TSV-11-0681, 16-Dec-2025, UPI/CR/571628829344/Mr VISHA/CBIN/9212541/SC3567, 372</v>
      </c>
      <c r="Q1825" s="8">
        <v>2025.0</v>
      </c>
      <c r="R1825" s="8" t="s">
        <v>5275</v>
      </c>
    </row>
    <row r="1826">
      <c r="A1826" s="4" t="s">
        <v>18</v>
      </c>
      <c r="B1826" s="2" t="s">
        <v>6028</v>
      </c>
      <c r="C1826" s="5">
        <v>46007.0</v>
      </c>
      <c r="D1826" s="5">
        <v>46007.0</v>
      </c>
      <c r="E1826" s="4" t="s">
        <v>6029</v>
      </c>
      <c r="F1826" s="9"/>
      <c r="G1826" s="6"/>
      <c r="H1826" s="7">
        <v>525.0</v>
      </c>
      <c r="I1826" s="11">
        <v>45594.04</v>
      </c>
      <c r="K1826" s="12" t="str">
        <f t="shared" si="234"/>
        <v>UN3668</v>
      </c>
      <c r="L1826" s="21" t="s">
        <v>6030</v>
      </c>
      <c r="M1826" s="2" t="s">
        <v>24</v>
      </c>
      <c r="N1826" s="2" t="s">
        <v>60</v>
      </c>
      <c r="O1826" s="2">
        <v>1.10751038E8</v>
      </c>
      <c r="P1826" s="15"/>
      <c r="Q1826" s="8">
        <v>2025.0</v>
      </c>
      <c r="R1826" s="8" t="s">
        <v>5275</v>
      </c>
    </row>
    <row r="1827">
      <c r="A1827" s="4" t="s">
        <v>18</v>
      </c>
      <c r="B1827" s="2" t="s">
        <v>6031</v>
      </c>
      <c r="C1827" s="5">
        <v>46007.0</v>
      </c>
      <c r="D1827" s="5">
        <v>46007.0</v>
      </c>
      <c r="E1827" s="4" t="s">
        <v>6032</v>
      </c>
      <c r="F1827" s="9"/>
      <c r="G1827" s="6"/>
      <c r="H1827" s="7">
        <v>396.0</v>
      </c>
      <c r="I1827" s="11">
        <v>45990.04</v>
      </c>
      <c r="K1827" s="12" t="str">
        <f t="shared" si="234"/>
        <v>UN3668</v>
      </c>
      <c r="L1827" s="21" t="s">
        <v>6033</v>
      </c>
      <c r="M1827" s="2" t="s">
        <v>24</v>
      </c>
      <c r="N1827" s="2" t="s">
        <v>60</v>
      </c>
      <c r="O1827" s="2">
        <v>1.10751038E8</v>
      </c>
      <c r="P1827" s="15"/>
      <c r="Q1827" s="8">
        <v>2025.0</v>
      </c>
      <c r="R1827" s="8" t="s">
        <v>5275</v>
      </c>
    </row>
    <row r="1828">
      <c r="A1828" s="4" t="s">
        <v>18</v>
      </c>
      <c r="B1828" s="2" t="s">
        <v>6034</v>
      </c>
      <c r="C1828" s="5">
        <v>46007.0</v>
      </c>
      <c r="D1828" s="5">
        <v>46007.0</v>
      </c>
      <c r="E1828" s="4" t="s">
        <v>6035</v>
      </c>
      <c r="F1828" s="9"/>
      <c r="G1828" s="6"/>
      <c r="H1828" s="11">
        <v>2581.0</v>
      </c>
      <c r="I1828" s="11">
        <v>48571.04</v>
      </c>
      <c r="K1828" s="12" t="str">
        <f t="shared" si="234"/>
        <v>SC3567</v>
      </c>
      <c r="M1828" s="2" t="s">
        <v>24</v>
      </c>
      <c r="N1828" s="2" t="s">
        <v>60</v>
      </c>
      <c r="O1828" s="2">
        <v>1.10751038E8</v>
      </c>
      <c r="P1828" s="15" t="str">
        <f>IFERROR(__xludf.DUMMYFUNCTION("CONCATENATE(B1828,"", "", to_text(D1828),"", "", E1828,"", "", H1828)"),"TSV-11-0684, 16-Dec-2025, UPI/CR/535025934154/Mr Kavin/IDIB/9654880/SC3567, 2581")</f>
        <v>TSV-11-0684, 16-Dec-2025, UPI/CR/535025934154/Mr Kavin/IDIB/9654880/SC3567, 2581</v>
      </c>
      <c r="Q1828" s="8">
        <v>2025.0</v>
      </c>
      <c r="R1828" s="8" t="s">
        <v>5275</v>
      </c>
    </row>
    <row r="1829">
      <c r="A1829" s="4" t="s">
        <v>18</v>
      </c>
      <c r="B1829" s="2" t="s">
        <v>6036</v>
      </c>
      <c r="C1829" s="5">
        <v>46007.0</v>
      </c>
      <c r="D1829" s="5">
        <v>46007.0</v>
      </c>
      <c r="E1829" s="4" t="s">
        <v>6037</v>
      </c>
      <c r="F1829" s="9"/>
      <c r="G1829" s="6"/>
      <c r="H1829" s="7">
        <v>600.0</v>
      </c>
      <c r="I1829" s="11">
        <v>49171.04</v>
      </c>
      <c r="K1829" s="12" t="str">
        <f t="shared" si="234"/>
        <v>KN3817</v>
      </c>
      <c r="L1829" s="2" t="s">
        <v>6038</v>
      </c>
      <c r="M1829" s="2" t="s">
        <v>24</v>
      </c>
      <c r="N1829" s="2" t="s">
        <v>60</v>
      </c>
      <c r="O1829" s="2">
        <v>1.10751038E8</v>
      </c>
      <c r="P1829" s="15"/>
      <c r="Q1829" s="8">
        <v>2025.0</v>
      </c>
      <c r="R1829" s="8" t="s">
        <v>5275</v>
      </c>
    </row>
    <row r="1830">
      <c r="A1830" s="4" t="s">
        <v>18</v>
      </c>
      <c r="B1830" s="2" t="s">
        <v>6039</v>
      </c>
      <c r="C1830" s="5">
        <v>46007.0</v>
      </c>
      <c r="D1830" s="5">
        <v>46007.0</v>
      </c>
      <c r="E1830" s="4" t="s">
        <v>6040</v>
      </c>
      <c r="F1830" s="9"/>
      <c r="G1830" s="6"/>
      <c r="H1830" s="11">
        <v>1575.0</v>
      </c>
      <c r="I1830" s="11">
        <v>50746.04</v>
      </c>
      <c r="K1830" s="12" t="str">
        <f t="shared" si="234"/>
        <v>UN3668</v>
      </c>
      <c r="L1830" s="21" t="s">
        <v>6041</v>
      </c>
      <c r="M1830" s="2" t="s">
        <v>24</v>
      </c>
      <c r="N1830" s="2" t="s">
        <v>60</v>
      </c>
      <c r="O1830" s="2">
        <v>1.10751038E8</v>
      </c>
      <c r="P1830" s="15"/>
      <c r="Q1830" s="8">
        <v>2025.0</v>
      </c>
      <c r="R1830" s="8" t="s">
        <v>5275</v>
      </c>
    </row>
    <row r="1831">
      <c r="A1831" s="4" t="s">
        <v>18</v>
      </c>
      <c r="B1831" s="2" t="s">
        <v>6042</v>
      </c>
      <c r="C1831" s="5">
        <v>46007.0</v>
      </c>
      <c r="D1831" s="5">
        <v>46007.0</v>
      </c>
      <c r="E1831" s="4" t="s">
        <v>6043</v>
      </c>
      <c r="F1831" s="9"/>
      <c r="G1831" s="6"/>
      <c r="H1831" s="7">
        <v>120.0</v>
      </c>
      <c r="I1831" s="11">
        <v>50866.04</v>
      </c>
      <c r="K1831" s="12" t="str">
        <f t="shared" si="234"/>
        <v>UN3668</v>
      </c>
      <c r="L1831" s="21" t="s">
        <v>6044</v>
      </c>
      <c r="M1831" s="2" t="s">
        <v>24</v>
      </c>
      <c r="N1831" s="2" t="s">
        <v>60</v>
      </c>
      <c r="O1831" s="2">
        <v>1.10751038E8</v>
      </c>
      <c r="P1831" s="15"/>
      <c r="Q1831" s="8">
        <v>2025.0</v>
      </c>
      <c r="R1831" s="8" t="s">
        <v>5275</v>
      </c>
    </row>
    <row r="1832">
      <c r="A1832" s="4" t="s">
        <v>18</v>
      </c>
      <c r="B1832" s="2" t="s">
        <v>6045</v>
      </c>
      <c r="C1832" s="5">
        <v>46007.0</v>
      </c>
      <c r="D1832" s="5">
        <v>46007.0</v>
      </c>
      <c r="E1832" s="4" t="s">
        <v>6046</v>
      </c>
      <c r="F1832" s="9"/>
      <c r="G1832" s="11">
        <v>2493.0</v>
      </c>
      <c r="H1832" s="6"/>
      <c r="I1832" s="11">
        <v>48373.04</v>
      </c>
      <c r="J1832" s="2" t="s">
        <v>6047</v>
      </c>
      <c r="K1832" s="2" t="s">
        <v>119</v>
      </c>
      <c r="M1832" s="2" t="s">
        <v>114</v>
      </c>
      <c r="N1832" s="2" t="s">
        <v>2883</v>
      </c>
      <c r="O1832" s="2">
        <v>1.10751038E8</v>
      </c>
      <c r="Q1832" s="8">
        <v>2025.0</v>
      </c>
      <c r="R1832" s="8" t="s">
        <v>5275</v>
      </c>
    </row>
    <row r="1833">
      <c r="A1833" s="4" t="s">
        <v>18</v>
      </c>
      <c r="B1833" s="2" t="s">
        <v>6048</v>
      </c>
      <c r="C1833" s="5">
        <v>46008.0</v>
      </c>
      <c r="D1833" s="5">
        <v>46008.0</v>
      </c>
      <c r="E1833" s="4" t="s">
        <v>6049</v>
      </c>
      <c r="F1833" s="9"/>
      <c r="G1833" s="11">
        <v>1529.28</v>
      </c>
      <c r="H1833" s="6"/>
      <c r="I1833" s="11">
        <v>46843.76</v>
      </c>
      <c r="J1833" s="2" t="s">
        <v>6050</v>
      </c>
      <c r="K1833" s="2" t="s">
        <v>23</v>
      </c>
      <c r="M1833" s="2" t="s">
        <v>114</v>
      </c>
      <c r="N1833" s="2" t="s">
        <v>1351</v>
      </c>
      <c r="O1833" s="2">
        <v>1.10751038E8</v>
      </c>
      <c r="Q1833" s="8">
        <v>2025.0</v>
      </c>
      <c r="R1833" s="8" t="s">
        <v>5275</v>
      </c>
    </row>
    <row r="1834">
      <c r="A1834" s="4" t="s">
        <v>18</v>
      </c>
      <c r="B1834" s="2" t="s">
        <v>6051</v>
      </c>
      <c r="C1834" s="5">
        <v>46008.0</v>
      </c>
      <c r="D1834" s="5">
        <v>46008.0</v>
      </c>
      <c r="E1834" s="4" t="s">
        <v>6052</v>
      </c>
      <c r="F1834" s="9"/>
      <c r="G1834" s="6"/>
      <c r="H1834" s="7">
        <v>234.0</v>
      </c>
      <c r="I1834" s="11">
        <v>47077.76</v>
      </c>
      <c r="K1834" s="12" t="str">
        <f t="shared" ref="K1834:K1835" si="235">RIGHT(E1834,6)</f>
        <v>SL1610</v>
      </c>
      <c r="L1834" s="2" t="s">
        <v>6053</v>
      </c>
      <c r="M1834" s="2" t="s">
        <v>24</v>
      </c>
      <c r="N1834" s="2" t="s">
        <v>60</v>
      </c>
      <c r="O1834" s="2">
        <v>1.10751038E8</v>
      </c>
      <c r="P1834" s="15"/>
      <c r="Q1834" s="8">
        <v>2025.0</v>
      </c>
      <c r="R1834" s="8" t="s">
        <v>5275</v>
      </c>
    </row>
    <row r="1835">
      <c r="A1835" s="4" t="s">
        <v>18</v>
      </c>
      <c r="B1835" s="2" t="s">
        <v>6054</v>
      </c>
      <c r="C1835" s="5">
        <v>46008.0</v>
      </c>
      <c r="D1835" s="5">
        <v>46008.0</v>
      </c>
      <c r="E1835" s="4" t="s">
        <v>6055</v>
      </c>
      <c r="F1835" s="9"/>
      <c r="G1835" s="6"/>
      <c r="H1835" s="7">
        <v>477.0</v>
      </c>
      <c r="I1835" s="11">
        <v>47554.76</v>
      </c>
      <c r="K1835" s="12" t="str">
        <f t="shared" si="235"/>
        <v>SL1610</v>
      </c>
      <c r="L1835" s="2" t="s">
        <v>6056</v>
      </c>
      <c r="M1835" s="2" t="s">
        <v>24</v>
      </c>
      <c r="N1835" s="2" t="s">
        <v>60</v>
      </c>
      <c r="O1835" s="2">
        <v>1.10751038E8</v>
      </c>
      <c r="P1835" s="15"/>
      <c r="Q1835" s="8">
        <v>2025.0</v>
      </c>
      <c r="R1835" s="8" t="s">
        <v>5275</v>
      </c>
    </row>
    <row r="1836">
      <c r="A1836" s="4" t="s">
        <v>18</v>
      </c>
      <c r="B1836" s="2" t="s">
        <v>6057</v>
      </c>
      <c r="C1836" s="5">
        <v>46008.0</v>
      </c>
      <c r="D1836" s="5">
        <v>46008.0</v>
      </c>
      <c r="E1836" s="4" t="s">
        <v>6058</v>
      </c>
      <c r="F1836" s="9"/>
      <c r="G1836" s="11">
        <v>3000.0</v>
      </c>
      <c r="H1836" s="6"/>
      <c r="I1836" s="11">
        <v>44554.76</v>
      </c>
      <c r="J1836" s="2" t="s">
        <v>6059</v>
      </c>
      <c r="K1836" s="2" t="s">
        <v>113</v>
      </c>
      <c r="M1836" s="2" t="s">
        <v>114</v>
      </c>
      <c r="N1836" s="2" t="s">
        <v>169</v>
      </c>
      <c r="O1836" s="2">
        <v>1.10751038E8</v>
      </c>
      <c r="Q1836" s="8">
        <v>2025.0</v>
      </c>
      <c r="R1836" s="8" t="s">
        <v>5275</v>
      </c>
    </row>
    <row r="1837">
      <c r="A1837" s="4" t="s">
        <v>18</v>
      </c>
      <c r="B1837" s="2" t="s">
        <v>6060</v>
      </c>
      <c r="C1837" s="5">
        <v>46008.0</v>
      </c>
      <c r="D1837" s="5">
        <v>46008.0</v>
      </c>
      <c r="E1837" s="4" t="s">
        <v>6061</v>
      </c>
      <c r="F1837" s="9"/>
      <c r="G1837" s="7">
        <v>200.0</v>
      </c>
      <c r="H1837" s="6"/>
      <c r="I1837" s="11">
        <v>44354.76</v>
      </c>
      <c r="J1837" s="2" t="s">
        <v>6062</v>
      </c>
      <c r="K1837" s="2" t="s">
        <v>127</v>
      </c>
      <c r="M1837" s="2" t="s">
        <v>114</v>
      </c>
      <c r="N1837" s="2" t="s">
        <v>3715</v>
      </c>
      <c r="O1837" s="2">
        <v>1.10751038E8</v>
      </c>
      <c r="Q1837" s="8">
        <v>2025.0</v>
      </c>
      <c r="R1837" s="8" t="s">
        <v>5275</v>
      </c>
    </row>
    <row r="1838">
      <c r="A1838" s="4" t="s">
        <v>18</v>
      </c>
      <c r="B1838" s="2" t="s">
        <v>6063</v>
      </c>
      <c r="C1838" s="5">
        <v>46008.0</v>
      </c>
      <c r="D1838" s="5">
        <v>46008.0</v>
      </c>
      <c r="E1838" s="4" t="s">
        <v>6064</v>
      </c>
      <c r="F1838" s="9"/>
      <c r="G1838" s="11">
        <v>1620.0</v>
      </c>
      <c r="H1838" s="6"/>
      <c r="I1838" s="11">
        <v>42734.76</v>
      </c>
      <c r="J1838" s="2" t="s">
        <v>1800</v>
      </c>
      <c r="K1838" s="2" t="s">
        <v>113</v>
      </c>
      <c r="M1838" s="2" t="s">
        <v>114</v>
      </c>
      <c r="N1838" s="2" t="s">
        <v>1800</v>
      </c>
      <c r="O1838" s="2">
        <v>1.10751038E8</v>
      </c>
      <c r="Q1838" s="8">
        <v>2025.0</v>
      </c>
      <c r="R1838" s="8" t="s">
        <v>5275</v>
      </c>
    </row>
    <row r="1839">
      <c r="A1839" s="4" t="s">
        <v>18</v>
      </c>
      <c r="B1839" s="2" t="s">
        <v>6065</v>
      </c>
      <c r="C1839" s="5">
        <v>46008.0</v>
      </c>
      <c r="D1839" s="5">
        <v>46008.0</v>
      </c>
      <c r="E1839" s="4" t="s">
        <v>6066</v>
      </c>
      <c r="F1839" s="9"/>
      <c r="G1839" s="6"/>
      <c r="H1839" s="7">
        <v>424.0</v>
      </c>
      <c r="I1839" s="11">
        <v>43158.76</v>
      </c>
      <c r="K1839" s="12" t="str">
        <f t="shared" ref="K1839:K1842" si="236">RIGHT(E1839,6)</f>
        <v>SL1610</v>
      </c>
      <c r="L1839" s="2" t="s">
        <v>6067</v>
      </c>
      <c r="M1839" s="2" t="s">
        <v>24</v>
      </c>
      <c r="N1839" s="2" t="s">
        <v>60</v>
      </c>
      <c r="O1839" s="2">
        <v>1.10751038E8</v>
      </c>
      <c r="P1839" s="15"/>
      <c r="Q1839" s="8">
        <v>2025.0</v>
      </c>
      <c r="R1839" s="8" t="s">
        <v>5275</v>
      </c>
    </row>
    <row r="1840">
      <c r="A1840" s="4" t="s">
        <v>18</v>
      </c>
      <c r="B1840" s="2" t="s">
        <v>6068</v>
      </c>
      <c r="C1840" s="5">
        <v>46008.0</v>
      </c>
      <c r="D1840" s="5">
        <v>46008.0</v>
      </c>
      <c r="E1840" s="4" t="s">
        <v>6069</v>
      </c>
      <c r="F1840" s="9"/>
      <c r="G1840" s="6"/>
      <c r="H1840" s="7">
        <v>200.0</v>
      </c>
      <c r="I1840" s="11">
        <v>43358.76</v>
      </c>
      <c r="K1840" s="12" t="str">
        <f t="shared" si="236"/>
        <v>KN3817</v>
      </c>
      <c r="L1840" s="2" t="s">
        <v>6070</v>
      </c>
      <c r="M1840" s="2" t="s">
        <v>24</v>
      </c>
      <c r="N1840" s="2" t="s">
        <v>60</v>
      </c>
      <c r="O1840" s="2">
        <v>1.10751038E8</v>
      </c>
      <c r="P1840" s="15"/>
      <c r="Q1840" s="8">
        <v>2025.0</v>
      </c>
      <c r="R1840" s="8" t="s">
        <v>5275</v>
      </c>
    </row>
    <row r="1841">
      <c r="A1841" s="4" t="s">
        <v>18</v>
      </c>
      <c r="B1841" s="2" t="s">
        <v>6071</v>
      </c>
      <c r="C1841" s="5">
        <v>46008.0</v>
      </c>
      <c r="D1841" s="5">
        <v>46008.0</v>
      </c>
      <c r="E1841" s="4" t="s">
        <v>6072</v>
      </c>
      <c r="F1841" s="9"/>
      <c r="G1841" s="6"/>
      <c r="H1841" s="7">
        <v>706.0</v>
      </c>
      <c r="I1841" s="11">
        <v>44064.76</v>
      </c>
      <c r="K1841" s="12" t="str">
        <f t="shared" si="236"/>
        <v>SC3567</v>
      </c>
      <c r="M1841" s="2" t="s">
        <v>24</v>
      </c>
      <c r="N1841" s="2" t="s">
        <v>60</v>
      </c>
      <c r="O1841" s="2">
        <v>1.10751038E8</v>
      </c>
      <c r="P1841" s="15" t="str">
        <f>IFERROR(__xludf.DUMMYFUNCTION("CONCATENATE(B1841,"", "", to_text(D1841),"", "", E1841,"", "", H1841)"),"TSV-11-0697, 17-Dec-2025, UPI/CR/393937383528/DURGA DE/UBIN/8879972/SC3567, 706")</f>
        <v>TSV-11-0697, 17-Dec-2025, UPI/CR/393937383528/DURGA DE/UBIN/8879972/SC3567, 706</v>
      </c>
      <c r="Q1841" s="8">
        <v>2025.0</v>
      </c>
      <c r="R1841" s="8" t="s">
        <v>5275</v>
      </c>
    </row>
    <row r="1842">
      <c r="A1842" s="4" t="s">
        <v>18</v>
      </c>
      <c r="B1842" s="2" t="s">
        <v>6073</v>
      </c>
      <c r="C1842" s="5">
        <v>46008.0</v>
      </c>
      <c r="D1842" s="5">
        <v>46008.0</v>
      </c>
      <c r="E1842" s="4" t="s">
        <v>6074</v>
      </c>
      <c r="F1842" s="9"/>
      <c r="G1842" s="6"/>
      <c r="H1842" s="7">
        <v>330.0</v>
      </c>
      <c r="I1842" s="11">
        <v>44394.76</v>
      </c>
      <c r="K1842" s="12" t="str">
        <f t="shared" si="236"/>
        <v>SC3567</v>
      </c>
      <c r="M1842" s="2" t="s">
        <v>24</v>
      </c>
      <c r="N1842" s="2" t="s">
        <v>60</v>
      </c>
      <c r="O1842" s="2">
        <v>1.10751038E8</v>
      </c>
      <c r="P1842" s="15" t="str">
        <f>IFERROR(__xludf.DUMMYFUNCTION("CONCATENATE(B1842,"", "", to_text(D1842),"", "", E1842,"", "", H1842)"),"TSV-11-0698, 17-Dec-2025, UPI/CR/535139315790/ANSHUM G/ICIC/anshumg/SC3567, 330")</f>
        <v>TSV-11-0698, 17-Dec-2025, UPI/CR/535139315790/ANSHUM G/ICIC/anshumg/SC3567, 330</v>
      </c>
      <c r="Q1842" s="8">
        <v>2025.0</v>
      </c>
      <c r="R1842" s="8" t="s">
        <v>5275</v>
      </c>
    </row>
    <row r="1843">
      <c r="A1843" s="4" t="s">
        <v>18</v>
      </c>
      <c r="B1843" s="2" t="s">
        <v>6075</v>
      </c>
      <c r="C1843" s="5">
        <v>46008.0</v>
      </c>
      <c r="D1843" s="5">
        <v>46008.0</v>
      </c>
      <c r="E1843" s="4" t="s">
        <v>6076</v>
      </c>
      <c r="F1843" s="9"/>
      <c r="G1843" s="11">
        <v>5000.0</v>
      </c>
      <c r="H1843" s="6"/>
      <c r="I1843" s="11">
        <v>39394.76</v>
      </c>
      <c r="J1843" s="2" t="s">
        <v>3519</v>
      </c>
      <c r="K1843" s="2" t="s">
        <v>119</v>
      </c>
      <c r="M1843" s="2" t="s">
        <v>114</v>
      </c>
      <c r="N1843" s="2" t="s">
        <v>3519</v>
      </c>
      <c r="O1843" s="2">
        <v>1.10751038E8</v>
      </c>
      <c r="Q1843" s="8">
        <v>2025.0</v>
      </c>
      <c r="R1843" s="8" t="s">
        <v>5275</v>
      </c>
    </row>
    <row r="1844">
      <c r="A1844" s="4" t="s">
        <v>18</v>
      </c>
      <c r="B1844" s="2" t="s">
        <v>6077</v>
      </c>
      <c r="C1844" s="5">
        <v>46008.0</v>
      </c>
      <c r="D1844" s="5">
        <v>46008.0</v>
      </c>
      <c r="E1844" s="4" t="s">
        <v>6078</v>
      </c>
      <c r="F1844" s="9"/>
      <c r="G1844" s="7">
        <v>800.0</v>
      </c>
      <c r="H1844" s="6"/>
      <c r="I1844" s="11">
        <v>38594.76</v>
      </c>
      <c r="J1844" s="2" t="s">
        <v>3519</v>
      </c>
      <c r="K1844" s="2" t="s">
        <v>119</v>
      </c>
      <c r="M1844" s="2" t="s">
        <v>114</v>
      </c>
      <c r="N1844" s="2" t="s">
        <v>3519</v>
      </c>
      <c r="O1844" s="2">
        <v>1.10751038E8</v>
      </c>
      <c r="Q1844" s="8">
        <v>2025.0</v>
      </c>
      <c r="R1844" s="8" t="s">
        <v>5275</v>
      </c>
    </row>
    <row r="1845">
      <c r="A1845" s="4" t="s">
        <v>18</v>
      </c>
      <c r="B1845" s="2" t="s">
        <v>6079</v>
      </c>
      <c r="C1845" s="5">
        <v>46008.0</v>
      </c>
      <c r="D1845" s="5">
        <v>46008.0</v>
      </c>
      <c r="E1845" s="4" t="s">
        <v>6080</v>
      </c>
      <c r="F1845" s="9"/>
      <c r="G1845" s="6"/>
      <c r="H1845" s="7">
        <v>159.0</v>
      </c>
      <c r="I1845" s="11">
        <v>38753.76</v>
      </c>
      <c r="K1845" s="12" t="str">
        <f>RIGHT(E1845,6)</f>
        <v>SL1610</v>
      </c>
      <c r="L1845" s="2" t="s">
        <v>6081</v>
      </c>
      <c r="M1845" s="2" t="s">
        <v>24</v>
      </c>
      <c r="N1845" s="2" t="s">
        <v>60</v>
      </c>
      <c r="O1845" s="2">
        <v>1.10751038E8</v>
      </c>
      <c r="P1845" s="15"/>
      <c r="Q1845" s="8">
        <v>2025.0</v>
      </c>
      <c r="R1845" s="8" t="s">
        <v>5275</v>
      </c>
    </row>
    <row r="1846">
      <c r="A1846" s="4" t="s">
        <v>18</v>
      </c>
      <c r="B1846" s="2" t="s">
        <v>6082</v>
      </c>
      <c r="C1846" s="5">
        <v>46008.0</v>
      </c>
      <c r="D1846" s="5">
        <v>46008.0</v>
      </c>
      <c r="E1846" s="4" t="s">
        <v>6083</v>
      </c>
      <c r="F1846" s="9"/>
      <c r="G1846" s="7">
        <v>500.0</v>
      </c>
      <c r="H1846" s="6"/>
      <c r="I1846" s="11">
        <v>38253.76</v>
      </c>
      <c r="J1846" s="2" t="s">
        <v>4023</v>
      </c>
      <c r="K1846" s="2" t="s">
        <v>127</v>
      </c>
      <c r="M1846" s="2" t="s">
        <v>114</v>
      </c>
      <c r="N1846" s="2" t="s">
        <v>4023</v>
      </c>
      <c r="O1846" s="2">
        <v>1.10751038E8</v>
      </c>
      <c r="Q1846" s="8">
        <v>2025.0</v>
      </c>
      <c r="R1846" s="8" t="s">
        <v>5275</v>
      </c>
    </row>
    <row r="1847">
      <c r="A1847" s="4" t="s">
        <v>18</v>
      </c>
      <c r="B1847" s="2" t="s">
        <v>6084</v>
      </c>
      <c r="C1847" s="5">
        <v>46008.0</v>
      </c>
      <c r="D1847" s="5">
        <v>46008.0</v>
      </c>
      <c r="E1847" s="4" t="s">
        <v>6085</v>
      </c>
      <c r="F1847" s="9"/>
      <c r="G1847" s="6"/>
      <c r="H1847" s="7">
        <v>500.0</v>
      </c>
      <c r="I1847" s="11">
        <v>38753.76</v>
      </c>
      <c r="K1847" s="12" t="str">
        <f>RIGHT(E1847,6)</f>
        <v>KN3817</v>
      </c>
      <c r="L1847" s="2" t="s">
        <v>6086</v>
      </c>
      <c r="M1847" s="2" t="s">
        <v>24</v>
      </c>
      <c r="N1847" s="2" t="s">
        <v>60</v>
      </c>
      <c r="O1847" s="2">
        <v>1.10751038E8</v>
      </c>
      <c r="P1847" s="15"/>
      <c r="Q1847" s="8">
        <v>2025.0</v>
      </c>
      <c r="R1847" s="8" t="s">
        <v>5275</v>
      </c>
    </row>
    <row r="1848">
      <c r="A1848" s="4" t="s">
        <v>18</v>
      </c>
      <c r="B1848" s="2" t="s">
        <v>6087</v>
      </c>
      <c r="C1848" s="5">
        <v>46008.0</v>
      </c>
      <c r="D1848" s="5">
        <v>46008.0</v>
      </c>
      <c r="E1848" s="4" t="s">
        <v>6088</v>
      </c>
      <c r="F1848" s="9"/>
      <c r="G1848" s="11">
        <v>14125.0</v>
      </c>
      <c r="H1848" s="6"/>
      <c r="I1848" s="11">
        <v>24628.76</v>
      </c>
      <c r="J1848" s="2" t="s">
        <v>6089</v>
      </c>
      <c r="K1848" s="2" t="s">
        <v>119</v>
      </c>
      <c r="M1848" s="2" t="s">
        <v>114</v>
      </c>
      <c r="N1848" s="2" t="s">
        <v>169</v>
      </c>
      <c r="O1848" s="2">
        <v>1.10751038E8</v>
      </c>
      <c r="Q1848" s="8">
        <v>2025.0</v>
      </c>
      <c r="R1848" s="8" t="s">
        <v>5275</v>
      </c>
    </row>
    <row r="1849">
      <c r="A1849" s="4" t="s">
        <v>18</v>
      </c>
      <c r="B1849" s="2" t="s">
        <v>6090</v>
      </c>
      <c r="C1849" s="5">
        <v>46009.0</v>
      </c>
      <c r="D1849" s="5">
        <v>46009.0</v>
      </c>
      <c r="E1849" s="4" t="s">
        <v>6091</v>
      </c>
      <c r="F1849" s="9"/>
      <c r="G1849" s="11">
        <v>1649.64</v>
      </c>
      <c r="H1849" s="6"/>
      <c r="I1849" s="11">
        <v>22979.12</v>
      </c>
      <c r="K1849" s="2" t="s">
        <v>23</v>
      </c>
      <c r="M1849" s="2" t="s">
        <v>114</v>
      </c>
      <c r="N1849" s="2" t="s">
        <v>1351</v>
      </c>
      <c r="O1849" s="2">
        <v>1.10751038E8</v>
      </c>
      <c r="Q1849" s="8">
        <v>2025.0</v>
      </c>
      <c r="R1849" s="8" t="s">
        <v>5275</v>
      </c>
    </row>
    <row r="1850">
      <c r="A1850" s="4" t="s">
        <v>18</v>
      </c>
      <c r="B1850" s="2" t="s">
        <v>6092</v>
      </c>
      <c r="C1850" s="5">
        <v>46009.0</v>
      </c>
      <c r="D1850" s="5">
        <v>46009.0</v>
      </c>
      <c r="E1850" s="4" t="s">
        <v>6093</v>
      </c>
      <c r="F1850" s="9"/>
      <c r="G1850" s="6"/>
      <c r="H1850" s="7">
        <v>250.0</v>
      </c>
      <c r="I1850" s="11">
        <v>23229.12</v>
      </c>
      <c r="K1850" s="12" t="str">
        <f t="shared" ref="K1850:K1855" si="237">RIGHT(E1850,6)</f>
        <v>SC3567</v>
      </c>
      <c r="M1850" s="2" t="s">
        <v>24</v>
      </c>
      <c r="N1850" s="2" t="s">
        <v>60</v>
      </c>
      <c r="O1850" s="2">
        <v>1.10751038E8</v>
      </c>
      <c r="P1850" s="15" t="str">
        <f>IFERROR(__xludf.DUMMYFUNCTION("CONCATENATE(B1850,"", "", to_text(D1850),"", "", E1850,"", "", H1850)"),"TSV-11-0706, 18-Dec-2025, UPI/CR/535268974504/MARIAM /SBIN/ismailm/SC3567, 250")</f>
        <v>TSV-11-0706, 18-Dec-2025, UPI/CR/535268974504/MARIAM /SBIN/ismailm/SC3567, 250</v>
      </c>
      <c r="Q1850" s="8">
        <v>2025.0</v>
      </c>
      <c r="R1850" s="8" t="s">
        <v>5275</v>
      </c>
    </row>
    <row r="1851">
      <c r="A1851" s="4" t="s">
        <v>18</v>
      </c>
      <c r="B1851" s="2" t="s">
        <v>6094</v>
      </c>
      <c r="C1851" s="5">
        <v>46009.0</v>
      </c>
      <c r="D1851" s="5">
        <v>46009.0</v>
      </c>
      <c r="E1851" s="4" t="s">
        <v>6095</v>
      </c>
      <c r="F1851" s="9"/>
      <c r="G1851" s="6"/>
      <c r="H1851" s="11">
        <v>4680.0</v>
      </c>
      <c r="I1851" s="11">
        <v>27909.12</v>
      </c>
      <c r="K1851" s="12" t="str">
        <f t="shared" si="237"/>
        <v>UN3668</v>
      </c>
      <c r="L1851" s="21" t="s">
        <v>6096</v>
      </c>
      <c r="M1851" s="2" t="s">
        <v>24</v>
      </c>
      <c r="N1851" s="2" t="s">
        <v>60</v>
      </c>
      <c r="O1851" s="2">
        <v>1.10751038E8</v>
      </c>
      <c r="P1851" s="15"/>
      <c r="Q1851" s="8">
        <v>2025.0</v>
      </c>
      <c r="R1851" s="8" t="s">
        <v>5275</v>
      </c>
    </row>
    <row r="1852">
      <c r="A1852" s="4" t="s">
        <v>18</v>
      </c>
      <c r="B1852" s="2" t="s">
        <v>6097</v>
      </c>
      <c r="C1852" s="5">
        <v>46009.0</v>
      </c>
      <c r="D1852" s="5">
        <v>46009.0</v>
      </c>
      <c r="E1852" s="4" t="s">
        <v>6098</v>
      </c>
      <c r="F1852" s="9"/>
      <c r="G1852" s="6"/>
      <c r="H1852" s="7">
        <v>700.0</v>
      </c>
      <c r="I1852" s="11">
        <v>28609.12</v>
      </c>
      <c r="K1852" s="12" t="str">
        <f t="shared" si="237"/>
        <v>UN3668</v>
      </c>
      <c r="L1852" s="21" t="s">
        <v>6099</v>
      </c>
      <c r="M1852" s="2" t="s">
        <v>24</v>
      </c>
      <c r="N1852" s="2" t="s">
        <v>60</v>
      </c>
      <c r="O1852" s="2">
        <v>1.10751038E8</v>
      </c>
      <c r="P1852" s="15"/>
      <c r="Q1852" s="8">
        <v>2025.0</v>
      </c>
      <c r="R1852" s="8" t="s">
        <v>5275</v>
      </c>
    </row>
    <row r="1853">
      <c r="A1853" s="4" t="s">
        <v>18</v>
      </c>
      <c r="B1853" s="2" t="s">
        <v>6100</v>
      </c>
      <c r="C1853" s="5">
        <v>46009.0</v>
      </c>
      <c r="D1853" s="5">
        <v>46009.0</v>
      </c>
      <c r="E1853" s="4" t="s">
        <v>6101</v>
      </c>
      <c r="F1853" s="9"/>
      <c r="G1853" s="6"/>
      <c r="H1853" s="7">
        <v>384.0</v>
      </c>
      <c r="I1853" s="11">
        <v>28993.12</v>
      </c>
      <c r="K1853" s="12" t="str">
        <f t="shared" si="237"/>
        <v>UN3668</v>
      </c>
      <c r="L1853" s="21" t="s">
        <v>6102</v>
      </c>
      <c r="M1853" s="2" t="s">
        <v>24</v>
      </c>
      <c r="N1853" s="2" t="s">
        <v>60</v>
      </c>
      <c r="O1853" s="2">
        <v>1.10751038E8</v>
      </c>
      <c r="P1853" s="15"/>
      <c r="Q1853" s="8">
        <v>2025.0</v>
      </c>
      <c r="R1853" s="8" t="s">
        <v>5275</v>
      </c>
    </row>
    <row r="1854">
      <c r="A1854" s="4" t="s">
        <v>18</v>
      </c>
      <c r="B1854" s="2" t="s">
        <v>6103</v>
      </c>
      <c r="C1854" s="5">
        <v>46009.0</v>
      </c>
      <c r="D1854" s="5">
        <v>46009.0</v>
      </c>
      <c r="E1854" s="4" t="s">
        <v>6104</v>
      </c>
      <c r="F1854" s="9"/>
      <c r="G1854" s="6"/>
      <c r="H1854" s="7">
        <v>481.0</v>
      </c>
      <c r="I1854" s="11">
        <v>29474.12</v>
      </c>
      <c r="K1854" s="12" t="str">
        <f t="shared" si="237"/>
        <v>SL1610</v>
      </c>
      <c r="L1854" s="2" t="s">
        <v>6105</v>
      </c>
      <c r="M1854" s="2" t="s">
        <v>24</v>
      </c>
      <c r="N1854" s="2" t="s">
        <v>60</v>
      </c>
      <c r="O1854" s="2">
        <v>1.10751038E8</v>
      </c>
      <c r="P1854" s="15"/>
      <c r="Q1854" s="8">
        <v>2025.0</v>
      </c>
      <c r="R1854" s="8" t="s">
        <v>5275</v>
      </c>
    </row>
    <row r="1855">
      <c r="A1855" s="4" t="s">
        <v>18</v>
      </c>
      <c r="B1855" s="2" t="s">
        <v>6106</v>
      </c>
      <c r="C1855" s="5">
        <v>46009.0</v>
      </c>
      <c r="D1855" s="5">
        <v>46009.0</v>
      </c>
      <c r="E1855" s="4" t="s">
        <v>6107</v>
      </c>
      <c r="F1855" s="9"/>
      <c r="G1855" s="6"/>
      <c r="H1855" s="7">
        <v>113.0</v>
      </c>
      <c r="I1855" s="11">
        <v>29587.12</v>
      </c>
      <c r="K1855" s="12" t="str">
        <f t="shared" si="237"/>
        <v>UN3668</v>
      </c>
      <c r="L1855" s="21" t="s">
        <v>6108</v>
      </c>
      <c r="M1855" s="2" t="s">
        <v>24</v>
      </c>
      <c r="N1855" s="2" t="s">
        <v>60</v>
      </c>
      <c r="O1855" s="2">
        <v>1.10751038E8</v>
      </c>
      <c r="P1855" s="15"/>
      <c r="Q1855" s="8">
        <v>2025.0</v>
      </c>
      <c r="R1855" s="8" t="s">
        <v>5275</v>
      </c>
    </row>
    <row r="1856">
      <c r="A1856" s="4" t="s">
        <v>18</v>
      </c>
      <c r="B1856" s="2" t="s">
        <v>6109</v>
      </c>
      <c r="C1856" s="5">
        <v>46009.0</v>
      </c>
      <c r="D1856" s="5">
        <v>46009.0</v>
      </c>
      <c r="E1856" s="4" t="s">
        <v>6110</v>
      </c>
      <c r="F1856" s="9"/>
      <c r="G1856" s="6"/>
      <c r="H1856" s="7">
        <v>195.0</v>
      </c>
      <c r="I1856" s="11">
        <v>29782.12</v>
      </c>
      <c r="K1856" s="2" t="s">
        <v>539</v>
      </c>
      <c r="M1856" s="2" t="s">
        <v>24</v>
      </c>
      <c r="N1856" s="2" t="s">
        <v>60</v>
      </c>
      <c r="O1856" s="2">
        <v>1.10751038E8</v>
      </c>
      <c r="P1856" s="15" t="str">
        <f>IFERROR(__xludf.DUMMYFUNCTION("CONCATENATE(B1856,"", "", to_text(D1856),"", "", E1856,"", "", H1856)"),"TSV-11-0712, 18-Dec-2025, UPI/CR/535277611543/Mr. RUDR/MAHB/statusm/UPI, 195")</f>
        <v>TSV-11-0712, 18-Dec-2025, UPI/CR/535277611543/Mr. RUDR/MAHB/statusm/UPI, 195</v>
      </c>
      <c r="Q1856" s="8">
        <v>2025.0</v>
      </c>
      <c r="R1856" s="8" t="s">
        <v>5275</v>
      </c>
    </row>
    <row r="1857">
      <c r="A1857" s="4" t="s">
        <v>18</v>
      </c>
      <c r="B1857" s="2" t="s">
        <v>6111</v>
      </c>
      <c r="C1857" s="5">
        <v>46009.0</v>
      </c>
      <c r="D1857" s="5">
        <v>46009.0</v>
      </c>
      <c r="E1857" s="4" t="s">
        <v>6112</v>
      </c>
      <c r="F1857" s="9"/>
      <c r="G1857" s="6"/>
      <c r="H1857" s="7">
        <v>860.0</v>
      </c>
      <c r="I1857" s="11">
        <v>30642.12</v>
      </c>
      <c r="K1857" s="12" t="str">
        <f t="shared" ref="K1857:K1861" si="238">RIGHT(E1857,6)</f>
        <v>UN3668</v>
      </c>
      <c r="L1857" s="21" t="s">
        <v>6113</v>
      </c>
      <c r="M1857" s="2" t="s">
        <v>24</v>
      </c>
      <c r="N1857" s="2" t="s">
        <v>60</v>
      </c>
      <c r="O1857" s="2">
        <v>1.10751038E8</v>
      </c>
      <c r="P1857" s="15"/>
      <c r="Q1857" s="8">
        <v>2025.0</v>
      </c>
      <c r="R1857" s="8" t="s">
        <v>5275</v>
      </c>
    </row>
    <row r="1858">
      <c r="A1858" s="4" t="s">
        <v>18</v>
      </c>
      <c r="B1858" s="2" t="s">
        <v>6114</v>
      </c>
      <c r="C1858" s="5">
        <v>46009.0</v>
      </c>
      <c r="D1858" s="5">
        <v>46009.0</v>
      </c>
      <c r="E1858" s="4" t="s">
        <v>6115</v>
      </c>
      <c r="F1858" s="9"/>
      <c r="G1858" s="6"/>
      <c r="H1858" s="11">
        <v>1904.0</v>
      </c>
      <c r="I1858" s="11">
        <v>32546.12</v>
      </c>
      <c r="K1858" s="12" t="str">
        <f t="shared" si="238"/>
        <v>UN3668</v>
      </c>
      <c r="L1858" s="21" t="s">
        <v>6116</v>
      </c>
      <c r="M1858" s="2" t="s">
        <v>24</v>
      </c>
      <c r="N1858" s="2" t="s">
        <v>60</v>
      </c>
      <c r="O1858" s="2">
        <v>1.10751038E8</v>
      </c>
      <c r="P1858" s="15"/>
      <c r="Q1858" s="8">
        <v>2025.0</v>
      </c>
      <c r="R1858" s="8" t="s">
        <v>5275</v>
      </c>
    </row>
    <row r="1859">
      <c r="A1859" s="4" t="s">
        <v>18</v>
      </c>
      <c r="B1859" s="2" t="s">
        <v>6117</v>
      </c>
      <c r="C1859" s="5">
        <v>46009.0</v>
      </c>
      <c r="D1859" s="5">
        <v>46009.0</v>
      </c>
      <c r="E1859" s="4" t="s">
        <v>6118</v>
      </c>
      <c r="F1859" s="9"/>
      <c r="G1859" s="6"/>
      <c r="H1859" s="7">
        <v>300.0</v>
      </c>
      <c r="I1859" s="11">
        <v>32846.12</v>
      </c>
      <c r="K1859" s="12" t="str">
        <f t="shared" si="238"/>
        <v>UN3668</v>
      </c>
      <c r="L1859" s="21" t="s">
        <v>6119</v>
      </c>
      <c r="M1859" s="2" t="s">
        <v>24</v>
      </c>
      <c r="N1859" s="2" t="s">
        <v>60</v>
      </c>
      <c r="O1859" s="2">
        <v>1.10751038E8</v>
      </c>
      <c r="P1859" s="15"/>
      <c r="Q1859" s="8">
        <v>2025.0</v>
      </c>
      <c r="R1859" s="8" t="s">
        <v>5275</v>
      </c>
    </row>
    <row r="1860">
      <c r="A1860" s="4" t="s">
        <v>18</v>
      </c>
      <c r="B1860" s="2" t="s">
        <v>6120</v>
      </c>
      <c r="C1860" s="5">
        <v>46009.0</v>
      </c>
      <c r="D1860" s="5">
        <v>46009.0</v>
      </c>
      <c r="E1860" s="4" t="s">
        <v>6121</v>
      </c>
      <c r="F1860" s="9"/>
      <c r="G1860" s="6"/>
      <c r="H1860" s="11">
        <v>4960.0</v>
      </c>
      <c r="I1860" s="11">
        <v>37806.12</v>
      </c>
      <c r="K1860" s="12" t="str">
        <f t="shared" si="238"/>
        <v>KN3817</v>
      </c>
      <c r="L1860" s="2" t="s">
        <v>6122</v>
      </c>
      <c r="M1860" s="2" t="s">
        <v>24</v>
      </c>
      <c r="N1860" s="2" t="s">
        <v>60</v>
      </c>
      <c r="O1860" s="2">
        <v>1.10751038E8</v>
      </c>
      <c r="P1860" s="15"/>
      <c r="Q1860" s="8">
        <v>2025.0</v>
      </c>
      <c r="R1860" s="8" t="s">
        <v>5275</v>
      </c>
    </row>
    <row r="1861">
      <c r="A1861" s="4" t="s">
        <v>18</v>
      </c>
      <c r="B1861" s="2" t="s">
        <v>6123</v>
      </c>
      <c r="C1861" s="5">
        <v>46009.0</v>
      </c>
      <c r="D1861" s="5">
        <v>46009.0</v>
      </c>
      <c r="E1861" s="4" t="s">
        <v>6124</v>
      </c>
      <c r="F1861" s="9"/>
      <c r="G1861" s="6"/>
      <c r="H1861" s="7">
        <v>706.0</v>
      </c>
      <c r="I1861" s="11">
        <v>38512.12</v>
      </c>
      <c r="K1861" s="12" t="str">
        <f t="shared" si="238"/>
        <v>SL1610</v>
      </c>
      <c r="L1861" s="2" t="s">
        <v>6125</v>
      </c>
      <c r="M1861" s="2" t="s">
        <v>24</v>
      </c>
      <c r="N1861" s="2" t="s">
        <v>60</v>
      </c>
      <c r="O1861" s="2">
        <v>1.10751038E8</v>
      </c>
      <c r="P1861" s="15"/>
      <c r="Q1861" s="8">
        <v>2025.0</v>
      </c>
      <c r="R1861" s="8" t="s">
        <v>5275</v>
      </c>
    </row>
    <row r="1862">
      <c r="A1862" s="4" t="s">
        <v>18</v>
      </c>
      <c r="B1862" s="2" t="s">
        <v>6126</v>
      </c>
      <c r="C1862" s="5">
        <v>46009.0</v>
      </c>
      <c r="D1862" s="5">
        <v>46009.0</v>
      </c>
      <c r="E1862" s="4" t="s">
        <v>6127</v>
      </c>
      <c r="F1862" s="9"/>
      <c r="G1862" s="7">
        <v>250.0</v>
      </c>
      <c r="H1862" s="6"/>
      <c r="I1862" s="11">
        <v>38262.12</v>
      </c>
      <c r="K1862" s="2" t="s">
        <v>127</v>
      </c>
      <c r="M1862" s="2" t="s">
        <v>114</v>
      </c>
      <c r="N1862" s="2" t="s">
        <v>1835</v>
      </c>
      <c r="O1862" s="2">
        <v>1.10751038E8</v>
      </c>
      <c r="Q1862" s="8">
        <v>2025.0</v>
      </c>
      <c r="R1862" s="8" t="s">
        <v>5275</v>
      </c>
    </row>
    <row r="1863">
      <c r="A1863" s="4" t="s">
        <v>18</v>
      </c>
      <c r="B1863" s="2" t="s">
        <v>6128</v>
      </c>
      <c r="C1863" s="5">
        <v>46009.0</v>
      </c>
      <c r="D1863" s="5">
        <v>46009.0</v>
      </c>
      <c r="E1863" s="4" t="s">
        <v>6129</v>
      </c>
      <c r="F1863" s="9"/>
      <c r="G1863" s="6"/>
      <c r="H1863" s="7">
        <v>225.0</v>
      </c>
      <c r="I1863" s="11">
        <v>38487.12</v>
      </c>
      <c r="K1863" s="12" t="str">
        <f t="shared" ref="K1863:K1866" si="239">RIGHT(E1863,6)</f>
        <v>UN3668</v>
      </c>
      <c r="L1863" s="21" t="s">
        <v>6130</v>
      </c>
      <c r="M1863" s="2" t="s">
        <v>24</v>
      </c>
      <c r="N1863" s="2" t="s">
        <v>60</v>
      </c>
      <c r="O1863" s="2">
        <v>1.10751038E8</v>
      </c>
      <c r="P1863" s="15"/>
      <c r="Q1863" s="8">
        <v>2025.0</v>
      </c>
      <c r="R1863" s="8" t="s">
        <v>5275</v>
      </c>
    </row>
    <row r="1864">
      <c r="A1864" s="4" t="s">
        <v>18</v>
      </c>
      <c r="B1864" s="2" t="s">
        <v>6131</v>
      </c>
      <c r="C1864" s="5">
        <v>46009.0</v>
      </c>
      <c r="D1864" s="5">
        <v>46009.0</v>
      </c>
      <c r="E1864" s="4" t="s">
        <v>6132</v>
      </c>
      <c r="F1864" s="9"/>
      <c r="G1864" s="6"/>
      <c r="H1864" s="7">
        <v>590.0</v>
      </c>
      <c r="I1864" s="11">
        <v>39077.12</v>
      </c>
      <c r="K1864" s="12" t="str">
        <f t="shared" si="239"/>
        <v>KN3817</v>
      </c>
      <c r="L1864" s="2" t="s">
        <v>6133</v>
      </c>
      <c r="M1864" s="2" t="s">
        <v>24</v>
      </c>
      <c r="N1864" s="2" t="s">
        <v>60</v>
      </c>
      <c r="O1864" s="2">
        <v>1.10751038E8</v>
      </c>
      <c r="P1864" s="15"/>
      <c r="Q1864" s="8">
        <v>2025.0</v>
      </c>
      <c r="R1864" s="8" t="s">
        <v>5275</v>
      </c>
    </row>
    <row r="1865">
      <c r="A1865" s="4" t="s">
        <v>18</v>
      </c>
      <c r="B1865" s="2" t="s">
        <v>6134</v>
      </c>
      <c r="C1865" s="5">
        <v>46009.0</v>
      </c>
      <c r="D1865" s="5">
        <v>46009.0</v>
      </c>
      <c r="E1865" s="4" t="s">
        <v>6135</v>
      </c>
      <c r="F1865" s="9"/>
      <c r="G1865" s="6"/>
      <c r="H1865" s="7">
        <v>689.0</v>
      </c>
      <c r="I1865" s="11">
        <v>39766.12</v>
      </c>
      <c r="K1865" s="12" t="str">
        <f t="shared" si="239"/>
        <v>UN3668</v>
      </c>
      <c r="L1865" s="21" t="s">
        <v>6136</v>
      </c>
      <c r="M1865" s="2" t="s">
        <v>24</v>
      </c>
      <c r="N1865" s="2" t="s">
        <v>60</v>
      </c>
      <c r="O1865" s="2">
        <v>1.10751038E8</v>
      </c>
      <c r="P1865" s="15"/>
      <c r="Q1865" s="8">
        <v>2025.0</v>
      </c>
      <c r="R1865" s="8" t="s">
        <v>5275</v>
      </c>
    </row>
    <row r="1866">
      <c r="A1866" s="4" t="s">
        <v>18</v>
      </c>
      <c r="B1866" s="2" t="s">
        <v>6137</v>
      </c>
      <c r="C1866" s="5">
        <v>46009.0</v>
      </c>
      <c r="D1866" s="5">
        <v>46009.0</v>
      </c>
      <c r="E1866" s="4" t="s">
        <v>6138</v>
      </c>
      <c r="F1866" s="9"/>
      <c r="G1866" s="6"/>
      <c r="H1866" s="7">
        <v>252.0</v>
      </c>
      <c r="I1866" s="11">
        <v>40018.12</v>
      </c>
      <c r="K1866" s="12" t="str">
        <f t="shared" si="239"/>
        <v>SL1610</v>
      </c>
      <c r="L1866" s="2" t="s">
        <v>6139</v>
      </c>
      <c r="M1866" s="2" t="s">
        <v>24</v>
      </c>
      <c r="N1866" s="2" t="s">
        <v>60</v>
      </c>
      <c r="O1866" s="2">
        <v>1.10751038E8</v>
      </c>
      <c r="P1866" s="15"/>
      <c r="Q1866" s="8">
        <v>2025.0</v>
      </c>
      <c r="R1866" s="8" t="s">
        <v>5275</v>
      </c>
    </row>
    <row r="1867">
      <c r="A1867" s="4" t="s">
        <v>18</v>
      </c>
      <c r="B1867" s="2" t="s">
        <v>6140</v>
      </c>
      <c r="C1867" s="5">
        <v>46009.0</v>
      </c>
      <c r="D1867" s="5">
        <v>46009.0</v>
      </c>
      <c r="E1867" s="4" t="s">
        <v>6141</v>
      </c>
      <c r="F1867" s="9"/>
      <c r="G1867" s="11">
        <v>11958.0</v>
      </c>
      <c r="H1867" s="6"/>
      <c r="I1867" s="11">
        <v>28060.12</v>
      </c>
      <c r="J1867" s="2" t="s">
        <v>6142</v>
      </c>
      <c r="K1867" s="2" t="s">
        <v>113</v>
      </c>
      <c r="M1867" s="2" t="s">
        <v>114</v>
      </c>
      <c r="N1867" s="2" t="s">
        <v>2695</v>
      </c>
      <c r="O1867" s="2">
        <v>1.10751038E8</v>
      </c>
      <c r="Q1867" s="8">
        <v>2025.0</v>
      </c>
      <c r="R1867" s="8" t="s">
        <v>5275</v>
      </c>
    </row>
    <row r="1868">
      <c r="A1868" s="4" t="s">
        <v>18</v>
      </c>
      <c r="B1868" s="2" t="s">
        <v>6143</v>
      </c>
      <c r="C1868" s="5">
        <v>46009.0</v>
      </c>
      <c r="D1868" s="5">
        <v>46009.0</v>
      </c>
      <c r="E1868" s="4" t="s">
        <v>6144</v>
      </c>
      <c r="F1868" s="9"/>
      <c r="G1868" s="6"/>
      <c r="H1868" s="7">
        <v>368.0</v>
      </c>
      <c r="I1868" s="11">
        <v>28428.12</v>
      </c>
      <c r="K1868" s="12" t="str">
        <f t="shared" ref="K1868:K1870" si="240">RIGHT(E1868,6)</f>
        <v>UN3668</v>
      </c>
      <c r="L1868" s="21" t="s">
        <v>6145</v>
      </c>
      <c r="M1868" s="2" t="s">
        <v>24</v>
      </c>
      <c r="N1868" s="2" t="s">
        <v>60</v>
      </c>
      <c r="O1868" s="2">
        <v>1.10751038E8</v>
      </c>
      <c r="P1868" s="15"/>
      <c r="Q1868" s="8">
        <v>2025.0</v>
      </c>
      <c r="R1868" s="8" t="s">
        <v>5275</v>
      </c>
    </row>
    <row r="1869">
      <c r="A1869" s="4" t="s">
        <v>18</v>
      </c>
      <c r="B1869" s="2" t="s">
        <v>6146</v>
      </c>
      <c r="C1869" s="5">
        <v>46009.0</v>
      </c>
      <c r="D1869" s="5">
        <v>46009.0</v>
      </c>
      <c r="E1869" s="4" t="s">
        <v>6147</v>
      </c>
      <c r="F1869" s="9"/>
      <c r="G1869" s="6"/>
      <c r="H1869" s="7">
        <v>280.0</v>
      </c>
      <c r="I1869" s="11">
        <v>28708.12</v>
      </c>
      <c r="K1869" s="12" t="str">
        <f t="shared" si="240"/>
        <v>UN3668</v>
      </c>
      <c r="L1869" s="21" t="s">
        <v>6148</v>
      </c>
      <c r="M1869" s="2" t="s">
        <v>24</v>
      </c>
      <c r="N1869" s="2" t="s">
        <v>60</v>
      </c>
      <c r="O1869" s="2">
        <v>1.10751038E8</v>
      </c>
      <c r="P1869" s="15"/>
      <c r="Q1869" s="8">
        <v>2025.0</v>
      </c>
      <c r="R1869" s="8" t="s">
        <v>5275</v>
      </c>
    </row>
    <row r="1870">
      <c r="A1870" s="4" t="s">
        <v>18</v>
      </c>
      <c r="B1870" s="2" t="s">
        <v>6149</v>
      </c>
      <c r="C1870" s="5">
        <v>46009.0</v>
      </c>
      <c r="D1870" s="5">
        <v>46009.0</v>
      </c>
      <c r="E1870" s="4" t="s">
        <v>6150</v>
      </c>
      <c r="F1870" s="9"/>
      <c r="G1870" s="6"/>
      <c r="H1870" s="7">
        <v>300.0</v>
      </c>
      <c r="I1870" s="11">
        <v>29008.12</v>
      </c>
      <c r="K1870" s="12" t="str">
        <f t="shared" si="240"/>
        <v>KN3817</v>
      </c>
      <c r="L1870" s="2" t="s">
        <v>3048</v>
      </c>
      <c r="M1870" s="2" t="s">
        <v>24</v>
      </c>
      <c r="N1870" s="2" t="s">
        <v>60</v>
      </c>
      <c r="O1870" s="2">
        <v>1.10751038E8</v>
      </c>
      <c r="P1870" s="15"/>
      <c r="Q1870" s="8">
        <v>2025.0</v>
      </c>
      <c r="R1870" s="8" t="s">
        <v>5275</v>
      </c>
    </row>
    <row r="1871">
      <c r="A1871" s="4" t="s">
        <v>18</v>
      </c>
      <c r="B1871" s="2" t="s">
        <v>6151</v>
      </c>
      <c r="C1871" s="5">
        <v>46009.0</v>
      </c>
      <c r="D1871" s="5">
        <v>46009.0</v>
      </c>
      <c r="E1871" s="4" t="s">
        <v>6152</v>
      </c>
      <c r="F1871" s="9"/>
      <c r="G1871" s="11">
        <v>1000.0</v>
      </c>
      <c r="H1871" s="6"/>
      <c r="I1871" s="11">
        <v>28008.12</v>
      </c>
      <c r="J1871" s="2" t="s">
        <v>6153</v>
      </c>
      <c r="K1871" s="2" t="s">
        <v>123</v>
      </c>
      <c r="M1871" s="2" t="s">
        <v>114</v>
      </c>
      <c r="N1871" s="2" t="s">
        <v>1835</v>
      </c>
      <c r="O1871" s="2">
        <v>1.10751038E8</v>
      </c>
      <c r="Q1871" s="8">
        <v>2025.0</v>
      </c>
      <c r="R1871" s="8" t="s">
        <v>5275</v>
      </c>
    </row>
    <row r="1872">
      <c r="A1872" s="4" t="s">
        <v>18</v>
      </c>
      <c r="B1872" s="2" t="s">
        <v>6154</v>
      </c>
      <c r="C1872" s="5">
        <v>46009.0</v>
      </c>
      <c r="D1872" s="5">
        <v>46009.0</v>
      </c>
      <c r="E1872" s="4" t="s">
        <v>6155</v>
      </c>
      <c r="F1872" s="9"/>
      <c r="G1872" s="6"/>
      <c r="H1872" s="7">
        <v>830.0</v>
      </c>
      <c r="I1872" s="11">
        <v>28838.12</v>
      </c>
      <c r="K1872" s="2" t="s">
        <v>113</v>
      </c>
      <c r="L1872" s="2" t="s">
        <v>6156</v>
      </c>
      <c r="M1872" s="2" t="s">
        <v>24</v>
      </c>
      <c r="N1872" s="2" t="s">
        <v>60</v>
      </c>
      <c r="O1872" s="2">
        <v>1.10751038E8</v>
      </c>
      <c r="P1872" s="15"/>
      <c r="Q1872" s="8">
        <v>2025.0</v>
      </c>
      <c r="R1872" s="8" t="s">
        <v>5275</v>
      </c>
    </row>
    <row r="1873">
      <c r="A1873" s="4" t="s">
        <v>18</v>
      </c>
      <c r="B1873" s="2" t="s">
        <v>6157</v>
      </c>
      <c r="C1873" s="5">
        <v>46010.0</v>
      </c>
      <c r="D1873" s="5">
        <v>46010.0</v>
      </c>
      <c r="E1873" s="4" t="s">
        <v>6158</v>
      </c>
      <c r="F1873" s="9"/>
      <c r="G1873" s="11">
        <v>1620.0</v>
      </c>
      <c r="H1873" s="6"/>
      <c r="I1873" s="11">
        <v>27218.12</v>
      </c>
      <c r="K1873" s="2" t="s">
        <v>123</v>
      </c>
      <c r="M1873" s="2" t="s">
        <v>114</v>
      </c>
      <c r="N1873" s="2" t="s">
        <v>1800</v>
      </c>
      <c r="O1873" s="2">
        <v>1.10751038E8</v>
      </c>
      <c r="Q1873" s="8">
        <v>2025.0</v>
      </c>
      <c r="R1873" s="8" t="s">
        <v>5275</v>
      </c>
    </row>
    <row r="1874">
      <c r="A1874" s="4" t="s">
        <v>18</v>
      </c>
      <c r="B1874" s="2" t="s">
        <v>6159</v>
      </c>
      <c r="C1874" s="5">
        <v>46010.0</v>
      </c>
      <c r="D1874" s="5">
        <v>46010.0</v>
      </c>
      <c r="E1874" s="4" t="s">
        <v>6160</v>
      </c>
      <c r="F1874" s="9"/>
      <c r="G1874" s="11">
        <v>1620.0</v>
      </c>
      <c r="H1874" s="6"/>
      <c r="I1874" s="11">
        <v>25598.12</v>
      </c>
      <c r="K1874" s="2" t="s">
        <v>123</v>
      </c>
      <c r="M1874" s="2" t="s">
        <v>114</v>
      </c>
      <c r="N1874" s="2" t="s">
        <v>1800</v>
      </c>
      <c r="O1874" s="2">
        <v>1.10751038E8</v>
      </c>
      <c r="Q1874" s="8">
        <v>2025.0</v>
      </c>
      <c r="R1874" s="8" t="s">
        <v>5275</v>
      </c>
    </row>
    <row r="1875">
      <c r="A1875" s="4" t="s">
        <v>18</v>
      </c>
      <c r="B1875" s="2" t="s">
        <v>6161</v>
      </c>
      <c r="C1875" s="5">
        <v>46010.0</v>
      </c>
      <c r="D1875" s="5">
        <v>46010.0</v>
      </c>
      <c r="E1875" s="4" t="s">
        <v>6162</v>
      </c>
      <c r="F1875" s="9"/>
      <c r="G1875" s="6"/>
      <c r="H1875" s="7">
        <v>869.0</v>
      </c>
      <c r="I1875" s="11">
        <v>26467.12</v>
      </c>
      <c r="K1875" s="12" t="str">
        <f t="shared" ref="K1875:K1877" si="241">RIGHT(E1875,6)</f>
        <v>SC3567</v>
      </c>
      <c r="M1875" s="2" t="s">
        <v>24</v>
      </c>
      <c r="N1875" s="2" t="s">
        <v>60</v>
      </c>
      <c r="O1875" s="2">
        <v>1.10751038E8</v>
      </c>
      <c r="P1875" s="15" t="str">
        <f>IFERROR(__xludf.DUMMYFUNCTION("CONCATENATE(B1875,"", "", to_text(D1875),"", "", E1875,"", "", H1875)"),"TSV-11-0731, 19-Dec-2025, UPI/CR/994975725023/AYUSH AV/BARB/6398173/SC3567, 869")</f>
        <v>TSV-11-0731, 19-Dec-2025, UPI/CR/994975725023/AYUSH AV/BARB/6398173/SC3567, 869</v>
      </c>
      <c r="Q1875" s="8">
        <v>2025.0</v>
      </c>
      <c r="R1875" s="8" t="s">
        <v>5275</v>
      </c>
    </row>
    <row r="1876">
      <c r="A1876" s="4" t="s">
        <v>18</v>
      </c>
      <c r="B1876" s="2" t="s">
        <v>6163</v>
      </c>
      <c r="C1876" s="5">
        <v>46010.0</v>
      </c>
      <c r="D1876" s="5">
        <v>46010.0</v>
      </c>
      <c r="E1876" s="4" t="s">
        <v>6164</v>
      </c>
      <c r="F1876" s="9"/>
      <c r="G1876" s="6"/>
      <c r="H1876" s="7">
        <v>912.0</v>
      </c>
      <c r="I1876" s="11">
        <v>27379.12</v>
      </c>
      <c r="K1876" s="12" t="str">
        <f t="shared" si="241"/>
        <v>SL1610</v>
      </c>
      <c r="L1876" s="2" t="s">
        <v>6165</v>
      </c>
      <c r="M1876" s="2" t="s">
        <v>24</v>
      </c>
      <c r="N1876" s="2" t="s">
        <v>60</v>
      </c>
      <c r="O1876" s="2">
        <v>1.10751038E8</v>
      </c>
      <c r="P1876" s="15"/>
      <c r="Q1876" s="8">
        <v>2025.0</v>
      </c>
      <c r="R1876" s="8" t="s">
        <v>5275</v>
      </c>
    </row>
    <row r="1877">
      <c r="A1877" s="4" t="s">
        <v>18</v>
      </c>
      <c r="B1877" s="2" t="s">
        <v>6166</v>
      </c>
      <c r="C1877" s="5">
        <v>46010.0</v>
      </c>
      <c r="D1877" s="5">
        <v>46010.0</v>
      </c>
      <c r="E1877" s="4" t="s">
        <v>6167</v>
      </c>
      <c r="F1877" s="9"/>
      <c r="G1877" s="11">
        <v>1800.0</v>
      </c>
      <c r="H1877" s="6"/>
      <c r="I1877" s="11">
        <v>25579.12</v>
      </c>
      <c r="J1877" s="2" t="s">
        <v>4289</v>
      </c>
      <c r="K1877" s="12" t="str">
        <f t="shared" si="241"/>
        <v>KN3817</v>
      </c>
      <c r="M1877" s="2" t="s">
        <v>114</v>
      </c>
      <c r="N1877" s="2" t="s">
        <v>169</v>
      </c>
      <c r="O1877" s="2">
        <v>1.10751038E8</v>
      </c>
      <c r="Q1877" s="8">
        <v>2025.0</v>
      </c>
      <c r="R1877" s="8" t="s">
        <v>5275</v>
      </c>
    </row>
    <row r="1878">
      <c r="A1878" s="4" t="s">
        <v>18</v>
      </c>
      <c r="B1878" s="2" t="s">
        <v>6168</v>
      </c>
      <c r="C1878" s="5">
        <v>46010.0</v>
      </c>
      <c r="D1878" s="5">
        <v>46010.0</v>
      </c>
      <c r="E1878" s="4" t="s">
        <v>6169</v>
      </c>
      <c r="F1878" s="9"/>
      <c r="G1878" s="6"/>
      <c r="H1878" s="7">
        <v>672.0</v>
      </c>
      <c r="I1878" s="11">
        <v>26251.12</v>
      </c>
      <c r="K1878" s="2" t="s">
        <v>539</v>
      </c>
      <c r="M1878" s="2" t="s">
        <v>24</v>
      </c>
      <c r="N1878" s="2" t="s">
        <v>60</v>
      </c>
      <c r="O1878" s="2">
        <v>1.10751038E8</v>
      </c>
      <c r="P1878" s="15" t="str">
        <f>IFERROR(__xludf.DUMMYFUNCTION("CONCATENATE(B1878,"", "", to_text(D1878),"", "", E1878,"", "", H1878)"),"TSV-11-0734, 19-Dec-2025, UPI/CR/115858099655/YOGESH S/ICIC/yogesh./PAY BY, 672")</f>
        <v>TSV-11-0734, 19-Dec-2025, UPI/CR/115858099655/YOGESH S/ICIC/yogesh./PAY BY, 672</v>
      </c>
      <c r="Q1878" s="8">
        <v>2025.0</v>
      </c>
      <c r="R1878" s="8" t="s">
        <v>5275</v>
      </c>
    </row>
    <row r="1879">
      <c r="A1879" s="4" t="s">
        <v>18</v>
      </c>
      <c r="B1879" s="2" t="s">
        <v>6170</v>
      </c>
      <c r="C1879" s="5">
        <v>46010.0</v>
      </c>
      <c r="D1879" s="5">
        <v>46010.0</v>
      </c>
      <c r="E1879" s="4" t="s">
        <v>6171</v>
      </c>
      <c r="F1879" s="9"/>
      <c r="G1879" s="7">
        <v>100.0</v>
      </c>
      <c r="H1879" s="6"/>
      <c r="I1879" s="11">
        <v>26151.12</v>
      </c>
      <c r="J1879" s="2" t="s">
        <v>6172</v>
      </c>
      <c r="K1879" s="2" t="s">
        <v>23</v>
      </c>
      <c r="M1879" s="2" t="s">
        <v>114</v>
      </c>
      <c r="N1879" s="2" t="s">
        <v>1835</v>
      </c>
      <c r="O1879" s="2">
        <v>1.10751038E8</v>
      </c>
      <c r="Q1879" s="8">
        <v>2025.0</v>
      </c>
      <c r="R1879" s="8" t="s">
        <v>5275</v>
      </c>
    </row>
    <row r="1880">
      <c r="A1880" s="4" t="s">
        <v>18</v>
      </c>
      <c r="B1880" s="2" t="s">
        <v>6173</v>
      </c>
      <c r="C1880" s="5">
        <v>46010.0</v>
      </c>
      <c r="D1880" s="5">
        <v>46010.0</v>
      </c>
      <c r="E1880" s="4" t="s">
        <v>6174</v>
      </c>
      <c r="F1880" s="9"/>
      <c r="G1880" s="7">
        <v>400.0</v>
      </c>
      <c r="H1880" s="6"/>
      <c r="I1880" s="11">
        <v>25751.12</v>
      </c>
      <c r="K1880" s="2" t="s">
        <v>127</v>
      </c>
      <c r="M1880" s="2" t="s">
        <v>114</v>
      </c>
      <c r="N1880" s="2" t="s">
        <v>3519</v>
      </c>
      <c r="O1880" s="2">
        <v>1.10751038E8</v>
      </c>
      <c r="Q1880" s="8">
        <v>2025.0</v>
      </c>
      <c r="R1880" s="8" t="s">
        <v>5275</v>
      </c>
    </row>
    <row r="1881">
      <c r="A1881" s="4" t="s">
        <v>18</v>
      </c>
      <c r="B1881" s="2" t="s">
        <v>6175</v>
      </c>
      <c r="C1881" s="5">
        <v>46010.0</v>
      </c>
      <c r="D1881" s="5">
        <v>46010.0</v>
      </c>
      <c r="E1881" s="4" t="s">
        <v>6176</v>
      </c>
      <c r="F1881" s="9"/>
      <c r="G1881" s="6"/>
      <c r="H1881" s="7">
        <v>540.0</v>
      </c>
      <c r="I1881" s="11">
        <v>26291.12</v>
      </c>
      <c r="K1881" s="12" t="str">
        <f t="shared" ref="K1881:K1889" si="242">RIGHT(E1881,6)</f>
        <v>UN3668</v>
      </c>
      <c r="L1881" s="21" t="s">
        <v>6177</v>
      </c>
      <c r="M1881" s="2" t="s">
        <v>24</v>
      </c>
      <c r="N1881" s="2" t="s">
        <v>60</v>
      </c>
      <c r="O1881" s="2">
        <v>1.10751038E8</v>
      </c>
      <c r="P1881" s="15"/>
      <c r="Q1881" s="8">
        <v>2025.0</v>
      </c>
      <c r="R1881" s="8" t="s">
        <v>5275</v>
      </c>
    </row>
    <row r="1882">
      <c r="A1882" s="4" t="s">
        <v>18</v>
      </c>
      <c r="B1882" s="2" t="s">
        <v>6178</v>
      </c>
      <c r="C1882" s="5">
        <v>46010.0</v>
      </c>
      <c r="D1882" s="5">
        <v>46010.0</v>
      </c>
      <c r="E1882" s="4" t="s">
        <v>6179</v>
      </c>
      <c r="F1882" s="9"/>
      <c r="G1882" s="6"/>
      <c r="H1882" s="11">
        <v>2288.0</v>
      </c>
      <c r="I1882" s="11">
        <v>28579.12</v>
      </c>
      <c r="K1882" s="12" t="str">
        <f t="shared" si="242"/>
        <v>UN3668</v>
      </c>
      <c r="L1882" s="21" t="s">
        <v>6180</v>
      </c>
      <c r="M1882" s="2" t="s">
        <v>24</v>
      </c>
      <c r="N1882" s="2" t="s">
        <v>60</v>
      </c>
      <c r="O1882" s="2">
        <v>1.10751038E8</v>
      </c>
      <c r="P1882" s="15"/>
      <c r="Q1882" s="8">
        <v>2025.0</v>
      </c>
      <c r="R1882" s="8" t="s">
        <v>5275</v>
      </c>
    </row>
    <row r="1883">
      <c r="A1883" s="4" t="s">
        <v>18</v>
      </c>
      <c r="B1883" s="2" t="s">
        <v>6181</v>
      </c>
      <c r="C1883" s="5">
        <v>46010.0</v>
      </c>
      <c r="D1883" s="5">
        <v>46010.0</v>
      </c>
      <c r="E1883" s="4" t="s">
        <v>6182</v>
      </c>
      <c r="F1883" s="9"/>
      <c r="G1883" s="6"/>
      <c r="H1883" s="7">
        <v>600.0</v>
      </c>
      <c r="I1883" s="11">
        <v>29179.12</v>
      </c>
      <c r="K1883" s="12" t="str">
        <f t="shared" si="242"/>
        <v>UN3668</v>
      </c>
      <c r="L1883" s="21" t="s">
        <v>6183</v>
      </c>
      <c r="M1883" s="2" t="s">
        <v>24</v>
      </c>
      <c r="N1883" s="2" t="s">
        <v>60</v>
      </c>
      <c r="O1883" s="2">
        <v>1.10751038E8</v>
      </c>
      <c r="P1883" s="15"/>
      <c r="Q1883" s="8">
        <v>2025.0</v>
      </c>
      <c r="R1883" s="8" t="s">
        <v>5275</v>
      </c>
    </row>
    <row r="1884">
      <c r="A1884" s="4" t="s">
        <v>18</v>
      </c>
      <c r="B1884" s="2" t="s">
        <v>6184</v>
      </c>
      <c r="C1884" s="5">
        <v>46010.0</v>
      </c>
      <c r="D1884" s="5">
        <v>46010.0</v>
      </c>
      <c r="E1884" s="4" t="s">
        <v>6185</v>
      </c>
      <c r="F1884" s="9"/>
      <c r="G1884" s="6"/>
      <c r="H1884" s="7">
        <v>859.0</v>
      </c>
      <c r="I1884" s="11">
        <v>30038.12</v>
      </c>
      <c r="K1884" s="12" t="str">
        <f t="shared" si="242"/>
        <v>SC3567</v>
      </c>
      <c r="M1884" s="2" t="s">
        <v>24</v>
      </c>
      <c r="N1884" s="2" t="s">
        <v>60</v>
      </c>
      <c r="O1884" s="2">
        <v>1.10751038E8</v>
      </c>
      <c r="P1884" s="15" t="str">
        <f>IFERROR(__xludf.DUMMYFUNCTION("CONCATENATE(B1884,"", "", to_text(D1884),"", "", E1884,"", "", H1884)"),"TSV-11-0740, 19-Dec-2025, UPI/CR/394030760046/RIDA AL/KKBK/9621258/SC3567, 859")</f>
        <v>TSV-11-0740, 19-Dec-2025, UPI/CR/394030760046/RIDA AL/KKBK/9621258/SC3567, 859</v>
      </c>
      <c r="Q1884" s="8">
        <v>2025.0</v>
      </c>
      <c r="R1884" s="8" t="s">
        <v>5275</v>
      </c>
    </row>
    <row r="1885">
      <c r="A1885" s="4" t="s">
        <v>18</v>
      </c>
      <c r="B1885" s="2" t="s">
        <v>6186</v>
      </c>
      <c r="C1885" s="5">
        <v>46010.0</v>
      </c>
      <c r="D1885" s="5">
        <v>46010.0</v>
      </c>
      <c r="E1885" s="4" t="s">
        <v>6187</v>
      </c>
      <c r="F1885" s="9"/>
      <c r="G1885" s="6"/>
      <c r="H1885" s="7">
        <v>412.0</v>
      </c>
      <c r="I1885" s="11">
        <v>30450.12</v>
      </c>
      <c r="K1885" s="12" t="str">
        <f t="shared" si="242"/>
        <v>SC3567</v>
      </c>
      <c r="M1885" s="2" t="s">
        <v>24</v>
      </c>
      <c r="N1885" s="2" t="s">
        <v>60</v>
      </c>
      <c r="O1885" s="2">
        <v>1.10751038E8</v>
      </c>
      <c r="P1885" s="15" t="str">
        <f>IFERROR(__xludf.DUMMYFUNCTION("CONCATENATE(B1885,"", "", to_text(D1885),"", "", E1885,"", "", H1885)"),"TSV-11-0741, 19-Dec-2025, UPI/CR/571930247923/NAMAN BH/HDFC/9911321/SC3567, 412")</f>
        <v>TSV-11-0741, 19-Dec-2025, UPI/CR/571930247923/NAMAN BH/HDFC/9911321/SC3567, 412</v>
      </c>
      <c r="Q1885" s="8">
        <v>2025.0</v>
      </c>
      <c r="R1885" s="8" t="s">
        <v>5275</v>
      </c>
    </row>
    <row r="1886">
      <c r="A1886" s="4" t="s">
        <v>18</v>
      </c>
      <c r="B1886" s="2" t="s">
        <v>6188</v>
      </c>
      <c r="C1886" s="5">
        <v>46010.0</v>
      </c>
      <c r="D1886" s="5">
        <v>46010.0</v>
      </c>
      <c r="E1886" s="4" t="s">
        <v>6189</v>
      </c>
      <c r="F1886" s="9"/>
      <c r="G1886" s="6"/>
      <c r="H1886" s="7">
        <v>640.0</v>
      </c>
      <c r="I1886" s="11">
        <v>31090.12</v>
      </c>
      <c r="K1886" s="12" t="str">
        <f t="shared" si="242"/>
        <v>SL1610</v>
      </c>
      <c r="L1886" s="2" t="s">
        <v>6190</v>
      </c>
      <c r="M1886" s="2" t="s">
        <v>24</v>
      </c>
      <c r="N1886" s="2" t="s">
        <v>60</v>
      </c>
      <c r="O1886" s="2">
        <v>1.10751038E8</v>
      </c>
      <c r="P1886" s="15"/>
      <c r="Q1886" s="8">
        <v>2025.0</v>
      </c>
      <c r="R1886" s="8" t="s">
        <v>5275</v>
      </c>
    </row>
    <row r="1887">
      <c r="A1887" s="4" t="s">
        <v>18</v>
      </c>
      <c r="B1887" s="2" t="s">
        <v>6191</v>
      </c>
      <c r="C1887" s="5">
        <v>46010.0</v>
      </c>
      <c r="D1887" s="5">
        <v>46010.0</v>
      </c>
      <c r="E1887" s="4" t="s">
        <v>6192</v>
      </c>
      <c r="F1887" s="9"/>
      <c r="G1887" s="6"/>
      <c r="H1887" s="11">
        <v>2614.0</v>
      </c>
      <c r="I1887" s="11">
        <v>33704.12</v>
      </c>
      <c r="K1887" s="12" t="str">
        <f t="shared" si="242"/>
        <v>SC3567</v>
      </c>
      <c r="M1887" s="2" t="s">
        <v>24</v>
      </c>
      <c r="N1887" s="2" t="s">
        <v>60</v>
      </c>
      <c r="O1887" s="2">
        <v>1.10751038E8</v>
      </c>
      <c r="P1887" s="15" t="str">
        <f>IFERROR(__xludf.DUMMYFUNCTION("CONCATENATE(B1887,"", "", to_text(D1887),"", "", E1887,"", "", H1887)"),"TSV-11-0743, 19-Dec-2025, UPI/CR/571990274845/KAKOLI M/UTIB/dutta.k/SC3567, 2614")</f>
        <v>TSV-11-0743, 19-Dec-2025, UPI/CR/571990274845/KAKOLI M/UTIB/dutta.k/SC3567, 2614</v>
      </c>
      <c r="Q1887" s="8">
        <v>2025.0</v>
      </c>
      <c r="R1887" s="8" t="s">
        <v>5275</v>
      </c>
    </row>
    <row r="1888">
      <c r="A1888" s="4" t="s">
        <v>18</v>
      </c>
      <c r="B1888" s="2" t="s">
        <v>6193</v>
      </c>
      <c r="C1888" s="5">
        <v>46010.0</v>
      </c>
      <c r="D1888" s="5">
        <v>46010.0</v>
      </c>
      <c r="E1888" s="4" t="s">
        <v>6194</v>
      </c>
      <c r="F1888" s="9"/>
      <c r="G1888" s="6"/>
      <c r="H1888" s="7">
        <v>465.0</v>
      </c>
      <c r="I1888" s="11">
        <v>34169.12</v>
      </c>
      <c r="K1888" s="12" t="str">
        <f t="shared" si="242"/>
        <v>UN3668</v>
      </c>
      <c r="L1888" s="21" t="s">
        <v>6195</v>
      </c>
      <c r="M1888" s="2" t="s">
        <v>24</v>
      </c>
      <c r="N1888" s="2" t="s">
        <v>60</v>
      </c>
      <c r="O1888" s="2">
        <v>1.10751038E8</v>
      </c>
      <c r="P1888" s="15"/>
      <c r="Q1888" s="8">
        <v>2025.0</v>
      </c>
      <c r="R1888" s="8" t="s">
        <v>5275</v>
      </c>
    </row>
    <row r="1889">
      <c r="A1889" s="4" t="s">
        <v>18</v>
      </c>
      <c r="B1889" s="2" t="s">
        <v>6196</v>
      </c>
      <c r="C1889" s="5">
        <v>46010.0</v>
      </c>
      <c r="D1889" s="5">
        <v>46010.0</v>
      </c>
      <c r="E1889" s="4" t="s">
        <v>6197</v>
      </c>
      <c r="F1889" s="9"/>
      <c r="G1889" s="6"/>
      <c r="H1889" s="7">
        <v>576.0</v>
      </c>
      <c r="I1889" s="11">
        <v>34745.12</v>
      </c>
      <c r="K1889" s="12" t="str">
        <f t="shared" si="242"/>
        <v>UN3668</v>
      </c>
      <c r="L1889" s="21" t="s">
        <v>6198</v>
      </c>
      <c r="M1889" s="2" t="s">
        <v>24</v>
      </c>
      <c r="N1889" s="2" t="s">
        <v>60</v>
      </c>
      <c r="O1889" s="2">
        <v>1.10751038E8</v>
      </c>
      <c r="P1889" s="15"/>
      <c r="Q1889" s="8">
        <v>2025.0</v>
      </c>
      <c r="R1889" s="8" t="s">
        <v>5275</v>
      </c>
    </row>
    <row r="1890">
      <c r="A1890" s="4" t="s">
        <v>18</v>
      </c>
      <c r="B1890" s="2" t="s">
        <v>6199</v>
      </c>
      <c r="C1890" s="5">
        <v>46010.0</v>
      </c>
      <c r="D1890" s="5">
        <v>46010.0</v>
      </c>
      <c r="E1890" s="4" t="s">
        <v>6200</v>
      </c>
      <c r="F1890" s="9"/>
      <c r="G1890" s="7">
        <v>250.0</v>
      </c>
      <c r="H1890" s="6"/>
      <c r="I1890" s="11">
        <v>34495.12</v>
      </c>
      <c r="K1890" s="2" t="s">
        <v>127</v>
      </c>
      <c r="M1890" s="2" t="s">
        <v>114</v>
      </c>
      <c r="N1890" s="2" t="s">
        <v>1835</v>
      </c>
      <c r="O1890" s="2">
        <v>1.10751038E8</v>
      </c>
      <c r="Q1890" s="8">
        <v>2025.0</v>
      </c>
      <c r="R1890" s="8" t="s">
        <v>5275</v>
      </c>
    </row>
    <row r="1891">
      <c r="A1891" s="4" t="s">
        <v>18</v>
      </c>
      <c r="B1891" s="2" t="s">
        <v>6201</v>
      </c>
      <c r="C1891" s="5">
        <v>46010.0</v>
      </c>
      <c r="D1891" s="5">
        <v>46010.0</v>
      </c>
      <c r="E1891" s="4" t="s">
        <v>6202</v>
      </c>
      <c r="F1891" s="9"/>
      <c r="G1891" s="6"/>
      <c r="H1891" s="7">
        <v>75.0</v>
      </c>
      <c r="I1891" s="11">
        <v>34570.12</v>
      </c>
      <c r="K1891" s="12" t="str">
        <f>RIGHT(E1891,6)</f>
        <v>KN3817</v>
      </c>
      <c r="L1891" s="2" t="s">
        <v>3575</v>
      </c>
      <c r="M1891" s="2" t="s">
        <v>24</v>
      </c>
      <c r="N1891" s="2" t="s">
        <v>60</v>
      </c>
      <c r="O1891" s="2">
        <v>1.10751038E8</v>
      </c>
      <c r="P1891" s="15"/>
      <c r="Q1891" s="8">
        <v>2025.0</v>
      </c>
      <c r="R1891" s="8" t="s">
        <v>5275</v>
      </c>
    </row>
    <row r="1892">
      <c r="A1892" s="4" t="s">
        <v>18</v>
      </c>
      <c r="B1892" s="2" t="s">
        <v>6203</v>
      </c>
      <c r="C1892" s="5">
        <v>46010.0</v>
      </c>
      <c r="D1892" s="5">
        <v>46010.0</v>
      </c>
      <c r="E1892" s="4" t="s">
        <v>6204</v>
      </c>
      <c r="F1892" s="9"/>
      <c r="G1892" s="11">
        <v>15218.0</v>
      </c>
      <c r="H1892" s="6"/>
      <c r="I1892" s="11">
        <v>19352.12</v>
      </c>
      <c r="K1892" s="2" t="s">
        <v>123</v>
      </c>
      <c r="M1892" s="2" t="s">
        <v>114</v>
      </c>
      <c r="N1892" s="2" t="s">
        <v>220</v>
      </c>
      <c r="O1892" s="2">
        <v>1.10751038E8</v>
      </c>
      <c r="Q1892" s="8">
        <v>2025.0</v>
      </c>
      <c r="R1892" s="8" t="s">
        <v>5275</v>
      </c>
    </row>
    <row r="1893">
      <c r="A1893" s="4" t="s">
        <v>18</v>
      </c>
      <c r="B1893" s="2" t="s">
        <v>6205</v>
      </c>
      <c r="C1893" s="5">
        <v>46010.0</v>
      </c>
      <c r="D1893" s="5">
        <v>46010.0</v>
      </c>
      <c r="E1893" s="4" t="s">
        <v>6206</v>
      </c>
      <c r="F1893" s="9"/>
      <c r="G1893" s="7">
        <v>494.0</v>
      </c>
      <c r="H1893" s="6"/>
      <c r="I1893" s="11">
        <v>18858.12</v>
      </c>
      <c r="K1893" s="2" t="s">
        <v>123</v>
      </c>
      <c r="M1893" s="2" t="s">
        <v>114</v>
      </c>
      <c r="N1893" s="2" t="s">
        <v>220</v>
      </c>
      <c r="O1893" s="2">
        <v>1.10751038E8</v>
      </c>
      <c r="Q1893" s="8">
        <v>2025.0</v>
      </c>
      <c r="R1893" s="8" t="s">
        <v>5275</v>
      </c>
    </row>
    <row r="1894">
      <c r="A1894" s="4" t="s">
        <v>18</v>
      </c>
      <c r="B1894" s="2" t="s">
        <v>6207</v>
      </c>
      <c r="C1894" s="5">
        <v>46011.0</v>
      </c>
      <c r="D1894" s="5">
        <v>46011.0</v>
      </c>
      <c r="E1894" s="4" t="s">
        <v>6208</v>
      </c>
      <c r="F1894" s="9"/>
      <c r="G1894" s="6"/>
      <c r="H1894" s="7">
        <v>164.0</v>
      </c>
      <c r="I1894" s="11">
        <v>19022.12</v>
      </c>
      <c r="K1894" s="12" t="str">
        <f t="shared" ref="K1894:K1895" si="243">RIGHT(E1894,6)</f>
        <v>SC3567</v>
      </c>
      <c r="M1894" s="2" t="s">
        <v>24</v>
      </c>
      <c r="N1894" s="2" t="s">
        <v>60</v>
      </c>
      <c r="O1894" s="2">
        <v>1.10751038E8</v>
      </c>
      <c r="P1894" s="15" t="str">
        <f>IFERROR(__xludf.DUMMYFUNCTION("CONCATENATE(B1894,"", "", to_text(D1894),"", "", E1894,"", "", H1894)"),"TSV-11-0750, 20-Dec-2025, UPI/CR/535473908011/BHAVYA A/ICIC/bhavya./SC3567, 164")</f>
        <v>TSV-11-0750, 20-Dec-2025, UPI/CR/535473908011/BHAVYA A/ICIC/bhavya./SC3567, 164</v>
      </c>
      <c r="Q1894" s="8">
        <v>2025.0</v>
      </c>
      <c r="R1894" s="8" t="s">
        <v>5275</v>
      </c>
    </row>
    <row r="1895">
      <c r="A1895" s="4" t="s">
        <v>18</v>
      </c>
      <c r="B1895" s="2" t="s">
        <v>6209</v>
      </c>
      <c r="C1895" s="5">
        <v>46011.0</v>
      </c>
      <c r="D1895" s="5">
        <v>46011.0</v>
      </c>
      <c r="E1895" s="4" t="s">
        <v>6210</v>
      </c>
      <c r="F1895" s="9"/>
      <c r="G1895" s="6"/>
      <c r="H1895" s="7">
        <v>400.0</v>
      </c>
      <c r="I1895" s="11">
        <v>19422.12</v>
      </c>
      <c r="K1895" s="12" t="str">
        <f t="shared" si="243"/>
        <v>KN3817</v>
      </c>
      <c r="L1895" s="2" t="s">
        <v>6211</v>
      </c>
      <c r="M1895" s="2" t="s">
        <v>24</v>
      </c>
      <c r="N1895" s="2" t="s">
        <v>60</v>
      </c>
      <c r="O1895" s="2">
        <v>1.10751038E8</v>
      </c>
      <c r="P1895" s="15"/>
      <c r="Q1895" s="8">
        <v>2025.0</v>
      </c>
      <c r="R1895" s="8" t="s">
        <v>5275</v>
      </c>
    </row>
    <row r="1896">
      <c r="A1896" s="4" t="s">
        <v>18</v>
      </c>
      <c r="B1896" s="2" t="s">
        <v>6212</v>
      </c>
      <c r="C1896" s="5">
        <v>46011.0</v>
      </c>
      <c r="D1896" s="5">
        <v>46011.0</v>
      </c>
      <c r="E1896" s="4" t="s">
        <v>6213</v>
      </c>
      <c r="F1896" s="9"/>
      <c r="G1896" s="7">
        <v>223.0</v>
      </c>
      <c r="H1896" s="6"/>
      <c r="I1896" s="11">
        <v>19199.12</v>
      </c>
      <c r="K1896" s="2" t="s">
        <v>127</v>
      </c>
      <c r="M1896" s="2" t="s">
        <v>114</v>
      </c>
      <c r="N1896" s="2" t="s">
        <v>478</v>
      </c>
      <c r="O1896" s="2">
        <v>1.10751038E8</v>
      </c>
      <c r="Q1896" s="8">
        <v>2025.0</v>
      </c>
      <c r="R1896" s="8" t="s">
        <v>5275</v>
      </c>
    </row>
    <row r="1897">
      <c r="A1897" s="4" t="s">
        <v>18</v>
      </c>
      <c r="B1897" s="2" t="s">
        <v>6214</v>
      </c>
      <c r="C1897" s="5">
        <v>46011.0</v>
      </c>
      <c r="D1897" s="5">
        <v>46011.0</v>
      </c>
      <c r="E1897" s="4" t="s">
        <v>6215</v>
      </c>
      <c r="F1897" s="9"/>
      <c r="G1897" s="6"/>
      <c r="H1897" s="7">
        <v>946.0</v>
      </c>
      <c r="I1897" s="11">
        <v>20145.12</v>
      </c>
      <c r="K1897" s="12" t="str">
        <f>RIGHT(E1897,6)</f>
        <v>KN3817</v>
      </c>
      <c r="L1897" s="2" t="s">
        <v>6216</v>
      </c>
      <c r="M1897" s="2" t="s">
        <v>24</v>
      </c>
      <c r="N1897" s="2" t="s">
        <v>60</v>
      </c>
      <c r="O1897" s="2">
        <v>1.10751038E8</v>
      </c>
      <c r="P1897" s="15"/>
      <c r="Q1897" s="8">
        <v>2025.0</v>
      </c>
      <c r="R1897" s="8" t="s">
        <v>5275</v>
      </c>
    </row>
    <row r="1898">
      <c r="A1898" s="4" t="s">
        <v>18</v>
      </c>
      <c r="B1898" s="2" t="s">
        <v>6217</v>
      </c>
      <c r="C1898" s="5">
        <v>46011.0</v>
      </c>
      <c r="D1898" s="5">
        <v>46011.0</v>
      </c>
      <c r="E1898" s="4" t="s">
        <v>6218</v>
      </c>
      <c r="F1898" s="9"/>
      <c r="G1898" s="11">
        <v>1188.59</v>
      </c>
      <c r="H1898" s="6"/>
      <c r="I1898" s="11">
        <v>18956.53</v>
      </c>
      <c r="K1898" s="2" t="s">
        <v>127</v>
      </c>
      <c r="M1898" s="2" t="s">
        <v>114</v>
      </c>
      <c r="N1898" s="2" t="s">
        <v>275</v>
      </c>
      <c r="O1898" s="2">
        <v>1.10751038E8</v>
      </c>
      <c r="Q1898" s="8">
        <v>2025.0</v>
      </c>
      <c r="R1898" s="8" t="s">
        <v>5275</v>
      </c>
    </row>
    <row r="1899">
      <c r="A1899" s="4" t="s">
        <v>18</v>
      </c>
      <c r="B1899" s="2" t="s">
        <v>6219</v>
      </c>
      <c r="C1899" s="5">
        <v>46011.0</v>
      </c>
      <c r="D1899" s="5">
        <v>46011.0</v>
      </c>
      <c r="E1899" s="4" t="s">
        <v>6220</v>
      </c>
      <c r="F1899" s="9"/>
      <c r="G1899" s="11">
        <v>4780.0</v>
      </c>
      <c r="H1899" s="6"/>
      <c r="I1899" s="11">
        <v>14176.53</v>
      </c>
      <c r="K1899" s="12" t="str">
        <f t="shared" ref="K1899:K1903" si="244">RIGHT(E1899,6)</f>
        <v>SC3567</v>
      </c>
      <c r="M1899" s="2" t="s">
        <v>114</v>
      </c>
      <c r="N1899" s="2" t="s">
        <v>275</v>
      </c>
      <c r="O1899" s="2">
        <v>1.10751038E8</v>
      </c>
      <c r="Q1899" s="8">
        <v>2025.0</v>
      </c>
      <c r="R1899" s="8" t="s">
        <v>5275</v>
      </c>
    </row>
    <row r="1900">
      <c r="A1900" s="4" t="s">
        <v>18</v>
      </c>
      <c r="B1900" s="2" t="s">
        <v>6221</v>
      </c>
      <c r="C1900" s="5">
        <v>46011.0</v>
      </c>
      <c r="D1900" s="5">
        <v>46011.0</v>
      </c>
      <c r="E1900" s="4" t="s">
        <v>6222</v>
      </c>
      <c r="F1900" s="9"/>
      <c r="G1900" s="11">
        <v>5715.0</v>
      </c>
      <c r="H1900" s="6"/>
      <c r="I1900" s="11">
        <v>8461.53</v>
      </c>
      <c r="K1900" s="12" t="str">
        <f t="shared" si="244"/>
        <v>SL1610</v>
      </c>
      <c r="M1900" s="2" t="s">
        <v>114</v>
      </c>
      <c r="N1900" s="2" t="s">
        <v>275</v>
      </c>
      <c r="O1900" s="2">
        <v>1.10751038E8</v>
      </c>
      <c r="Q1900" s="8">
        <v>2025.0</v>
      </c>
      <c r="R1900" s="8" t="s">
        <v>5275</v>
      </c>
    </row>
    <row r="1901">
      <c r="A1901" s="4" t="s">
        <v>18</v>
      </c>
      <c r="B1901" s="2" t="s">
        <v>6223</v>
      </c>
      <c r="C1901" s="5">
        <v>46011.0</v>
      </c>
      <c r="D1901" s="5">
        <v>46011.0</v>
      </c>
      <c r="E1901" s="4" t="s">
        <v>6224</v>
      </c>
      <c r="F1901" s="9"/>
      <c r="G1901" s="6"/>
      <c r="H1901" s="7">
        <v>792.0</v>
      </c>
      <c r="I1901" s="11">
        <v>9253.53</v>
      </c>
      <c r="K1901" s="12" t="str">
        <f t="shared" si="244"/>
        <v>UN3668</v>
      </c>
      <c r="L1901" s="21" t="s">
        <v>6225</v>
      </c>
      <c r="M1901" s="2" t="s">
        <v>24</v>
      </c>
      <c r="N1901" s="2" t="s">
        <v>60</v>
      </c>
      <c r="O1901" s="2">
        <v>1.10751038E8</v>
      </c>
      <c r="P1901" s="15"/>
      <c r="Q1901" s="8">
        <v>2025.0</v>
      </c>
      <c r="R1901" s="8" t="s">
        <v>5275</v>
      </c>
    </row>
    <row r="1902">
      <c r="A1902" s="4" t="s">
        <v>18</v>
      </c>
      <c r="B1902" s="2" t="s">
        <v>6226</v>
      </c>
      <c r="C1902" s="5">
        <v>46011.0</v>
      </c>
      <c r="D1902" s="5">
        <v>46011.0</v>
      </c>
      <c r="E1902" s="4" t="s">
        <v>6227</v>
      </c>
      <c r="F1902" s="9"/>
      <c r="G1902" s="6"/>
      <c r="H1902" s="7">
        <v>889.0</v>
      </c>
      <c r="I1902" s="11">
        <v>10142.53</v>
      </c>
      <c r="K1902" s="12" t="str">
        <f t="shared" si="244"/>
        <v>SC3567</v>
      </c>
      <c r="M1902" s="2" t="s">
        <v>24</v>
      </c>
      <c r="N1902" s="2" t="s">
        <v>60</v>
      </c>
      <c r="O1902" s="2">
        <v>1.10751038E8</v>
      </c>
      <c r="P1902" s="15" t="str">
        <f>IFERROR(__xludf.DUMMYFUNCTION("CONCATENATE(B1902,"", "", to_text(D1902),"", "", E1902,"", "", H1902)"),"TSV-11-0758, 20-Dec-2025, UPI/CR/535455674871/Mr MUKES/IDIB/mukeshp/SC3567, 889")</f>
        <v>TSV-11-0758, 20-Dec-2025, UPI/CR/535455674871/Mr MUKES/IDIB/mukeshp/SC3567, 889</v>
      </c>
      <c r="Q1902" s="8">
        <v>2025.0</v>
      </c>
      <c r="R1902" s="8" t="s">
        <v>5275</v>
      </c>
    </row>
    <row r="1903">
      <c r="A1903" s="4" t="s">
        <v>18</v>
      </c>
      <c r="B1903" s="2" t="s">
        <v>6228</v>
      </c>
      <c r="C1903" s="5">
        <v>46011.0</v>
      </c>
      <c r="D1903" s="5">
        <v>46011.0</v>
      </c>
      <c r="E1903" s="4" t="s">
        <v>6229</v>
      </c>
      <c r="F1903" s="9"/>
      <c r="G1903" s="6"/>
      <c r="H1903" s="11">
        <v>1460.0</v>
      </c>
      <c r="I1903" s="11">
        <v>11602.53</v>
      </c>
      <c r="K1903" s="12" t="str">
        <f t="shared" si="244"/>
        <v>SC3567</v>
      </c>
      <c r="M1903" s="2" t="s">
        <v>24</v>
      </c>
      <c r="N1903" s="2" t="s">
        <v>60</v>
      </c>
      <c r="O1903" s="2">
        <v>1.10751038E8</v>
      </c>
      <c r="P1903" s="15" t="str">
        <f>IFERROR(__xludf.DUMMYFUNCTION("CONCATENATE(B1903,"", "", to_text(D1903),"", "", E1903,"", "", H1903)"),"TSV-11-0759, 20-Dec-2025, UPI/CR/115913915427/CHANDRIM/HDFC/chandri/SC3567, 1460")</f>
        <v>TSV-11-0759, 20-Dec-2025, UPI/CR/115913915427/CHANDRIM/HDFC/chandri/SC3567, 1460</v>
      </c>
      <c r="Q1903" s="8">
        <v>2025.0</v>
      </c>
      <c r="R1903" s="8" t="s">
        <v>5275</v>
      </c>
    </row>
    <row r="1904">
      <c r="A1904" s="4" t="s">
        <v>18</v>
      </c>
      <c r="B1904" s="2" t="s">
        <v>6230</v>
      </c>
      <c r="C1904" s="5">
        <v>46011.0</v>
      </c>
      <c r="D1904" s="5">
        <v>46011.0</v>
      </c>
      <c r="E1904" s="4" t="s">
        <v>6231</v>
      </c>
      <c r="F1904" s="9"/>
      <c r="G1904" s="7">
        <v>108.0</v>
      </c>
      <c r="H1904" s="6"/>
      <c r="I1904" s="11">
        <v>11494.53</v>
      </c>
      <c r="K1904" s="2" t="s">
        <v>123</v>
      </c>
      <c r="M1904" s="2" t="s">
        <v>114</v>
      </c>
      <c r="N1904" s="2" t="s">
        <v>1835</v>
      </c>
      <c r="O1904" s="2">
        <v>1.10751038E8</v>
      </c>
      <c r="Q1904" s="8">
        <v>2025.0</v>
      </c>
      <c r="R1904" s="8" t="s">
        <v>5275</v>
      </c>
    </row>
    <row r="1905">
      <c r="A1905" s="4" t="s">
        <v>18</v>
      </c>
      <c r="B1905" s="2" t="s">
        <v>6232</v>
      </c>
      <c r="C1905" s="5">
        <v>46011.0</v>
      </c>
      <c r="D1905" s="5">
        <v>46011.0</v>
      </c>
      <c r="E1905" s="4" t="s">
        <v>6233</v>
      </c>
      <c r="F1905" s="9"/>
      <c r="G1905" s="6"/>
      <c r="H1905" s="7">
        <v>510.0</v>
      </c>
      <c r="I1905" s="11">
        <v>12004.53</v>
      </c>
      <c r="K1905" s="12" t="str">
        <f t="shared" ref="K1905:K1909" si="245">RIGHT(E1905,6)</f>
        <v>KN3817</v>
      </c>
      <c r="L1905" s="2" t="s">
        <v>6234</v>
      </c>
      <c r="M1905" s="2" t="s">
        <v>24</v>
      </c>
      <c r="N1905" s="2" t="s">
        <v>60</v>
      </c>
      <c r="O1905" s="2">
        <v>1.10751038E8</v>
      </c>
      <c r="P1905" s="15"/>
      <c r="Q1905" s="8">
        <v>2025.0</v>
      </c>
      <c r="R1905" s="8" t="s">
        <v>5275</v>
      </c>
    </row>
    <row r="1906">
      <c r="A1906" s="4" t="s">
        <v>18</v>
      </c>
      <c r="B1906" s="2" t="s">
        <v>6235</v>
      </c>
      <c r="C1906" s="5">
        <v>46011.0</v>
      </c>
      <c r="D1906" s="5">
        <v>46011.0</v>
      </c>
      <c r="E1906" s="4" t="s">
        <v>6236</v>
      </c>
      <c r="F1906" s="9"/>
      <c r="G1906" s="6"/>
      <c r="H1906" s="11">
        <v>1882.0</v>
      </c>
      <c r="I1906" s="11">
        <v>13886.53</v>
      </c>
      <c r="K1906" s="12" t="str">
        <f t="shared" si="245"/>
        <v>SC3567</v>
      </c>
      <c r="M1906" s="2" t="s">
        <v>24</v>
      </c>
      <c r="N1906" s="2" t="s">
        <v>60</v>
      </c>
      <c r="O1906" s="2">
        <v>1.10751038E8</v>
      </c>
      <c r="P1906" s="15" t="str">
        <f>IFERROR(__xludf.DUMMYFUNCTION("CONCATENATE(B1906,"", "", to_text(D1906),"", "", E1906,"", "", H1906)"),"TSV-11-0762, 20-Dec-2025, UPI/CR/572011407516/LYNAL MA/HDFC/9731946/SC3567, 1882")</f>
        <v>TSV-11-0762, 20-Dec-2025, UPI/CR/572011407516/LYNAL MA/HDFC/9731946/SC3567, 1882</v>
      </c>
      <c r="Q1906" s="8">
        <v>2025.0</v>
      </c>
      <c r="R1906" s="8" t="s">
        <v>5275</v>
      </c>
    </row>
    <row r="1907">
      <c r="A1907" s="4" t="s">
        <v>18</v>
      </c>
      <c r="B1907" s="2" t="s">
        <v>6237</v>
      </c>
      <c r="C1907" s="5">
        <v>46011.0</v>
      </c>
      <c r="D1907" s="5">
        <v>46011.0</v>
      </c>
      <c r="E1907" s="4" t="s">
        <v>6238</v>
      </c>
      <c r="F1907" s="9"/>
      <c r="G1907" s="6"/>
      <c r="H1907" s="7">
        <v>746.0</v>
      </c>
      <c r="I1907" s="11">
        <v>14632.53</v>
      </c>
      <c r="K1907" s="12" t="str">
        <f t="shared" si="245"/>
        <v>SL1610</v>
      </c>
      <c r="L1907" s="2" t="s">
        <v>6239</v>
      </c>
      <c r="M1907" s="2" t="s">
        <v>24</v>
      </c>
      <c r="N1907" s="2" t="s">
        <v>60</v>
      </c>
      <c r="O1907" s="2">
        <v>1.10751038E8</v>
      </c>
      <c r="P1907" s="15"/>
      <c r="Q1907" s="8">
        <v>2025.0</v>
      </c>
      <c r="R1907" s="8" t="s">
        <v>5275</v>
      </c>
    </row>
    <row r="1908">
      <c r="A1908" s="4" t="s">
        <v>18</v>
      </c>
      <c r="B1908" s="2" t="s">
        <v>6240</v>
      </c>
      <c r="C1908" s="5">
        <v>46011.0</v>
      </c>
      <c r="D1908" s="5">
        <v>46011.0</v>
      </c>
      <c r="E1908" s="4" t="s">
        <v>6241</v>
      </c>
      <c r="F1908" s="9"/>
      <c r="G1908" s="6"/>
      <c r="H1908" s="7">
        <v>320.0</v>
      </c>
      <c r="I1908" s="11">
        <v>14952.53</v>
      </c>
      <c r="K1908" s="12" t="str">
        <f t="shared" si="245"/>
        <v>UN3668</v>
      </c>
      <c r="L1908" s="21" t="s">
        <v>6242</v>
      </c>
      <c r="M1908" s="2" t="s">
        <v>24</v>
      </c>
      <c r="N1908" s="2" t="s">
        <v>60</v>
      </c>
      <c r="O1908" s="2">
        <v>1.10751038E8</v>
      </c>
      <c r="P1908" s="15"/>
      <c r="Q1908" s="8">
        <v>2025.0</v>
      </c>
      <c r="R1908" s="8" t="s">
        <v>5275</v>
      </c>
    </row>
    <row r="1909">
      <c r="A1909" s="4" t="s">
        <v>18</v>
      </c>
      <c r="B1909" s="2" t="s">
        <v>6243</v>
      </c>
      <c r="C1909" s="5">
        <v>46011.0</v>
      </c>
      <c r="D1909" s="5">
        <v>46011.0</v>
      </c>
      <c r="E1909" s="4" t="s">
        <v>6244</v>
      </c>
      <c r="F1909" s="9"/>
      <c r="G1909" s="6"/>
      <c r="H1909" s="7">
        <v>600.0</v>
      </c>
      <c r="I1909" s="11">
        <v>15552.53</v>
      </c>
      <c r="K1909" s="12" t="str">
        <f t="shared" si="245"/>
        <v>KN3817</v>
      </c>
      <c r="L1909" s="2" t="s">
        <v>3704</v>
      </c>
      <c r="M1909" s="2" t="s">
        <v>24</v>
      </c>
      <c r="N1909" s="2" t="s">
        <v>60</v>
      </c>
      <c r="O1909" s="2">
        <v>1.10751038E8</v>
      </c>
      <c r="P1909" s="15"/>
      <c r="Q1909" s="8">
        <v>2025.0</v>
      </c>
      <c r="R1909" s="8" t="s">
        <v>5275</v>
      </c>
    </row>
    <row r="1910">
      <c r="A1910" s="4" t="s">
        <v>18</v>
      </c>
      <c r="B1910" s="2" t="s">
        <v>6245</v>
      </c>
      <c r="C1910" s="5">
        <v>46011.0</v>
      </c>
      <c r="D1910" s="5">
        <v>46011.0</v>
      </c>
      <c r="E1910" s="4" t="s">
        <v>6246</v>
      </c>
      <c r="F1910" s="9"/>
      <c r="G1910" s="6"/>
      <c r="H1910" s="7">
        <v>240.0</v>
      </c>
      <c r="I1910" s="11">
        <v>15792.53</v>
      </c>
      <c r="K1910" s="2" t="s">
        <v>539</v>
      </c>
      <c r="M1910" s="2" t="s">
        <v>24</v>
      </c>
      <c r="N1910" s="2" t="s">
        <v>60</v>
      </c>
      <c r="O1910" s="2">
        <v>1.10751038E8</v>
      </c>
      <c r="P1910" s="15" t="str">
        <f>IFERROR(__xludf.DUMMYFUNCTION("CONCATENATE(B1910,"", "", to_text(D1910),"", "", E1910,"", "", H1910)"),"TSV-11-0766, 20-Dec-2025, UPI/CR/108800658439/DEEPIKA /UBIN/deepika/na, 240")</f>
        <v>TSV-11-0766, 20-Dec-2025, UPI/CR/108800658439/DEEPIKA /UBIN/deepika/na, 240</v>
      </c>
      <c r="Q1910" s="8">
        <v>2025.0</v>
      </c>
      <c r="R1910" s="8" t="s">
        <v>5275</v>
      </c>
    </row>
    <row r="1911">
      <c r="A1911" s="4" t="s">
        <v>18</v>
      </c>
      <c r="B1911" s="2" t="s">
        <v>6247</v>
      </c>
      <c r="C1911" s="5">
        <v>46011.0</v>
      </c>
      <c r="D1911" s="5">
        <v>46011.0</v>
      </c>
      <c r="E1911" s="4" t="s">
        <v>6248</v>
      </c>
      <c r="F1911" s="9"/>
      <c r="G1911" s="6"/>
      <c r="H1911" s="7">
        <v>300.0</v>
      </c>
      <c r="I1911" s="11">
        <v>16092.53</v>
      </c>
      <c r="K1911" s="2" t="s">
        <v>539</v>
      </c>
      <c r="M1911" s="2" t="s">
        <v>24</v>
      </c>
      <c r="N1911" s="2" t="s">
        <v>60</v>
      </c>
      <c r="O1911" s="2">
        <v>1.10751038E8</v>
      </c>
      <c r="P1911" s="15" t="str">
        <f>IFERROR(__xludf.DUMMYFUNCTION("CONCATENATE(B1911,"", "", to_text(D1911),"", "", E1911,"", "", H1911)"),"TSV-11-0767, 20-Dec-2025, UPI/CR/535403839075/AJAY KUM/KKBK/9999196/UPI, 300")</f>
        <v>TSV-11-0767, 20-Dec-2025, UPI/CR/535403839075/AJAY KUM/KKBK/9999196/UPI, 300</v>
      </c>
      <c r="Q1911" s="8">
        <v>2025.0</v>
      </c>
      <c r="R1911" s="8" t="s">
        <v>5275</v>
      </c>
    </row>
    <row r="1912">
      <c r="A1912" s="4" t="s">
        <v>18</v>
      </c>
      <c r="B1912" s="2" t="s">
        <v>6249</v>
      </c>
      <c r="C1912" s="5">
        <v>46011.0</v>
      </c>
      <c r="D1912" s="5">
        <v>46011.0</v>
      </c>
      <c r="E1912" s="4" t="s">
        <v>6250</v>
      </c>
      <c r="F1912" s="9"/>
      <c r="G1912" s="6"/>
      <c r="H1912" s="7">
        <v>940.0</v>
      </c>
      <c r="I1912" s="11">
        <v>17032.53</v>
      </c>
      <c r="K1912" s="12" t="str">
        <f t="shared" ref="K1912:K1917" si="246">RIGHT(E1912,6)</f>
        <v>SC3567</v>
      </c>
      <c r="M1912" s="2" t="s">
        <v>24</v>
      </c>
      <c r="N1912" s="2" t="s">
        <v>60</v>
      </c>
      <c r="O1912" s="2">
        <v>1.10751038E8</v>
      </c>
      <c r="P1912" s="15" t="str">
        <f>IFERROR(__xludf.DUMMYFUNCTION("CONCATENATE(B1912,"", "", to_text(D1912),"", "", E1912,"", "", H1912)"),"TSV-11-0768, 20-Dec-2025, UPI/CR/115925628506/NISHA AN/HDFC/nisha-m/SC3567, 940")</f>
        <v>TSV-11-0768, 20-Dec-2025, UPI/CR/115925628506/NISHA AN/HDFC/nisha-m/SC3567, 940</v>
      </c>
      <c r="Q1912" s="8">
        <v>2025.0</v>
      </c>
      <c r="R1912" s="8" t="s">
        <v>5275</v>
      </c>
    </row>
    <row r="1913">
      <c r="A1913" s="4" t="s">
        <v>18</v>
      </c>
      <c r="B1913" s="2" t="s">
        <v>6251</v>
      </c>
      <c r="C1913" s="5">
        <v>46011.0</v>
      </c>
      <c r="D1913" s="5">
        <v>46011.0</v>
      </c>
      <c r="E1913" s="4" t="s">
        <v>6252</v>
      </c>
      <c r="F1913" s="9"/>
      <c r="G1913" s="6"/>
      <c r="H1913" s="7">
        <v>800.0</v>
      </c>
      <c r="I1913" s="11">
        <v>17832.53</v>
      </c>
      <c r="K1913" s="12" t="str">
        <f t="shared" si="246"/>
        <v>KN3817</v>
      </c>
      <c r="L1913" s="2" t="s">
        <v>6253</v>
      </c>
      <c r="M1913" s="2" t="s">
        <v>24</v>
      </c>
      <c r="N1913" s="2" t="s">
        <v>60</v>
      </c>
      <c r="O1913" s="2">
        <v>1.10751038E8</v>
      </c>
      <c r="P1913" s="15"/>
      <c r="Q1913" s="8">
        <v>2025.0</v>
      </c>
      <c r="R1913" s="8" t="s">
        <v>5275</v>
      </c>
    </row>
    <row r="1914">
      <c r="A1914" s="4" t="s">
        <v>18</v>
      </c>
      <c r="B1914" s="2" t="s">
        <v>6254</v>
      </c>
      <c r="C1914" s="5">
        <v>46011.0</v>
      </c>
      <c r="D1914" s="5">
        <v>46011.0</v>
      </c>
      <c r="E1914" s="4" t="s">
        <v>6255</v>
      </c>
      <c r="F1914" s="9"/>
      <c r="G1914" s="6"/>
      <c r="H1914" s="7">
        <v>910.0</v>
      </c>
      <c r="I1914" s="11">
        <v>18742.53</v>
      </c>
      <c r="K1914" s="12" t="str">
        <f t="shared" si="246"/>
        <v>UN3668</v>
      </c>
      <c r="L1914" s="21" t="s">
        <v>6256</v>
      </c>
      <c r="M1914" s="2" t="s">
        <v>24</v>
      </c>
      <c r="N1914" s="2" t="s">
        <v>60</v>
      </c>
      <c r="O1914" s="2">
        <v>1.10751038E8</v>
      </c>
      <c r="P1914" s="15"/>
      <c r="Q1914" s="8">
        <v>2025.0</v>
      </c>
      <c r="R1914" s="8" t="s">
        <v>5275</v>
      </c>
    </row>
    <row r="1915">
      <c r="A1915" s="4" t="s">
        <v>18</v>
      </c>
      <c r="B1915" s="2" t="s">
        <v>6257</v>
      </c>
      <c r="C1915" s="5">
        <v>46011.0</v>
      </c>
      <c r="D1915" s="5">
        <v>46011.0</v>
      </c>
      <c r="E1915" s="4" t="s">
        <v>6258</v>
      </c>
      <c r="F1915" s="9"/>
      <c r="G1915" s="6"/>
      <c r="H1915" s="7">
        <v>300.0</v>
      </c>
      <c r="I1915" s="11">
        <v>19042.53</v>
      </c>
      <c r="K1915" s="12" t="str">
        <f t="shared" si="246"/>
        <v>KN3817</v>
      </c>
      <c r="L1915" s="2" t="s">
        <v>6259</v>
      </c>
      <c r="M1915" s="2" t="s">
        <v>24</v>
      </c>
      <c r="N1915" s="2" t="s">
        <v>60</v>
      </c>
      <c r="O1915" s="2">
        <v>1.10751038E8</v>
      </c>
      <c r="P1915" s="15"/>
      <c r="Q1915" s="8">
        <v>2025.0</v>
      </c>
      <c r="R1915" s="8" t="s">
        <v>5275</v>
      </c>
    </row>
    <row r="1916">
      <c r="A1916" s="4" t="s">
        <v>18</v>
      </c>
      <c r="B1916" s="2" t="s">
        <v>6260</v>
      </c>
      <c r="C1916" s="5">
        <v>46011.0</v>
      </c>
      <c r="D1916" s="5">
        <v>46011.0</v>
      </c>
      <c r="E1916" s="4" t="s">
        <v>6261</v>
      </c>
      <c r="F1916" s="9"/>
      <c r="G1916" s="6"/>
      <c r="H1916" s="11">
        <v>1048.0</v>
      </c>
      <c r="I1916" s="11">
        <v>20090.53</v>
      </c>
      <c r="K1916" s="12" t="str">
        <f t="shared" si="246"/>
        <v>UN3668</v>
      </c>
      <c r="L1916" s="21" t="s">
        <v>6262</v>
      </c>
      <c r="M1916" s="2" t="s">
        <v>24</v>
      </c>
      <c r="N1916" s="2" t="s">
        <v>60</v>
      </c>
      <c r="O1916" s="2">
        <v>1.10751038E8</v>
      </c>
      <c r="P1916" s="15"/>
      <c r="Q1916" s="8">
        <v>2025.0</v>
      </c>
      <c r="R1916" s="8" t="s">
        <v>5275</v>
      </c>
    </row>
    <row r="1917">
      <c r="A1917" s="4" t="s">
        <v>18</v>
      </c>
      <c r="B1917" s="2" t="s">
        <v>6263</v>
      </c>
      <c r="C1917" s="5">
        <v>46011.0</v>
      </c>
      <c r="D1917" s="5">
        <v>46011.0</v>
      </c>
      <c r="E1917" s="4" t="s">
        <v>6264</v>
      </c>
      <c r="F1917" s="9"/>
      <c r="G1917" s="6"/>
      <c r="H1917" s="7">
        <v>400.0</v>
      </c>
      <c r="I1917" s="11">
        <v>20490.53</v>
      </c>
      <c r="K1917" s="12" t="str">
        <f t="shared" si="246"/>
        <v>KN3817</v>
      </c>
      <c r="L1917" s="2" t="s">
        <v>3431</v>
      </c>
      <c r="M1917" s="2" t="s">
        <v>24</v>
      </c>
      <c r="N1917" s="2" t="s">
        <v>60</v>
      </c>
      <c r="O1917" s="2">
        <v>1.10751038E8</v>
      </c>
      <c r="P1917" s="15"/>
      <c r="Q1917" s="8">
        <v>2025.0</v>
      </c>
      <c r="R1917" s="8" t="s">
        <v>5275</v>
      </c>
    </row>
    <row r="1918">
      <c r="A1918" s="4" t="s">
        <v>18</v>
      </c>
      <c r="B1918" s="2" t="s">
        <v>6265</v>
      </c>
      <c r="C1918" s="5">
        <v>46012.0</v>
      </c>
      <c r="D1918" s="5">
        <v>46012.0</v>
      </c>
      <c r="E1918" s="4" t="s">
        <v>6266</v>
      </c>
      <c r="F1918" s="9"/>
      <c r="G1918" s="11">
        <v>4000.0</v>
      </c>
      <c r="H1918" s="6"/>
      <c r="I1918" s="11">
        <v>16490.53</v>
      </c>
      <c r="K1918" s="2" t="s">
        <v>23</v>
      </c>
      <c r="M1918" s="2" t="s">
        <v>114</v>
      </c>
      <c r="N1918" s="2" t="s">
        <v>1835</v>
      </c>
      <c r="O1918" s="2">
        <v>1.10751038E8</v>
      </c>
      <c r="Q1918" s="8">
        <v>2025.0</v>
      </c>
      <c r="R1918" s="8" t="s">
        <v>5275</v>
      </c>
    </row>
    <row r="1919">
      <c r="A1919" s="4" t="s">
        <v>18</v>
      </c>
      <c r="B1919" s="2" t="s">
        <v>6267</v>
      </c>
      <c r="C1919" s="5">
        <v>46012.0</v>
      </c>
      <c r="D1919" s="5">
        <v>46012.0</v>
      </c>
      <c r="E1919" s="4" t="s">
        <v>6268</v>
      </c>
      <c r="F1919" s="9"/>
      <c r="G1919" s="6"/>
      <c r="H1919" s="11">
        <v>2757.0</v>
      </c>
      <c r="I1919" s="11">
        <v>19247.53</v>
      </c>
      <c r="K1919" s="12" t="str">
        <f t="shared" ref="K1919:K1920" si="247">RIGHT(E1919,6)</f>
        <v>SL1610</v>
      </c>
      <c r="L1919" s="2" t="s">
        <v>6269</v>
      </c>
      <c r="M1919" s="2" t="s">
        <v>24</v>
      </c>
      <c r="N1919" s="2" t="s">
        <v>60</v>
      </c>
      <c r="O1919" s="2">
        <v>1.10751038E8</v>
      </c>
      <c r="P1919" s="15"/>
      <c r="Q1919" s="8">
        <v>2025.0</v>
      </c>
      <c r="R1919" s="8" t="s">
        <v>5275</v>
      </c>
    </row>
    <row r="1920">
      <c r="A1920" s="4" t="s">
        <v>18</v>
      </c>
      <c r="B1920" s="2" t="s">
        <v>6270</v>
      </c>
      <c r="C1920" s="5">
        <v>46012.0</v>
      </c>
      <c r="D1920" s="5">
        <v>46012.0</v>
      </c>
      <c r="E1920" s="4" t="s">
        <v>6271</v>
      </c>
      <c r="F1920" s="9"/>
      <c r="G1920" s="6"/>
      <c r="H1920" s="11">
        <v>1435.0</v>
      </c>
      <c r="I1920" s="11">
        <v>20682.53</v>
      </c>
      <c r="K1920" s="12" t="str">
        <f t="shared" si="247"/>
        <v>UN3668</v>
      </c>
      <c r="L1920" s="21" t="s">
        <v>6272</v>
      </c>
      <c r="M1920" s="2" t="s">
        <v>24</v>
      </c>
      <c r="N1920" s="2" t="s">
        <v>60</v>
      </c>
      <c r="O1920" s="2">
        <v>1.10751038E8</v>
      </c>
      <c r="P1920" s="15"/>
      <c r="Q1920" s="8">
        <v>2025.0</v>
      </c>
      <c r="R1920" s="8" t="s">
        <v>5275</v>
      </c>
    </row>
    <row r="1921">
      <c r="A1921" s="4" t="s">
        <v>18</v>
      </c>
      <c r="B1921" s="2" t="s">
        <v>6273</v>
      </c>
      <c r="C1921" s="5">
        <v>46012.0</v>
      </c>
      <c r="D1921" s="5">
        <v>46012.0</v>
      </c>
      <c r="E1921" s="4" t="s">
        <v>6274</v>
      </c>
      <c r="F1921" s="9"/>
      <c r="G1921" s="11">
        <v>14739.0</v>
      </c>
      <c r="H1921" s="6"/>
      <c r="I1921" s="11">
        <v>5943.53</v>
      </c>
      <c r="K1921" s="2" t="s">
        <v>127</v>
      </c>
      <c r="M1921" s="2" t="s">
        <v>114</v>
      </c>
      <c r="N1921" s="2" t="s">
        <v>478</v>
      </c>
      <c r="O1921" s="2">
        <v>1.10751038E8</v>
      </c>
      <c r="Q1921" s="8">
        <v>2025.0</v>
      </c>
      <c r="R1921" s="8" t="s">
        <v>5275</v>
      </c>
    </row>
    <row r="1922">
      <c r="A1922" s="4" t="s">
        <v>18</v>
      </c>
      <c r="B1922" s="2" t="s">
        <v>6275</v>
      </c>
      <c r="C1922" s="5">
        <v>46012.0</v>
      </c>
      <c r="D1922" s="5">
        <v>46012.0</v>
      </c>
      <c r="E1922" s="4" t="s">
        <v>6276</v>
      </c>
      <c r="F1922" s="9"/>
      <c r="G1922" s="6"/>
      <c r="H1922" s="11">
        <v>2776.0</v>
      </c>
      <c r="I1922" s="11">
        <v>8719.53</v>
      </c>
      <c r="K1922" s="12" t="str">
        <f t="shared" ref="K1922:K1927" si="248">RIGHT(E1922,6)</f>
        <v>UN3668</v>
      </c>
      <c r="L1922" s="21" t="s">
        <v>6277</v>
      </c>
      <c r="M1922" s="2" t="s">
        <v>24</v>
      </c>
      <c r="N1922" s="2" t="s">
        <v>60</v>
      </c>
      <c r="O1922" s="2">
        <v>1.10751038E8</v>
      </c>
      <c r="P1922" s="15"/>
      <c r="Q1922" s="8">
        <v>2025.0</v>
      </c>
      <c r="R1922" s="8" t="s">
        <v>5275</v>
      </c>
    </row>
    <row r="1923">
      <c r="A1923" s="4" t="s">
        <v>18</v>
      </c>
      <c r="B1923" s="2" t="s">
        <v>6278</v>
      </c>
      <c r="C1923" s="5">
        <v>46012.0</v>
      </c>
      <c r="D1923" s="5">
        <v>46012.0</v>
      </c>
      <c r="E1923" s="4" t="s">
        <v>6279</v>
      </c>
      <c r="F1923" s="9"/>
      <c r="G1923" s="6"/>
      <c r="H1923" s="7">
        <v>396.0</v>
      </c>
      <c r="I1923" s="11">
        <v>9115.53</v>
      </c>
      <c r="K1923" s="12" t="str">
        <f t="shared" si="248"/>
        <v>UN3668</v>
      </c>
      <c r="L1923" s="21" t="s">
        <v>6280</v>
      </c>
      <c r="M1923" s="2" t="s">
        <v>24</v>
      </c>
      <c r="N1923" s="2" t="s">
        <v>60</v>
      </c>
      <c r="O1923" s="2">
        <v>1.10751038E8</v>
      </c>
      <c r="P1923" s="15"/>
      <c r="Q1923" s="8">
        <v>2025.0</v>
      </c>
      <c r="R1923" s="8" t="s">
        <v>5275</v>
      </c>
    </row>
    <row r="1924">
      <c r="A1924" s="4" t="s">
        <v>18</v>
      </c>
      <c r="B1924" s="2" t="s">
        <v>6281</v>
      </c>
      <c r="C1924" s="5">
        <v>46012.0</v>
      </c>
      <c r="D1924" s="5">
        <v>46012.0</v>
      </c>
      <c r="E1924" s="4" t="s">
        <v>6282</v>
      </c>
      <c r="F1924" s="9"/>
      <c r="G1924" s="6"/>
      <c r="H1924" s="7">
        <v>320.0</v>
      </c>
      <c r="I1924" s="11">
        <v>9435.53</v>
      </c>
      <c r="K1924" s="12" t="str">
        <f t="shared" si="248"/>
        <v>UN3668</v>
      </c>
      <c r="L1924" s="21" t="s">
        <v>6283</v>
      </c>
      <c r="M1924" s="2" t="s">
        <v>24</v>
      </c>
      <c r="N1924" s="2" t="s">
        <v>60</v>
      </c>
      <c r="O1924" s="2">
        <v>1.10751038E8</v>
      </c>
      <c r="P1924" s="15"/>
      <c r="Q1924" s="8">
        <v>2025.0</v>
      </c>
      <c r="R1924" s="8" t="s">
        <v>5275</v>
      </c>
    </row>
    <row r="1925">
      <c r="A1925" s="4" t="s">
        <v>18</v>
      </c>
      <c r="B1925" s="2" t="s">
        <v>6284</v>
      </c>
      <c r="C1925" s="5">
        <v>46012.0</v>
      </c>
      <c r="D1925" s="5">
        <v>46012.0</v>
      </c>
      <c r="E1925" s="4" t="s">
        <v>6285</v>
      </c>
      <c r="F1925" s="9"/>
      <c r="G1925" s="6"/>
      <c r="H1925" s="7">
        <v>411.0</v>
      </c>
      <c r="I1925" s="11">
        <v>9846.53</v>
      </c>
      <c r="K1925" s="12" t="str">
        <f t="shared" si="248"/>
        <v>SL1610</v>
      </c>
      <c r="L1925" s="2" t="s">
        <v>6286</v>
      </c>
      <c r="M1925" s="2" t="s">
        <v>24</v>
      </c>
      <c r="N1925" s="2" t="s">
        <v>60</v>
      </c>
      <c r="O1925" s="2">
        <v>1.10751038E8</v>
      </c>
      <c r="P1925" s="15"/>
      <c r="Q1925" s="8">
        <v>2025.0</v>
      </c>
      <c r="R1925" s="8" t="s">
        <v>5275</v>
      </c>
    </row>
    <row r="1926">
      <c r="A1926" s="4" t="s">
        <v>18</v>
      </c>
      <c r="B1926" s="2" t="s">
        <v>6287</v>
      </c>
      <c r="C1926" s="5">
        <v>46012.0</v>
      </c>
      <c r="D1926" s="5">
        <v>46012.0</v>
      </c>
      <c r="E1926" s="4" t="s">
        <v>6288</v>
      </c>
      <c r="F1926" s="9"/>
      <c r="G1926" s="6"/>
      <c r="H1926" s="7">
        <v>420.0</v>
      </c>
      <c r="I1926" s="11">
        <v>10266.53</v>
      </c>
      <c r="K1926" s="12" t="str">
        <f t="shared" si="248"/>
        <v>SC3567</v>
      </c>
      <c r="M1926" s="2" t="s">
        <v>24</v>
      </c>
      <c r="N1926" s="2" t="s">
        <v>60</v>
      </c>
      <c r="O1926" s="2">
        <v>1.10751038E8</v>
      </c>
      <c r="P1926" s="15" t="str">
        <f>IFERROR(__xludf.DUMMYFUNCTION("CONCATENATE(B1926,"", "", to_text(D1926),"", "", E1926,"", "", H1926)"),"TSV-11-0782, 21-Dec-2025, UPI/CR/572136337301/OJASWIN /PUNB/ojaswin/SC3567, 420")</f>
        <v>TSV-11-0782, 21-Dec-2025, UPI/CR/572136337301/OJASWIN /PUNB/ojaswin/SC3567, 420</v>
      </c>
      <c r="Q1926" s="8">
        <v>2025.0</v>
      </c>
      <c r="R1926" s="8" t="s">
        <v>5275</v>
      </c>
    </row>
    <row r="1927">
      <c r="A1927" s="4" t="s">
        <v>18</v>
      </c>
      <c r="B1927" s="2" t="s">
        <v>6289</v>
      </c>
      <c r="C1927" s="5">
        <v>46012.0</v>
      </c>
      <c r="D1927" s="5">
        <v>46012.0</v>
      </c>
      <c r="E1927" s="4" t="s">
        <v>6290</v>
      </c>
      <c r="F1927" s="9"/>
      <c r="G1927" s="6"/>
      <c r="H1927" s="7">
        <v>140.0</v>
      </c>
      <c r="I1927" s="11">
        <v>10406.53</v>
      </c>
      <c r="K1927" s="12" t="str">
        <f t="shared" si="248"/>
        <v>KN3817</v>
      </c>
      <c r="L1927" s="2" t="s">
        <v>6291</v>
      </c>
      <c r="M1927" s="2" t="s">
        <v>24</v>
      </c>
      <c r="N1927" s="2" t="s">
        <v>60</v>
      </c>
      <c r="O1927" s="2">
        <v>1.10751038E8</v>
      </c>
      <c r="P1927" s="15"/>
      <c r="Q1927" s="8">
        <v>2025.0</v>
      </c>
      <c r="R1927" s="8" t="s">
        <v>5275</v>
      </c>
    </row>
    <row r="1928">
      <c r="A1928" s="4" t="s">
        <v>18</v>
      </c>
      <c r="B1928" s="2" t="s">
        <v>6292</v>
      </c>
      <c r="C1928" s="5">
        <v>46012.0</v>
      </c>
      <c r="D1928" s="5">
        <v>46012.0</v>
      </c>
      <c r="E1928" s="4" t="s">
        <v>6293</v>
      </c>
      <c r="F1928" s="9"/>
      <c r="G1928" s="7">
        <v>250.0</v>
      </c>
      <c r="H1928" s="6"/>
      <c r="I1928" s="11">
        <v>10156.53</v>
      </c>
      <c r="K1928" s="2" t="s">
        <v>123</v>
      </c>
      <c r="M1928" s="2" t="s">
        <v>114</v>
      </c>
      <c r="N1928" s="2" t="s">
        <v>478</v>
      </c>
      <c r="O1928" s="2">
        <v>1.10751038E8</v>
      </c>
      <c r="Q1928" s="8">
        <v>2025.0</v>
      </c>
      <c r="R1928" s="8" t="s">
        <v>5275</v>
      </c>
    </row>
    <row r="1929">
      <c r="A1929" s="4" t="s">
        <v>18</v>
      </c>
      <c r="B1929" s="2" t="s">
        <v>6294</v>
      </c>
      <c r="C1929" s="5">
        <v>46012.0</v>
      </c>
      <c r="D1929" s="5">
        <v>46012.0</v>
      </c>
      <c r="E1929" s="4" t="s">
        <v>6295</v>
      </c>
      <c r="F1929" s="9"/>
      <c r="G1929" s="11">
        <v>1603.0</v>
      </c>
      <c r="H1929" s="6"/>
      <c r="I1929" s="11">
        <v>8553.53</v>
      </c>
      <c r="K1929" s="2" t="s">
        <v>119</v>
      </c>
      <c r="M1929" s="2" t="s">
        <v>114</v>
      </c>
      <c r="N1929" s="2" t="s">
        <v>1800</v>
      </c>
      <c r="O1929" s="2">
        <v>1.10751038E8</v>
      </c>
      <c r="Q1929" s="8">
        <v>2025.0</v>
      </c>
      <c r="R1929" s="8" t="s">
        <v>5275</v>
      </c>
    </row>
    <row r="1930">
      <c r="A1930" s="4" t="s">
        <v>18</v>
      </c>
      <c r="B1930" s="2" t="s">
        <v>6296</v>
      </c>
      <c r="C1930" s="5">
        <v>46012.0</v>
      </c>
      <c r="D1930" s="5">
        <v>46012.0</v>
      </c>
      <c r="E1930" s="4" t="s">
        <v>6297</v>
      </c>
      <c r="F1930" s="9"/>
      <c r="G1930" s="6"/>
      <c r="H1930" s="7">
        <v>853.0</v>
      </c>
      <c r="I1930" s="11">
        <v>9406.53</v>
      </c>
      <c r="K1930" s="12" t="str">
        <f t="shared" ref="K1930:K1938" si="249">RIGHT(E1930,6)</f>
        <v>SC3567</v>
      </c>
      <c r="M1930" s="2" t="s">
        <v>24</v>
      </c>
      <c r="N1930" s="2" t="s">
        <v>60</v>
      </c>
      <c r="O1930" s="2">
        <v>1.10751038E8</v>
      </c>
      <c r="P1930" s="15" t="str">
        <f>IFERROR(__xludf.DUMMYFUNCTION("CONCATENATE(B1930,"", "", to_text(D1930),"", "", E1930,"", "", H1930)"),"TSV-11-0786, 21-Dec-2025, UPI/CR/535515361543/RITVIK S/SBIN/ritsin2/SC3567, 853")</f>
        <v>TSV-11-0786, 21-Dec-2025, UPI/CR/535515361543/RITVIK S/SBIN/ritsin2/SC3567, 853</v>
      </c>
      <c r="Q1930" s="8">
        <v>2025.0</v>
      </c>
      <c r="R1930" s="8" t="s">
        <v>5275</v>
      </c>
    </row>
    <row r="1931">
      <c r="A1931" s="4" t="s">
        <v>18</v>
      </c>
      <c r="B1931" s="2" t="s">
        <v>6298</v>
      </c>
      <c r="C1931" s="5">
        <v>46012.0</v>
      </c>
      <c r="D1931" s="5">
        <v>46012.0</v>
      </c>
      <c r="E1931" s="4" t="s">
        <v>6299</v>
      </c>
      <c r="F1931" s="9"/>
      <c r="G1931" s="6"/>
      <c r="H1931" s="7">
        <v>450.0</v>
      </c>
      <c r="I1931" s="11">
        <v>9856.53</v>
      </c>
      <c r="K1931" s="12" t="str">
        <f t="shared" si="249"/>
        <v>SC3567</v>
      </c>
      <c r="M1931" s="2" t="s">
        <v>24</v>
      </c>
      <c r="N1931" s="2" t="s">
        <v>60</v>
      </c>
      <c r="O1931" s="2">
        <v>1.10751038E8</v>
      </c>
      <c r="P1931" s="15" t="str">
        <f>IFERROR(__xludf.DUMMYFUNCTION("CONCATENATE(B1931,"", "", to_text(D1931),"", "", E1931,"", "", H1931)"),"TSV-11-0787, 21-Dec-2025, UPI/CR/572102568653/SHILPI /SBIN/8750977/SC3567, 450")</f>
        <v>TSV-11-0787, 21-Dec-2025, UPI/CR/572102568653/SHILPI /SBIN/8750977/SC3567, 450</v>
      </c>
      <c r="Q1931" s="8">
        <v>2025.0</v>
      </c>
      <c r="R1931" s="8" t="s">
        <v>5275</v>
      </c>
    </row>
    <row r="1932">
      <c r="A1932" s="4" t="s">
        <v>18</v>
      </c>
      <c r="B1932" s="2" t="s">
        <v>6300</v>
      </c>
      <c r="C1932" s="5">
        <v>46012.0</v>
      </c>
      <c r="D1932" s="5">
        <v>46012.0</v>
      </c>
      <c r="E1932" s="4" t="s">
        <v>6301</v>
      </c>
      <c r="F1932" s="9"/>
      <c r="G1932" s="6"/>
      <c r="H1932" s="11">
        <v>1130.0</v>
      </c>
      <c r="I1932" s="11">
        <v>10986.53</v>
      </c>
      <c r="K1932" s="12" t="str">
        <f t="shared" si="249"/>
        <v>SL1610</v>
      </c>
      <c r="L1932" s="2" t="s">
        <v>6302</v>
      </c>
      <c r="M1932" s="2" t="s">
        <v>24</v>
      </c>
      <c r="N1932" s="2" t="s">
        <v>60</v>
      </c>
      <c r="O1932" s="2">
        <v>1.10751038E8</v>
      </c>
      <c r="P1932" s="15"/>
      <c r="Q1932" s="8">
        <v>2025.0</v>
      </c>
      <c r="R1932" s="8" t="s">
        <v>5275</v>
      </c>
    </row>
    <row r="1933">
      <c r="A1933" s="4" t="s">
        <v>18</v>
      </c>
      <c r="B1933" s="2" t="s">
        <v>6303</v>
      </c>
      <c r="C1933" s="5">
        <v>46012.0</v>
      </c>
      <c r="D1933" s="5">
        <v>46012.0</v>
      </c>
      <c r="E1933" s="4" t="s">
        <v>6304</v>
      </c>
      <c r="F1933" s="9"/>
      <c r="G1933" s="6"/>
      <c r="H1933" s="7">
        <v>222.0</v>
      </c>
      <c r="I1933" s="11">
        <v>11208.53</v>
      </c>
      <c r="K1933" s="12" t="str">
        <f t="shared" si="249"/>
        <v>SL1610</v>
      </c>
      <c r="L1933" s="2" t="s">
        <v>6305</v>
      </c>
      <c r="M1933" s="2" t="s">
        <v>24</v>
      </c>
      <c r="N1933" s="2" t="s">
        <v>60</v>
      </c>
      <c r="O1933" s="2">
        <v>1.10751038E8</v>
      </c>
      <c r="P1933" s="15"/>
      <c r="Q1933" s="8">
        <v>2025.0</v>
      </c>
      <c r="R1933" s="8" t="s">
        <v>5275</v>
      </c>
    </row>
    <row r="1934">
      <c r="A1934" s="4" t="s">
        <v>18</v>
      </c>
      <c r="B1934" s="2" t="s">
        <v>6306</v>
      </c>
      <c r="C1934" s="5">
        <v>46012.0</v>
      </c>
      <c r="D1934" s="5">
        <v>46012.0</v>
      </c>
      <c r="E1934" s="4" t="s">
        <v>6307</v>
      </c>
      <c r="F1934" s="9"/>
      <c r="G1934" s="6"/>
      <c r="H1934" s="7">
        <v>250.0</v>
      </c>
      <c r="I1934" s="11">
        <v>11458.53</v>
      </c>
      <c r="K1934" s="12" t="str">
        <f t="shared" si="249"/>
        <v>KN3817</v>
      </c>
      <c r="L1934" s="2" t="s">
        <v>6308</v>
      </c>
      <c r="M1934" s="2" t="s">
        <v>24</v>
      </c>
      <c r="N1934" s="2" t="s">
        <v>60</v>
      </c>
      <c r="O1934" s="2">
        <v>1.10751038E8</v>
      </c>
      <c r="P1934" s="15"/>
      <c r="Q1934" s="8">
        <v>2025.0</v>
      </c>
      <c r="R1934" s="8" t="s">
        <v>5275</v>
      </c>
    </row>
    <row r="1935">
      <c r="A1935" s="4" t="s">
        <v>18</v>
      </c>
      <c r="B1935" s="2" t="s">
        <v>6309</v>
      </c>
      <c r="C1935" s="5">
        <v>46012.0</v>
      </c>
      <c r="D1935" s="5">
        <v>46012.0</v>
      </c>
      <c r="E1935" s="4" t="s">
        <v>6310</v>
      </c>
      <c r="F1935" s="9"/>
      <c r="G1935" s="6"/>
      <c r="H1935" s="7">
        <v>792.0</v>
      </c>
      <c r="I1935" s="11">
        <v>12250.53</v>
      </c>
      <c r="K1935" s="12" t="str">
        <f t="shared" si="249"/>
        <v>UN3668</v>
      </c>
      <c r="L1935" s="21" t="s">
        <v>6311</v>
      </c>
      <c r="M1935" s="2" t="s">
        <v>24</v>
      </c>
      <c r="N1935" s="2" t="s">
        <v>60</v>
      </c>
      <c r="O1935" s="2">
        <v>1.10751038E8</v>
      </c>
      <c r="P1935" s="15"/>
      <c r="Q1935" s="8">
        <v>2025.0</v>
      </c>
      <c r="R1935" s="8" t="s">
        <v>5275</v>
      </c>
    </row>
    <row r="1936">
      <c r="A1936" s="4" t="s">
        <v>18</v>
      </c>
      <c r="B1936" s="2" t="s">
        <v>6312</v>
      </c>
      <c r="C1936" s="5">
        <v>46012.0</v>
      </c>
      <c r="D1936" s="5">
        <v>46012.0</v>
      </c>
      <c r="E1936" s="4" t="s">
        <v>6313</v>
      </c>
      <c r="F1936" s="9"/>
      <c r="G1936" s="6"/>
      <c r="H1936" s="7">
        <v>390.0</v>
      </c>
      <c r="I1936" s="11">
        <v>12640.53</v>
      </c>
      <c r="K1936" s="12" t="str">
        <f t="shared" si="249"/>
        <v>KN3817</v>
      </c>
      <c r="L1936" s="2" t="s">
        <v>6314</v>
      </c>
      <c r="M1936" s="2" t="s">
        <v>24</v>
      </c>
      <c r="N1936" s="2" t="s">
        <v>60</v>
      </c>
      <c r="O1936" s="2">
        <v>1.10751038E8</v>
      </c>
      <c r="P1936" s="15"/>
      <c r="Q1936" s="8">
        <v>2025.0</v>
      </c>
      <c r="R1936" s="8" t="s">
        <v>5275</v>
      </c>
    </row>
    <row r="1937">
      <c r="A1937" s="4" t="s">
        <v>18</v>
      </c>
      <c r="B1937" s="2" t="s">
        <v>6315</v>
      </c>
      <c r="C1937" s="5">
        <v>46012.0</v>
      </c>
      <c r="D1937" s="5">
        <v>46012.0</v>
      </c>
      <c r="E1937" s="4" t="s">
        <v>6316</v>
      </c>
      <c r="F1937" s="9"/>
      <c r="G1937" s="6"/>
      <c r="H1937" s="7">
        <v>530.0</v>
      </c>
      <c r="I1937" s="11">
        <v>13170.53</v>
      </c>
      <c r="K1937" s="12" t="str">
        <f t="shared" si="249"/>
        <v>SL1610</v>
      </c>
      <c r="L1937" s="2" t="s">
        <v>6317</v>
      </c>
      <c r="M1937" s="2" t="s">
        <v>24</v>
      </c>
      <c r="N1937" s="2" t="s">
        <v>60</v>
      </c>
      <c r="O1937" s="2">
        <v>1.10751038E8</v>
      </c>
      <c r="P1937" s="15"/>
      <c r="Q1937" s="8">
        <v>2025.0</v>
      </c>
      <c r="R1937" s="8" t="s">
        <v>5275</v>
      </c>
    </row>
    <row r="1938">
      <c r="A1938" s="4" t="s">
        <v>18</v>
      </c>
      <c r="B1938" s="2" t="s">
        <v>6318</v>
      </c>
      <c r="C1938" s="5">
        <v>46012.0</v>
      </c>
      <c r="D1938" s="5">
        <v>46012.0</v>
      </c>
      <c r="E1938" s="4" t="s">
        <v>6319</v>
      </c>
      <c r="F1938" s="9"/>
      <c r="G1938" s="6"/>
      <c r="H1938" s="7">
        <v>1.0</v>
      </c>
      <c r="I1938" s="11">
        <v>13171.53</v>
      </c>
      <c r="K1938" s="12" t="str">
        <f t="shared" si="249"/>
        <v>SL1610</v>
      </c>
      <c r="L1938" s="2" t="s">
        <v>1497</v>
      </c>
      <c r="M1938" s="2" t="s">
        <v>24</v>
      </c>
      <c r="N1938" s="2" t="s">
        <v>60</v>
      </c>
      <c r="O1938" s="2">
        <v>1.10751038E8</v>
      </c>
      <c r="P1938" s="15"/>
      <c r="Q1938" s="8">
        <v>2025.0</v>
      </c>
      <c r="R1938" s="8" t="s">
        <v>5275</v>
      </c>
    </row>
    <row r="1939">
      <c r="A1939" s="4" t="s">
        <v>18</v>
      </c>
      <c r="B1939" s="2" t="s">
        <v>6320</v>
      </c>
      <c r="C1939" s="5">
        <v>46012.0</v>
      </c>
      <c r="D1939" s="5">
        <v>46012.0</v>
      </c>
      <c r="E1939" s="4" t="s">
        <v>6321</v>
      </c>
      <c r="F1939" s="9"/>
      <c r="G1939" s="6"/>
      <c r="H1939" s="11">
        <v>3000.0</v>
      </c>
      <c r="I1939" s="11">
        <v>16171.53</v>
      </c>
      <c r="K1939" s="2" t="s">
        <v>113</v>
      </c>
      <c r="L1939" s="2" t="s">
        <v>6322</v>
      </c>
      <c r="M1939" s="2" t="s">
        <v>24</v>
      </c>
      <c r="N1939" s="2" t="s">
        <v>60</v>
      </c>
      <c r="O1939" s="2">
        <v>1.10751038E8</v>
      </c>
      <c r="P1939" s="15"/>
      <c r="Q1939" s="8">
        <v>2025.0</v>
      </c>
      <c r="R1939" s="8" t="s">
        <v>5275</v>
      </c>
    </row>
    <row r="1940">
      <c r="A1940" s="4" t="s">
        <v>18</v>
      </c>
      <c r="B1940" s="2" t="s">
        <v>6323</v>
      </c>
      <c r="C1940" s="5">
        <v>46012.0</v>
      </c>
      <c r="D1940" s="5">
        <v>46012.0</v>
      </c>
      <c r="E1940" s="4" t="s">
        <v>6324</v>
      </c>
      <c r="F1940" s="9"/>
      <c r="G1940" s="6"/>
      <c r="H1940" s="7">
        <v>307.0</v>
      </c>
      <c r="I1940" s="11">
        <v>16478.53</v>
      </c>
      <c r="K1940" s="12" t="str">
        <f t="shared" ref="K1940:K1941" si="250">RIGHT(E1940,6)</f>
        <v>SL1610</v>
      </c>
      <c r="L1940" s="2" t="s">
        <v>6325</v>
      </c>
      <c r="M1940" s="2" t="s">
        <v>24</v>
      </c>
      <c r="N1940" s="2" t="s">
        <v>60</v>
      </c>
      <c r="O1940" s="2">
        <v>1.10751038E8</v>
      </c>
      <c r="P1940" s="15"/>
      <c r="Q1940" s="8">
        <v>2025.0</v>
      </c>
      <c r="R1940" s="8" t="s">
        <v>5275</v>
      </c>
    </row>
    <row r="1941">
      <c r="A1941" s="4" t="s">
        <v>18</v>
      </c>
      <c r="B1941" s="2" t="s">
        <v>6326</v>
      </c>
      <c r="C1941" s="5">
        <v>46012.0</v>
      </c>
      <c r="D1941" s="5">
        <v>46012.0</v>
      </c>
      <c r="E1941" s="4" t="s">
        <v>6327</v>
      </c>
      <c r="F1941" s="9"/>
      <c r="G1941" s="6"/>
      <c r="H1941" s="11">
        <v>1750.0</v>
      </c>
      <c r="I1941" s="11">
        <v>18228.53</v>
      </c>
      <c r="K1941" s="12" t="str">
        <f t="shared" si="250"/>
        <v>KN3817</v>
      </c>
      <c r="L1941" s="2" t="s">
        <v>6328</v>
      </c>
      <c r="M1941" s="2" t="s">
        <v>24</v>
      </c>
      <c r="N1941" s="2" t="s">
        <v>60</v>
      </c>
      <c r="O1941" s="2">
        <v>1.10751038E8</v>
      </c>
      <c r="P1941" s="15"/>
      <c r="Q1941" s="8">
        <v>2025.0</v>
      </c>
      <c r="R1941" s="8" t="s">
        <v>5275</v>
      </c>
    </row>
    <row r="1942">
      <c r="A1942" s="4" t="s">
        <v>18</v>
      </c>
      <c r="B1942" s="2" t="s">
        <v>6329</v>
      </c>
      <c r="C1942" s="5">
        <v>46012.0</v>
      </c>
      <c r="D1942" s="5">
        <v>46012.0</v>
      </c>
      <c r="E1942" s="4" t="s">
        <v>6330</v>
      </c>
      <c r="F1942" s="9"/>
      <c r="G1942" s="7">
        <v>784.0</v>
      </c>
      <c r="H1942" s="6"/>
      <c r="I1942" s="11">
        <v>17444.53</v>
      </c>
      <c r="K1942" s="2" t="s">
        <v>113</v>
      </c>
      <c r="M1942" s="2" t="s">
        <v>114</v>
      </c>
      <c r="N1942" s="2" t="s">
        <v>2883</v>
      </c>
      <c r="O1942" s="2">
        <v>1.10751038E8</v>
      </c>
      <c r="Q1942" s="8">
        <v>2025.0</v>
      </c>
      <c r="R1942" s="8" t="s">
        <v>5275</v>
      </c>
    </row>
    <row r="1943">
      <c r="A1943" s="4" t="s">
        <v>18</v>
      </c>
      <c r="B1943" s="2" t="s">
        <v>6331</v>
      </c>
      <c r="C1943" s="5">
        <v>46012.0</v>
      </c>
      <c r="D1943" s="5">
        <v>46012.0</v>
      </c>
      <c r="E1943" s="4" t="s">
        <v>6332</v>
      </c>
      <c r="F1943" s="9"/>
      <c r="G1943" s="11">
        <v>1568.0</v>
      </c>
      <c r="H1943" s="6"/>
      <c r="I1943" s="11">
        <v>15876.53</v>
      </c>
      <c r="K1943" s="2" t="s">
        <v>113</v>
      </c>
      <c r="M1943" s="2" t="s">
        <v>114</v>
      </c>
      <c r="N1943" s="2" t="s">
        <v>2883</v>
      </c>
      <c r="O1943" s="2">
        <v>1.10751038E8</v>
      </c>
      <c r="Q1943" s="8">
        <v>2025.0</v>
      </c>
      <c r="R1943" s="8" t="s">
        <v>5275</v>
      </c>
    </row>
    <row r="1944">
      <c r="A1944" s="4" t="s">
        <v>18</v>
      </c>
      <c r="B1944" s="2" t="s">
        <v>6333</v>
      </c>
      <c r="C1944" s="5">
        <v>46013.0</v>
      </c>
      <c r="D1944" s="5">
        <v>46013.0</v>
      </c>
      <c r="E1944" s="4" t="s">
        <v>6334</v>
      </c>
      <c r="F1944" s="9"/>
      <c r="G1944" s="6"/>
      <c r="H1944" s="11">
        <v>1258.0</v>
      </c>
      <c r="I1944" s="11">
        <v>17134.53</v>
      </c>
      <c r="K1944" s="12" t="str">
        <f t="shared" ref="K1944:K1953" si="251">RIGHT(E1944,6)</f>
        <v>KN3817</v>
      </c>
      <c r="L1944" s="2" t="s">
        <v>3544</v>
      </c>
      <c r="M1944" s="2" t="s">
        <v>24</v>
      </c>
      <c r="N1944" s="2" t="s">
        <v>60</v>
      </c>
      <c r="O1944" s="2">
        <v>1.10751038E8</v>
      </c>
      <c r="P1944" s="15"/>
      <c r="Q1944" s="8">
        <v>2025.0</v>
      </c>
      <c r="R1944" s="8" t="s">
        <v>5275</v>
      </c>
    </row>
    <row r="1945">
      <c r="A1945" s="4" t="s">
        <v>18</v>
      </c>
      <c r="B1945" s="2" t="s">
        <v>6335</v>
      </c>
      <c r="C1945" s="5">
        <v>46013.0</v>
      </c>
      <c r="D1945" s="5">
        <v>46013.0</v>
      </c>
      <c r="E1945" s="4" t="s">
        <v>6336</v>
      </c>
      <c r="F1945" s="9"/>
      <c r="G1945" s="6"/>
      <c r="H1945" s="7">
        <v>281.0</v>
      </c>
      <c r="I1945" s="11">
        <v>17415.53</v>
      </c>
      <c r="K1945" s="12" t="str">
        <f t="shared" si="251"/>
        <v>UN3668</v>
      </c>
      <c r="L1945" s="21" t="s">
        <v>6337</v>
      </c>
      <c r="M1945" s="2" t="s">
        <v>24</v>
      </c>
      <c r="N1945" s="2" t="s">
        <v>60</v>
      </c>
      <c r="O1945" s="2">
        <v>1.10751038E8</v>
      </c>
      <c r="P1945" s="15"/>
      <c r="Q1945" s="8">
        <v>2025.0</v>
      </c>
      <c r="R1945" s="8" t="s">
        <v>5275</v>
      </c>
    </row>
    <row r="1946">
      <c r="A1946" s="4" t="s">
        <v>18</v>
      </c>
      <c r="B1946" s="2" t="s">
        <v>6338</v>
      </c>
      <c r="C1946" s="5">
        <v>46013.0</v>
      </c>
      <c r="D1946" s="5">
        <v>46013.0</v>
      </c>
      <c r="E1946" s="4" t="s">
        <v>6339</v>
      </c>
      <c r="F1946" s="9"/>
      <c r="G1946" s="6"/>
      <c r="H1946" s="7">
        <v>396.0</v>
      </c>
      <c r="I1946" s="11">
        <v>17811.53</v>
      </c>
      <c r="K1946" s="12" t="str">
        <f t="shared" si="251"/>
        <v>UN3668</v>
      </c>
      <c r="L1946" s="21" t="s">
        <v>6340</v>
      </c>
      <c r="M1946" s="2" t="s">
        <v>24</v>
      </c>
      <c r="N1946" s="2" t="s">
        <v>60</v>
      </c>
      <c r="O1946" s="2">
        <v>1.10751038E8</v>
      </c>
      <c r="P1946" s="15"/>
      <c r="Q1946" s="8">
        <v>2025.0</v>
      </c>
      <c r="R1946" s="8" t="s">
        <v>5275</v>
      </c>
    </row>
    <row r="1947">
      <c r="A1947" s="4" t="s">
        <v>18</v>
      </c>
      <c r="B1947" s="2" t="s">
        <v>6341</v>
      </c>
      <c r="C1947" s="5">
        <v>46013.0</v>
      </c>
      <c r="D1947" s="5">
        <v>46013.0</v>
      </c>
      <c r="E1947" s="4" t="s">
        <v>6342</v>
      </c>
      <c r="F1947" s="9"/>
      <c r="G1947" s="6"/>
      <c r="H1947" s="7">
        <v>708.0</v>
      </c>
      <c r="I1947" s="11">
        <v>18519.53</v>
      </c>
      <c r="K1947" s="12" t="str">
        <f t="shared" si="251"/>
        <v>UN3668</v>
      </c>
      <c r="L1947" s="21" t="s">
        <v>6343</v>
      </c>
      <c r="M1947" s="2" t="s">
        <v>24</v>
      </c>
      <c r="N1947" s="2" t="s">
        <v>60</v>
      </c>
      <c r="O1947" s="2">
        <v>1.10751038E8</v>
      </c>
      <c r="P1947" s="15"/>
      <c r="Q1947" s="8">
        <v>2025.0</v>
      </c>
      <c r="R1947" s="8" t="s">
        <v>5275</v>
      </c>
    </row>
    <row r="1948">
      <c r="A1948" s="4" t="s">
        <v>18</v>
      </c>
      <c r="B1948" s="2" t="s">
        <v>6344</v>
      </c>
      <c r="C1948" s="5">
        <v>46013.0</v>
      </c>
      <c r="D1948" s="5">
        <v>46013.0</v>
      </c>
      <c r="E1948" s="4" t="s">
        <v>6345</v>
      </c>
      <c r="F1948" s="9"/>
      <c r="G1948" s="6"/>
      <c r="H1948" s="7">
        <v>440.0</v>
      </c>
      <c r="I1948" s="11">
        <v>18959.53</v>
      </c>
      <c r="K1948" s="12" t="str">
        <f t="shared" si="251"/>
        <v>KN3817</v>
      </c>
      <c r="L1948" s="2" t="s">
        <v>6346</v>
      </c>
      <c r="M1948" s="2" t="s">
        <v>24</v>
      </c>
      <c r="N1948" s="2" t="s">
        <v>60</v>
      </c>
      <c r="O1948" s="2">
        <v>1.10751038E8</v>
      </c>
      <c r="P1948" s="15"/>
      <c r="Q1948" s="8">
        <v>2025.0</v>
      </c>
      <c r="R1948" s="8" t="s">
        <v>5275</v>
      </c>
    </row>
    <row r="1949">
      <c r="A1949" s="4" t="s">
        <v>18</v>
      </c>
      <c r="B1949" s="2" t="s">
        <v>6347</v>
      </c>
      <c r="C1949" s="5">
        <v>46013.0</v>
      </c>
      <c r="D1949" s="5">
        <v>46013.0</v>
      </c>
      <c r="E1949" s="4" t="s">
        <v>6348</v>
      </c>
      <c r="F1949" s="9"/>
      <c r="G1949" s="6"/>
      <c r="H1949" s="11">
        <v>1420.0</v>
      </c>
      <c r="I1949" s="11">
        <v>20379.53</v>
      </c>
      <c r="K1949" s="12" t="str">
        <f t="shared" si="251"/>
        <v>UN3668</v>
      </c>
      <c r="L1949" s="21" t="s">
        <v>6349</v>
      </c>
      <c r="M1949" s="2" t="s">
        <v>24</v>
      </c>
      <c r="N1949" s="2" t="s">
        <v>60</v>
      </c>
      <c r="O1949" s="2">
        <v>1.10751038E8</v>
      </c>
      <c r="P1949" s="15"/>
      <c r="Q1949" s="8">
        <v>2025.0</v>
      </c>
      <c r="R1949" s="8" t="s">
        <v>5275</v>
      </c>
    </row>
    <row r="1950">
      <c r="A1950" s="4" t="s">
        <v>18</v>
      </c>
      <c r="B1950" s="2" t="s">
        <v>6350</v>
      </c>
      <c r="C1950" s="5">
        <v>46013.0</v>
      </c>
      <c r="D1950" s="5">
        <v>46013.0</v>
      </c>
      <c r="E1950" s="4" t="s">
        <v>6351</v>
      </c>
      <c r="F1950" s="9"/>
      <c r="G1950" s="6"/>
      <c r="H1950" s="7">
        <v>470.0</v>
      </c>
      <c r="I1950" s="11">
        <v>20849.53</v>
      </c>
      <c r="K1950" s="12" t="str">
        <f t="shared" si="251"/>
        <v>UN3668</v>
      </c>
      <c r="L1950" s="21" t="s">
        <v>6352</v>
      </c>
      <c r="M1950" s="2" t="s">
        <v>24</v>
      </c>
      <c r="N1950" s="2" t="s">
        <v>60</v>
      </c>
      <c r="O1950" s="2">
        <v>1.10751038E8</v>
      </c>
      <c r="P1950" s="15"/>
      <c r="Q1950" s="8">
        <v>2025.0</v>
      </c>
      <c r="R1950" s="8" t="s">
        <v>5275</v>
      </c>
    </row>
    <row r="1951">
      <c r="A1951" s="4" t="s">
        <v>18</v>
      </c>
      <c r="B1951" s="2" t="s">
        <v>6353</v>
      </c>
      <c r="C1951" s="5">
        <v>46013.0</v>
      </c>
      <c r="D1951" s="5">
        <v>46013.0</v>
      </c>
      <c r="E1951" s="4" t="s">
        <v>6354</v>
      </c>
      <c r="F1951" s="9"/>
      <c r="G1951" s="6"/>
      <c r="H1951" s="7">
        <v>350.0</v>
      </c>
      <c r="I1951" s="11">
        <v>21199.53</v>
      </c>
      <c r="K1951" s="12" t="str">
        <f t="shared" si="251"/>
        <v>UN3668</v>
      </c>
      <c r="L1951" s="21" t="s">
        <v>6355</v>
      </c>
      <c r="M1951" s="2" t="s">
        <v>24</v>
      </c>
      <c r="N1951" s="2" t="s">
        <v>60</v>
      </c>
      <c r="O1951" s="2">
        <v>1.10751038E8</v>
      </c>
      <c r="P1951" s="15"/>
      <c r="Q1951" s="8">
        <v>2025.0</v>
      </c>
      <c r="R1951" s="8" t="s">
        <v>5275</v>
      </c>
    </row>
    <row r="1952">
      <c r="A1952" s="4" t="s">
        <v>18</v>
      </c>
      <c r="B1952" s="2" t="s">
        <v>6356</v>
      </c>
      <c r="C1952" s="5">
        <v>46013.0</v>
      </c>
      <c r="D1952" s="5">
        <v>46013.0</v>
      </c>
      <c r="E1952" s="4" t="s">
        <v>6357</v>
      </c>
      <c r="F1952" s="9"/>
      <c r="G1952" s="6"/>
      <c r="H1952" s="11">
        <v>1384.0</v>
      </c>
      <c r="I1952" s="11">
        <v>22583.53</v>
      </c>
      <c r="K1952" s="12" t="str">
        <f t="shared" si="251"/>
        <v>UN3668</v>
      </c>
      <c r="L1952" s="21" t="s">
        <v>6116</v>
      </c>
      <c r="M1952" s="2" t="s">
        <v>24</v>
      </c>
      <c r="N1952" s="2" t="s">
        <v>60</v>
      </c>
      <c r="O1952" s="2">
        <v>1.10751038E8</v>
      </c>
      <c r="P1952" s="15"/>
      <c r="Q1952" s="8">
        <v>2025.0</v>
      </c>
      <c r="R1952" s="8" t="s">
        <v>5275</v>
      </c>
    </row>
    <row r="1953">
      <c r="A1953" s="4" t="s">
        <v>18</v>
      </c>
      <c r="B1953" s="2" t="s">
        <v>6358</v>
      </c>
      <c r="C1953" s="5">
        <v>46013.0</v>
      </c>
      <c r="D1953" s="5">
        <v>46013.0</v>
      </c>
      <c r="E1953" s="4" t="s">
        <v>6359</v>
      </c>
      <c r="F1953" s="9"/>
      <c r="G1953" s="6"/>
      <c r="H1953" s="7">
        <v>475.0</v>
      </c>
      <c r="I1953" s="11">
        <v>23058.53</v>
      </c>
      <c r="K1953" s="12" t="str">
        <f t="shared" si="251"/>
        <v>UN3668</v>
      </c>
      <c r="L1953" s="21" t="s">
        <v>6360</v>
      </c>
      <c r="M1953" s="2" t="s">
        <v>24</v>
      </c>
      <c r="N1953" s="2" t="s">
        <v>60</v>
      </c>
      <c r="O1953" s="2">
        <v>1.10751038E8</v>
      </c>
      <c r="P1953" s="15"/>
      <c r="Q1953" s="8">
        <v>2025.0</v>
      </c>
      <c r="R1953" s="8" t="s">
        <v>5275</v>
      </c>
    </row>
    <row r="1954">
      <c r="A1954" s="4" t="s">
        <v>18</v>
      </c>
      <c r="B1954" s="2" t="s">
        <v>6361</v>
      </c>
      <c r="C1954" s="5">
        <v>46013.0</v>
      </c>
      <c r="D1954" s="5">
        <v>46013.0</v>
      </c>
      <c r="E1954" s="4" t="s">
        <v>6362</v>
      </c>
      <c r="F1954" s="9"/>
      <c r="G1954" s="11">
        <v>1300.0</v>
      </c>
      <c r="H1954" s="6"/>
      <c r="I1954" s="11">
        <v>21758.53</v>
      </c>
      <c r="J1954" s="2" t="s">
        <v>6363</v>
      </c>
      <c r="K1954" s="2" t="s">
        <v>119</v>
      </c>
      <c r="M1954" s="2" t="s">
        <v>114</v>
      </c>
      <c r="N1954" s="2" t="s">
        <v>3925</v>
      </c>
      <c r="O1954" s="2">
        <v>1.10751038E8</v>
      </c>
      <c r="Q1954" s="8">
        <v>2025.0</v>
      </c>
      <c r="R1954" s="8" t="s">
        <v>5275</v>
      </c>
    </row>
    <row r="1955">
      <c r="A1955" s="4" t="s">
        <v>18</v>
      </c>
      <c r="B1955" s="2" t="s">
        <v>6364</v>
      </c>
      <c r="C1955" s="5">
        <v>46013.0</v>
      </c>
      <c r="D1955" s="5">
        <v>46013.0</v>
      </c>
      <c r="E1955" s="4" t="s">
        <v>6365</v>
      </c>
      <c r="F1955" s="9"/>
      <c r="G1955" s="6"/>
      <c r="H1955" s="7">
        <v>987.0</v>
      </c>
      <c r="I1955" s="11">
        <v>22745.53</v>
      </c>
      <c r="K1955" s="12" t="str">
        <f t="shared" ref="K1955:K1961" si="252">RIGHT(E1955,6)</f>
        <v>UN3668</v>
      </c>
      <c r="L1955" s="21" t="s">
        <v>6366</v>
      </c>
      <c r="M1955" s="2" t="s">
        <v>24</v>
      </c>
      <c r="N1955" s="2" t="s">
        <v>60</v>
      </c>
      <c r="O1955" s="2">
        <v>1.10751038E8</v>
      </c>
      <c r="P1955" s="15"/>
      <c r="Q1955" s="8">
        <v>2025.0</v>
      </c>
      <c r="R1955" s="8" t="s">
        <v>5275</v>
      </c>
    </row>
    <row r="1956">
      <c r="A1956" s="4" t="s">
        <v>18</v>
      </c>
      <c r="B1956" s="2" t="s">
        <v>6367</v>
      </c>
      <c r="C1956" s="5">
        <v>46013.0</v>
      </c>
      <c r="D1956" s="5">
        <v>46013.0</v>
      </c>
      <c r="E1956" s="4" t="s">
        <v>6368</v>
      </c>
      <c r="F1956" s="9"/>
      <c r="G1956" s="6"/>
      <c r="H1956" s="7">
        <v>323.0</v>
      </c>
      <c r="I1956" s="11">
        <v>23068.53</v>
      </c>
      <c r="K1956" s="12" t="str">
        <f t="shared" si="252"/>
        <v>SC3567</v>
      </c>
      <c r="M1956" s="2" t="s">
        <v>24</v>
      </c>
      <c r="N1956" s="2" t="s">
        <v>60</v>
      </c>
      <c r="O1956" s="2">
        <v>1.10751038E8</v>
      </c>
      <c r="P1956" s="15" t="str">
        <f>IFERROR(__xludf.DUMMYFUNCTION("CONCATENATE(B1956,"", "", to_text(D1956),"", "", E1956,"", "", H1956)"),"TSV-11-0812, 22-Dec-2025, UPI/CR/116025918162/POONAM Y/HDFC/avninik/SC3567, 323")</f>
        <v>TSV-11-0812, 22-Dec-2025, UPI/CR/116025918162/POONAM Y/HDFC/avninik/SC3567, 323</v>
      </c>
      <c r="Q1956" s="8">
        <v>2025.0</v>
      </c>
      <c r="R1956" s="8" t="s">
        <v>5275</v>
      </c>
    </row>
    <row r="1957">
      <c r="A1957" s="4" t="s">
        <v>18</v>
      </c>
      <c r="B1957" s="2" t="s">
        <v>6369</v>
      </c>
      <c r="C1957" s="5">
        <v>46013.0</v>
      </c>
      <c r="D1957" s="5">
        <v>46013.0</v>
      </c>
      <c r="E1957" s="4" t="s">
        <v>6370</v>
      </c>
      <c r="F1957" s="9"/>
      <c r="G1957" s="6"/>
      <c r="H1957" s="11">
        <v>1052.0</v>
      </c>
      <c r="I1957" s="11">
        <v>24120.53</v>
      </c>
      <c r="K1957" s="12" t="str">
        <f t="shared" si="252"/>
        <v>UN3668</v>
      </c>
      <c r="L1957" s="21" t="s">
        <v>6371</v>
      </c>
      <c r="M1957" s="2" t="s">
        <v>24</v>
      </c>
      <c r="N1957" s="2" t="s">
        <v>60</v>
      </c>
      <c r="O1957" s="2">
        <v>1.10751038E8</v>
      </c>
      <c r="P1957" s="15"/>
      <c r="Q1957" s="8">
        <v>2025.0</v>
      </c>
      <c r="R1957" s="8" t="s">
        <v>5275</v>
      </c>
    </row>
    <row r="1958">
      <c r="A1958" s="4" t="s">
        <v>18</v>
      </c>
      <c r="B1958" s="2" t="s">
        <v>6372</v>
      </c>
      <c r="C1958" s="5">
        <v>46013.0</v>
      </c>
      <c r="D1958" s="5">
        <v>46013.0</v>
      </c>
      <c r="E1958" s="4" t="s">
        <v>6373</v>
      </c>
      <c r="F1958" s="9"/>
      <c r="G1958" s="6"/>
      <c r="H1958" s="7">
        <v>650.0</v>
      </c>
      <c r="I1958" s="11">
        <v>24770.53</v>
      </c>
      <c r="K1958" s="12" t="str">
        <f t="shared" si="252"/>
        <v>SC3567</v>
      </c>
      <c r="M1958" s="2" t="s">
        <v>24</v>
      </c>
      <c r="N1958" s="2" t="s">
        <v>60</v>
      </c>
      <c r="O1958" s="2">
        <v>1.10751038E8</v>
      </c>
      <c r="P1958" s="15" t="str">
        <f>IFERROR(__xludf.DUMMYFUNCTION("CONCATENATE(B1958,"", "", to_text(D1958),"", "", E1958,"", "", H1958)"),"TSV-11-0814, 22-Dec-2025, UPI/CR/696036941805/JAI SING/ICIC/9810262/SC3567, 650")</f>
        <v>TSV-11-0814, 22-Dec-2025, UPI/CR/696036941805/JAI SING/ICIC/9810262/SC3567, 650</v>
      </c>
      <c r="Q1958" s="8">
        <v>2025.0</v>
      </c>
      <c r="R1958" s="8" t="s">
        <v>5275</v>
      </c>
    </row>
    <row r="1959">
      <c r="A1959" s="4" t="s">
        <v>18</v>
      </c>
      <c r="B1959" s="2" t="s">
        <v>6374</v>
      </c>
      <c r="C1959" s="5">
        <v>46013.0</v>
      </c>
      <c r="D1959" s="5">
        <v>46013.0</v>
      </c>
      <c r="E1959" s="4" t="s">
        <v>6375</v>
      </c>
      <c r="F1959" s="9"/>
      <c r="G1959" s="6"/>
      <c r="H1959" s="7">
        <v>353.0</v>
      </c>
      <c r="I1959" s="11">
        <v>25123.53</v>
      </c>
      <c r="K1959" s="12" t="str">
        <f t="shared" si="252"/>
        <v>SC3567</v>
      </c>
      <c r="M1959" s="2" t="s">
        <v>24</v>
      </c>
      <c r="N1959" s="2" t="s">
        <v>60</v>
      </c>
      <c r="O1959" s="2">
        <v>1.10751038E8</v>
      </c>
      <c r="P1959" s="15" t="str">
        <f>IFERROR(__xludf.DUMMYFUNCTION("CONCATENATE(B1959,"", "", to_text(D1959),"", "", E1959,"", "", H1959)"),"TSV-11-0815, 22-Dec-2025, UPI/CR/535664594978/HATINDER/IOBA/9717310/SC3567, 353")</f>
        <v>TSV-11-0815, 22-Dec-2025, UPI/CR/535664594978/HATINDER/IOBA/9717310/SC3567, 353</v>
      </c>
      <c r="Q1959" s="8">
        <v>2025.0</v>
      </c>
      <c r="R1959" s="8" t="s">
        <v>5275</v>
      </c>
    </row>
    <row r="1960">
      <c r="A1960" s="4" t="s">
        <v>18</v>
      </c>
      <c r="B1960" s="2" t="s">
        <v>6376</v>
      </c>
      <c r="C1960" s="5">
        <v>46013.0</v>
      </c>
      <c r="D1960" s="5">
        <v>46013.0</v>
      </c>
      <c r="E1960" s="4" t="s">
        <v>6377</v>
      </c>
      <c r="F1960" s="9"/>
      <c r="G1960" s="6"/>
      <c r="H1960" s="11">
        <v>1352.0</v>
      </c>
      <c r="I1960" s="11">
        <v>26475.53</v>
      </c>
      <c r="K1960" s="12" t="str">
        <f t="shared" si="252"/>
        <v>UN3668</v>
      </c>
      <c r="L1960" s="21" t="s">
        <v>6378</v>
      </c>
      <c r="M1960" s="2" t="s">
        <v>24</v>
      </c>
      <c r="N1960" s="2" t="s">
        <v>60</v>
      </c>
      <c r="O1960" s="2">
        <v>1.10751038E8</v>
      </c>
      <c r="P1960" s="15"/>
      <c r="Q1960" s="8">
        <v>2025.0</v>
      </c>
      <c r="R1960" s="8" t="s">
        <v>5275</v>
      </c>
    </row>
    <row r="1961">
      <c r="A1961" s="4" t="s">
        <v>18</v>
      </c>
      <c r="B1961" s="2" t="s">
        <v>6379</v>
      </c>
      <c r="C1961" s="5">
        <v>46013.0</v>
      </c>
      <c r="D1961" s="5">
        <v>46013.0</v>
      </c>
      <c r="E1961" s="4" t="s">
        <v>6380</v>
      </c>
      <c r="F1961" s="9"/>
      <c r="G1961" s="6"/>
      <c r="H1961" s="7">
        <v>326.0</v>
      </c>
      <c r="I1961" s="11">
        <v>26801.53</v>
      </c>
      <c r="K1961" s="12" t="str">
        <f t="shared" si="252"/>
        <v>UN3668</v>
      </c>
      <c r="L1961" s="21" t="s">
        <v>6381</v>
      </c>
      <c r="M1961" s="2" t="s">
        <v>24</v>
      </c>
      <c r="N1961" s="2" t="s">
        <v>60</v>
      </c>
      <c r="O1961" s="2">
        <v>1.10751038E8</v>
      </c>
      <c r="P1961" s="15"/>
      <c r="Q1961" s="8">
        <v>2025.0</v>
      </c>
      <c r="R1961" s="8" t="s">
        <v>5275</v>
      </c>
    </row>
    <row r="1962">
      <c r="A1962" s="4" t="s">
        <v>18</v>
      </c>
      <c r="B1962" s="2" t="s">
        <v>6382</v>
      </c>
      <c r="C1962" s="5">
        <v>46013.0</v>
      </c>
      <c r="D1962" s="5">
        <v>46013.0</v>
      </c>
      <c r="E1962" s="4" t="s">
        <v>6383</v>
      </c>
      <c r="F1962" s="9"/>
      <c r="G1962" s="11">
        <v>4000.0</v>
      </c>
      <c r="H1962" s="6"/>
      <c r="I1962" s="11">
        <v>22801.53</v>
      </c>
      <c r="J1962" s="2" t="s">
        <v>5603</v>
      </c>
      <c r="K1962" s="2" t="s">
        <v>127</v>
      </c>
      <c r="M1962" s="2" t="s">
        <v>114</v>
      </c>
      <c r="N1962" s="2" t="s">
        <v>169</v>
      </c>
      <c r="O1962" s="2">
        <v>1.10751038E8</v>
      </c>
      <c r="Q1962" s="8">
        <v>2025.0</v>
      </c>
      <c r="R1962" s="8" t="s">
        <v>5275</v>
      </c>
    </row>
    <row r="1963">
      <c r="A1963" s="4" t="s">
        <v>18</v>
      </c>
      <c r="B1963" s="2" t="s">
        <v>6384</v>
      </c>
      <c r="C1963" s="5">
        <v>46014.0</v>
      </c>
      <c r="D1963" s="5">
        <v>46014.0</v>
      </c>
      <c r="E1963" s="4" t="s">
        <v>6385</v>
      </c>
      <c r="F1963" s="9"/>
      <c r="G1963" s="6"/>
      <c r="H1963" s="11">
        <v>1064.0</v>
      </c>
      <c r="I1963" s="11">
        <v>23865.53</v>
      </c>
      <c r="K1963" s="2" t="s">
        <v>539</v>
      </c>
      <c r="M1963" s="2" t="s">
        <v>24</v>
      </c>
      <c r="N1963" s="2" t="s">
        <v>60</v>
      </c>
      <c r="O1963" s="2">
        <v>1.10751038E8</v>
      </c>
      <c r="P1963" s="15" t="str">
        <f>IFERROR(__xludf.DUMMYFUNCTION("CONCATENATE(B1963,"", "", to_text(D1963),"", "", E1963,"", "", H1963)"),"TSV-11-0819, 23-Dec-2025, UPI/CR/535792983619/SANSKRIT/UTIB/sanskri/UPI, 1064")</f>
        <v>TSV-11-0819, 23-Dec-2025, UPI/CR/535792983619/SANSKRIT/UTIB/sanskri/UPI, 1064</v>
      </c>
      <c r="Q1963" s="8">
        <v>2025.0</v>
      </c>
      <c r="R1963" s="8" t="s">
        <v>5275</v>
      </c>
    </row>
    <row r="1964">
      <c r="A1964" s="4" t="s">
        <v>18</v>
      </c>
      <c r="B1964" s="2" t="s">
        <v>6386</v>
      </c>
      <c r="C1964" s="5">
        <v>46014.0</v>
      </c>
      <c r="D1964" s="5">
        <v>46014.0</v>
      </c>
      <c r="E1964" s="4" t="s">
        <v>6387</v>
      </c>
      <c r="F1964" s="9"/>
      <c r="G1964" s="6"/>
      <c r="H1964" s="11">
        <v>1176.0</v>
      </c>
      <c r="I1964" s="11">
        <v>25041.53</v>
      </c>
      <c r="K1964" s="12" t="str">
        <f t="shared" ref="K1964:K1968" si="253">RIGHT(E1964,6)</f>
        <v>KN3817</v>
      </c>
      <c r="L1964" s="2" t="s">
        <v>3442</v>
      </c>
      <c r="M1964" s="2" t="s">
        <v>24</v>
      </c>
      <c r="N1964" s="2" t="s">
        <v>60</v>
      </c>
      <c r="O1964" s="2">
        <v>1.10751038E8</v>
      </c>
      <c r="P1964" s="15"/>
      <c r="Q1964" s="8">
        <v>2025.0</v>
      </c>
      <c r="R1964" s="8" t="s">
        <v>5275</v>
      </c>
    </row>
    <row r="1965">
      <c r="A1965" s="4" t="s">
        <v>18</v>
      </c>
      <c r="B1965" s="2" t="s">
        <v>6388</v>
      </c>
      <c r="C1965" s="5">
        <v>46014.0</v>
      </c>
      <c r="D1965" s="5">
        <v>46014.0</v>
      </c>
      <c r="E1965" s="4" t="s">
        <v>6389</v>
      </c>
      <c r="F1965" s="9"/>
      <c r="G1965" s="6"/>
      <c r="H1965" s="11">
        <v>1079.0</v>
      </c>
      <c r="I1965" s="11">
        <v>26120.53</v>
      </c>
      <c r="K1965" s="12" t="str">
        <f t="shared" si="253"/>
        <v>UN3668</v>
      </c>
      <c r="L1965" s="21" t="s">
        <v>6390</v>
      </c>
      <c r="M1965" s="2" t="s">
        <v>24</v>
      </c>
      <c r="N1965" s="2" t="s">
        <v>60</v>
      </c>
      <c r="O1965" s="2">
        <v>1.10751038E8</v>
      </c>
      <c r="P1965" s="15"/>
      <c r="Q1965" s="8">
        <v>2025.0</v>
      </c>
      <c r="R1965" s="8" t="s">
        <v>5275</v>
      </c>
    </row>
    <row r="1966">
      <c r="A1966" s="4" t="s">
        <v>18</v>
      </c>
      <c r="B1966" s="2" t="s">
        <v>6391</v>
      </c>
      <c r="C1966" s="5">
        <v>46014.0</v>
      </c>
      <c r="D1966" s="5">
        <v>46014.0</v>
      </c>
      <c r="E1966" s="4" t="s">
        <v>6392</v>
      </c>
      <c r="F1966" s="9"/>
      <c r="G1966" s="6"/>
      <c r="H1966" s="7">
        <v>382.0</v>
      </c>
      <c r="I1966" s="11">
        <v>26502.53</v>
      </c>
      <c r="K1966" s="12" t="str">
        <f t="shared" si="253"/>
        <v>SC3567</v>
      </c>
      <c r="M1966" s="2" t="s">
        <v>24</v>
      </c>
      <c r="N1966" s="2" t="s">
        <v>60</v>
      </c>
      <c r="O1966" s="2">
        <v>1.10751038E8</v>
      </c>
      <c r="P1966" s="15" t="str">
        <f>IFERROR(__xludf.DUMMYFUNCTION("CONCATENATE(B1966,"", "", to_text(D1966),"", "", E1966,"", "", H1966)"),"TSV-11-0822, 23-Dec-2025, UPI/CR/535714190459/Anupriya/SBIN/anupriy/SC3567, 382")</f>
        <v>TSV-11-0822, 23-Dec-2025, UPI/CR/535714190459/Anupriya/SBIN/anupriy/SC3567, 382</v>
      </c>
      <c r="Q1966" s="8">
        <v>2025.0</v>
      </c>
      <c r="R1966" s="8" t="s">
        <v>5275</v>
      </c>
    </row>
    <row r="1967">
      <c r="A1967" s="4" t="s">
        <v>18</v>
      </c>
      <c r="B1967" s="2" t="s">
        <v>6393</v>
      </c>
      <c r="C1967" s="5">
        <v>46014.0</v>
      </c>
      <c r="D1967" s="5">
        <v>46014.0</v>
      </c>
      <c r="E1967" s="4" t="s">
        <v>6394</v>
      </c>
      <c r="F1967" s="9"/>
      <c r="G1967" s="6"/>
      <c r="H1967" s="7">
        <v>200.0</v>
      </c>
      <c r="I1967" s="11">
        <v>26702.53</v>
      </c>
      <c r="K1967" s="12" t="str">
        <f t="shared" si="253"/>
        <v>KN3817</v>
      </c>
      <c r="L1967" s="2" t="s">
        <v>3569</v>
      </c>
      <c r="M1967" s="2" t="s">
        <v>24</v>
      </c>
      <c r="N1967" s="2" t="s">
        <v>60</v>
      </c>
      <c r="O1967" s="2">
        <v>1.10751038E8</v>
      </c>
      <c r="P1967" s="15"/>
      <c r="Q1967" s="8">
        <v>2025.0</v>
      </c>
      <c r="R1967" s="8" t="s">
        <v>5275</v>
      </c>
    </row>
    <row r="1968">
      <c r="A1968" s="4" t="s">
        <v>18</v>
      </c>
      <c r="B1968" s="2" t="s">
        <v>6395</v>
      </c>
      <c r="C1968" s="5">
        <v>46014.0</v>
      </c>
      <c r="D1968" s="5">
        <v>46014.0</v>
      </c>
      <c r="E1968" s="4" t="s">
        <v>6396</v>
      </c>
      <c r="F1968" s="9"/>
      <c r="G1968" s="6"/>
      <c r="H1968" s="7">
        <v>196.0</v>
      </c>
      <c r="I1968" s="11">
        <v>26898.53</v>
      </c>
      <c r="K1968" s="12" t="str">
        <f t="shared" si="253"/>
        <v>KN3817</v>
      </c>
      <c r="L1968" s="2" t="s">
        <v>3595</v>
      </c>
      <c r="M1968" s="2" t="s">
        <v>24</v>
      </c>
      <c r="N1968" s="2" t="s">
        <v>60</v>
      </c>
      <c r="O1968" s="2">
        <v>1.10751038E8</v>
      </c>
      <c r="P1968" s="15"/>
      <c r="Q1968" s="8">
        <v>2025.0</v>
      </c>
      <c r="R1968" s="8" t="s">
        <v>5275</v>
      </c>
    </row>
    <row r="1969">
      <c r="A1969" s="4" t="s">
        <v>18</v>
      </c>
      <c r="B1969" s="2" t="s">
        <v>6397</v>
      </c>
      <c r="C1969" s="5">
        <v>46014.0</v>
      </c>
      <c r="D1969" s="5">
        <v>46014.0</v>
      </c>
      <c r="E1969" s="4" t="s">
        <v>6398</v>
      </c>
      <c r="F1969" s="9"/>
      <c r="G1969" s="6"/>
      <c r="H1969" s="11">
        <v>1370.0</v>
      </c>
      <c r="I1969" s="11">
        <v>28268.53</v>
      </c>
      <c r="K1969" s="2" t="s">
        <v>539</v>
      </c>
      <c r="M1969" s="2" t="s">
        <v>24</v>
      </c>
      <c r="N1969" s="2" t="s">
        <v>60</v>
      </c>
      <c r="O1969" s="2">
        <v>1.10751038E8</v>
      </c>
      <c r="P1969" s="15" t="str">
        <f>IFERROR(__xludf.DUMMYFUNCTION("CONCATENATE(B1969,"", "", to_text(D1969),"", "", E1969,"", "", H1969)"),"TSV-11-0825, 23-Dec-2025, UPI/CR/116075952004/RAHUL CH/HDFC/rahul.3/PAY BY, 1370")</f>
        <v>TSV-11-0825, 23-Dec-2025, UPI/CR/116075952004/RAHUL CH/HDFC/rahul.3/PAY BY, 1370</v>
      </c>
      <c r="Q1969" s="8">
        <v>2025.0</v>
      </c>
      <c r="R1969" s="8" t="s">
        <v>5275</v>
      </c>
    </row>
    <row r="1970">
      <c r="A1970" s="4" t="s">
        <v>18</v>
      </c>
      <c r="B1970" s="2" t="s">
        <v>6399</v>
      </c>
      <c r="C1970" s="5">
        <v>46014.0</v>
      </c>
      <c r="D1970" s="5">
        <v>46014.0</v>
      </c>
      <c r="E1970" s="4" t="s">
        <v>6400</v>
      </c>
      <c r="F1970" s="9"/>
      <c r="G1970" s="6"/>
      <c r="H1970" s="7">
        <v>449.0</v>
      </c>
      <c r="I1970" s="11">
        <v>28717.53</v>
      </c>
      <c r="K1970" s="12" t="str">
        <f t="shared" ref="K1970:K1976" si="254">RIGHT(E1970,6)</f>
        <v>SC3567</v>
      </c>
      <c r="M1970" s="2" t="s">
        <v>24</v>
      </c>
      <c r="N1970" s="2" t="s">
        <v>60</v>
      </c>
      <c r="O1970" s="2">
        <v>1.10751038E8</v>
      </c>
      <c r="P1970" s="15" t="str">
        <f>IFERROR(__xludf.DUMMYFUNCTION("CONCATENATE(B1970,"", "", to_text(D1970),"", "", E1970,"", "", H1970)"),"TSV-11-0826, 23-Dec-2025, UPI/CR/535788457824/DIGVIJAY/PUNB/rajputd/SC3567, 449")</f>
        <v>TSV-11-0826, 23-Dec-2025, UPI/CR/535788457824/DIGVIJAY/PUNB/rajputd/SC3567, 449</v>
      </c>
      <c r="Q1970" s="8">
        <v>2025.0</v>
      </c>
      <c r="R1970" s="8" t="s">
        <v>5275</v>
      </c>
    </row>
    <row r="1971">
      <c r="A1971" s="4" t="s">
        <v>18</v>
      </c>
      <c r="B1971" s="2" t="s">
        <v>6401</v>
      </c>
      <c r="C1971" s="5">
        <v>46014.0</v>
      </c>
      <c r="D1971" s="5">
        <v>46014.0</v>
      </c>
      <c r="E1971" s="4" t="s">
        <v>6402</v>
      </c>
      <c r="F1971" s="9"/>
      <c r="G1971" s="6"/>
      <c r="H1971" s="11">
        <v>1181.0</v>
      </c>
      <c r="I1971" s="11">
        <v>29898.53</v>
      </c>
      <c r="K1971" s="12" t="str">
        <f t="shared" si="254"/>
        <v>SL1610</v>
      </c>
      <c r="L1971" s="2" t="s">
        <v>6403</v>
      </c>
      <c r="M1971" s="2" t="s">
        <v>24</v>
      </c>
      <c r="N1971" s="2" t="s">
        <v>60</v>
      </c>
      <c r="O1971" s="2">
        <v>1.10751038E8</v>
      </c>
      <c r="P1971" s="15"/>
      <c r="Q1971" s="8">
        <v>2025.0</v>
      </c>
      <c r="R1971" s="8" t="s">
        <v>5275</v>
      </c>
    </row>
    <row r="1972">
      <c r="A1972" s="4" t="s">
        <v>18</v>
      </c>
      <c r="B1972" s="2" t="s">
        <v>6404</v>
      </c>
      <c r="C1972" s="5">
        <v>46014.0</v>
      </c>
      <c r="D1972" s="5">
        <v>46014.0</v>
      </c>
      <c r="E1972" s="4" t="s">
        <v>6405</v>
      </c>
      <c r="F1972" s="9"/>
      <c r="G1972" s="6"/>
      <c r="H1972" s="7">
        <v>400.0</v>
      </c>
      <c r="I1972" s="11">
        <v>30298.53</v>
      </c>
      <c r="K1972" s="12" t="str">
        <f t="shared" si="254"/>
        <v>KN3817</v>
      </c>
      <c r="L1972" s="2" t="s">
        <v>5775</v>
      </c>
      <c r="M1972" s="2" t="s">
        <v>24</v>
      </c>
      <c r="N1972" s="2" t="s">
        <v>60</v>
      </c>
      <c r="O1972" s="2">
        <v>1.10751038E8</v>
      </c>
      <c r="P1972" s="15"/>
      <c r="Q1972" s="8">
        <v>2025.0</v>
      </c>
      <c r="R1972" s="8" t="s">
        <v>5275</v>
      </c>
    </row>
    <row r="1973">
      <c r="A1973" s="4" t="s">
        <v>18</v>
      </c>
      <c r="B1973" s="2" t="s">
        <v>6406</v>
      </c>
      <c r="C1973" s="5">
        <v>46014.0</v>
      </c>
      <c r="D1973" s="5">
        <v>46014.0</v>
      </c>
      <c r="E1973" s="4" t="s">
        <v>6407</v>
      </c>
      <c r="F1973" s="9"/>
      <c r="G1973" s="6"/>
      <c r="H1973" s="7">
        <v>304.0</v>
      </c>
      <c r="I1973" s="11">
        <v>30602.53</v>
      </c>
      <c r="K1973" s="12" t="str">
        <f t="shared" si="254"/>
        <v>UN3668</v>
      </c>
      <c r="L1973" s="21" t="s">
        <v>6408</v>
      </c>
      <c r="M1973" s="2" t="s">
        <v>24</v>
      </c>
      <c r="N1973" s="2" t="s">
        <v>60</v>
      </c>
      <c r="O1973" s="2">
        <v>1.10751038E8</v>
      </c>
      <c r="P1973" s="15"/>
      <c r="Q1973" s="8">
        <v>2025.0</v>
      </c>
      <c r="R1973" s="8" t="s">
        <v>5275</v>
      </c>
    </row>
    <row r="1974">
      <c r="A1974" s="4" t="s">
        <v>18</v>
      </c>
      <c r="B1974" s="2" t="s">
        <v>6409</v>
      </c>
      <c r="C1974" s="5">
        <v>46014.0</v>
      </c>
      <c r="D1974" s="5">
        <v>46014.0</v>
      </c>
      <c r="E1974" s="4" t="s">
        <v>6410</v>
      </c>
      <c r="F1974" s="9"/>
      <c r="G1974" s="6"/>
      <c r="H1974" s="7">
        <v>360.0</v>
      </c>
      <c r="I1974" s="11">
        <v>30962.53</v>
      </c>
      <c r="K1974" s="12" t="str">
        <f t="shared" si="254"/>
        <v>UN3668</v>
      </c>
      <c r="L1974" s="21" t="s">
        <v>6411</v>
      </c>
      <c r="M1974" s="2" t="s">
        <v>24</v>
      </c>
      <c r="N1974" s="2" t="s">
        <v>60</v>
      </c>
      <c r="O1974" s="2">
        <v>1.10751038E8</v>
      </c>
      <c r="P1974" s="15"/>
      <c r="Q1974" s="8">
        <v>2025.0</v>
      </c>
      <c r="R1974" s="8" t="s">
        <v>5275</v>
      </c>
    </row>
    <row r="1975">
      <c r="A1975" s="4" t="s">
        <v>18</v>
      </c>
      <c r="B1975" s="2" t="s">
        <v>6412</v>
      </c>
      <c r="C1975" s="5">
        <v>46014.0</v>
      </c>
      <c r="D1975" s="5">
        <v>46014.0</v>
      </c>
      <c r="E1975" s="4" t="s">
        <v>6413</v>
      </c>
      <c r="F1975" s="9"/>
      <c r="G1975" s="6"/>
      <c r="H1975" s="7">
        <v>349.0</v>
      </c>
      <c r="I1975" s="11">
        <v>31311.53</v>
      </c>
      <c r="K1975" s="12" t="str">
        <f t="shared" si="254"/>
        <v>SL1610</v>
      </c>
      <c r="L1975" s="2" t="s">
        <v>6414</v>
      </c>
      <c r="M1975" s="2" t="s">
        <v>24</v>
      </c>
      <c r="N1975" s="2" t="s">
        <v>60</v>
      </c>
      <c r="O1975" s="2">
        <v>1.10751038E8</v>
      </c>
      <c r="P1975" s="15"/>
      <c r="Q1975" s="8">
        <v>2025.0</v>
      </c>
      <c r="R1975" s="8" t="s">
        <v>5275</v>
      </c>
    </row>
    <row r="1976">
      <c r="A1976" s="4" t="s">
        <v>18</v>
      </c>
      <c r="B1976" s="2" t="s">
        <v>6415</v>
      </c>
      <c r="C1976" s="5">
        <v>46014.0</v>
      </c>
      <c r="D1976" s="5">
        <v>46014.0</v>
      </c>
      <c r="E1976" s="4" t="s">
        <v>6416</v>
      </c>
      <c r="F1976" s="9"/>
      <c r="G1976" s="6"/>
      <c r="H1976" s="11">
        <v>1274.0</v>
      </c>
      <c r="I1976" s="11">
        <v>32585.53</v>
      </c>
      <c r="K1976" s="12" t="str">
        <f t="shared" si="254"/>
        <v>UN3668</v>
      </c>
      <c r="L1976" s="21" t="s">
        <v>6417</v>
      </c>
      <c r="M1976" s="2" t="s">
        <v>24</v>
      </c>
      <c r="N1976" s="2" t="s">
        <v>60</v>
      </c>
      <c r="O1976" s="2">
        <v>1.10751038E8</v>
      </c>
      <c r="P1976" s="15"/>
      <c r="Q1976" s="8">
        <v>2025.0</v>
      </c>
      <c r="R1976" s="8" t="s">
        <v>5275</v>
      </c>
    </row>
    <row r="1977">
      <c r="A1977" s="4" t="s">
        <v>18</v>
      </c>
      <c r="B1977" s="2" t="s">
        <v>6418</v>
      </c>
      <c r="C1977" s="5">
        <v>46015.0</v>
      </c>
      <c r="D1977" s="5">
        <v>46015.0</v>
      </c>
      <c r="E1977" s="4" t="s">
        <v>6419</v>
      </c>
      <c r="F1977" s="9"/>
      <c r="G1977" s="7">
        <v>388.0</v>
      </c>
      <c r="H1977" s="6"/>
      <c r="I1977" s="11">
        <v>32197.53</v>
      </c>
      <c r="K1977" s="2" t="s">
        <v>127</v>
      </c>
      <c r="M1977" s="2" t="s">
        <v>114</v>
      </c>
      <c r="N1977" s="2" t="s">
        <v>478</v>
      </c>
      <c r="O1977" s="2">
        <v>1.10751038E8</v>
      </c>
      <c r="Q1977" s="8">
        <v>2025.0</v>
      </c>
      <c r="R1977" s="8" t="s">
        <v>5275</v>
      </c>
    </row>
    <row r="1978">
      <c r="A1978" s="4" t="s">
        <v>18</v>
      </c>
      <c r="B1978" s="2" t="s">
        <v>6420</v>
      </c>
      <c r="C1978" s="5">
        <v>46015.0</v>
      </c>
      <c r="D1978" s="5">
        <v>46015.0</v>
      </c>
      <c r="E1978" s="4" t="s">
        <v>6421</v>
      </c>
      <c r="F1978" s="9"/>
      <c r="G1978" s="6"/>
      <c r="H1978" s="7">
        <v>80.0</v>
      </c>
      <c r="I1978" s="11">
        <v>32277.53</v>
      </c>
      <c r="K1978" s="12" t="str">
        <f>RIGHT(E1978,6)</f>
        <v>UN3668</v>
      </c>
      <c r="L1978" s="21" t="s">
        <v>6422</v>
      </c>
      <c r="M1978" s="2" t="s">
        <v>24</v>
      </c>
      <c r="N1978" s="2" t="s">
        <v>60</v>
      </c>
      <c r="O1978" s="2">
        <v>1.10751038E8</v>
      </c>
      <c r="P1978" s="15"/>
      <c r="Q1978" s="8">
        <v>2025.0</v>
      </c>
      <c r="R1978" s="8" t="s">
        <v>5275</v>
      </c>
    </row>
    <row r="1979">
      <c r="A1979" s="4" t="s">
        <v>18</v>
      </c>
      <c r="B1979" s="2" t="s">
        <v>6423</v>
      </c>
      <c r="C1979" s="5">
        <v>46015.0</v>
      </c>
      <c r="D1979" s="5">
        <v>46015.0</v>
      </c>
      <c r="E1979" s="4" t="s">
        <v>6424</v>
      </c>
      <c r="F1979" s="9"/>
      <c r="G1979" s="7">
        <v>600.0</v>
      </c>
      <c r="H1979" s="6"/>
      <c r="I1979" s="11">
        <v>31677.53</v>
      </c>
      <c r="K1979" s="2" t="s">
        <v>119</v>
      </c>
      <c r="M1979" s="2" t="s">
        <v>114</v>
      </c>
      <c r="N1979" s="2" t="s">
        <v>4023</v>
      </c>
      <c r="O1979" s="2">
        <v>1.10751038E8</v>
      </c>
      <c r="Q1979" s="8">
        <v>2025.0</v>
      </c>
      <c r="R1979" s="8" t="s">
        <v>5275</v>
      </c>
    </row>
    <row r="1980">
      <c r="A1980" s="4" t="s">
        <v>18</v>
      </c>
      <c r="B1980" s="2" t="s">
        <v>6425</v>
      </c>
      <c r="C1980" s="5">
        <v>46015.0</v>
      </c>
      <c r="D1980" s="5">
        <v>46015.0</v>
      </c>
      <c r="E1980" s="4" t="s">
        <v>6426</v>
      </c>
      <c r="F1980" s="9"/>
      <c r="G1980" s="6"/>
      <c r="H1980" s="11">
        <v>1907.0</v>
      </c>
      <c r="I1980" s="11">
        <v>33584.53</v>
      </c>
      <c r="K1980" s="12" t="str">
        <f t="shared" ref="K1980:K1986" si="255">RIGHT(E1980,6)</f>
        <v>SL1610</v>
      </c>
      <c r="L1980" s="2" t="s">
        <v>6427</v>
      </c>
      <c r="M1980" s="2" t="s">
        <v>24</v>
      </c>
      <c r="N1980" s="2" t="s">
        <v>60</v>
      </c>
      <c r="O1980" s="2">
        <v>1.10751038E8</v>
      </c>
      <c r="P1980" s="15"/>
      <c r="Q1980" s="8">
        <v>2025.0</v>
      </c>
      <c r="R1980" s="8" t="s">
        <v>5275</v>
      </c>
    </row>
    <row r="1981">
      <c r="A1981" s="4" t="s">
        <v>18</v>
      </c>
      <c r="B1981" s="2" t="s">
        <v>6428</v>
      </c>
      <c r="C1981" s="5">
        <v>46015.0</v>
      </c>
      <c r="D1981" s="5">
        <v>46015.0</v>
      </c>
      <c r="E1981" s="4" t="s">
        <v>6429</v>
      </c>
      <c r="F1981" s="9"/>
      <c r="G1981" s="6"/>
      <c r="H1981" s="7">
        <v>555.0</v>
      </c>
      <c r="I1981" s="11">
        <v>34139.53</v>
      </c>
      <c r="K1981" s="12" t="str">
        <f t="shared" si="255"/>
        <v>KN3817</v>
      </c>
      <c r="L1981" s="2" t="s">
        <v>3553</v>
      </c>
      <c r="M1981" s="2" t="s">
        <v>24</v>
      </c>
      <c r="N1981" s="2" t="s">
        <v>60</v>
      </c>
      <c r="O1981" s="2">
        <v>1.10751038E8</v>
      </c>
      <c r="P1981" s="15"/>
      <c r="Q1981" s="8">
        <v>2025.0</v>
      </c>
      <c r="R1981" s="8" t="s">
        <v>5275</v>
      </c>
    </row>
    <row r="1982">
      <c r="A1982" s="4" t="s">
        <v>18</v>
      </c>
      <c r="B1982" s="2" t="s">
        <v>6430</v>
      </c>
      <c r="C1982" s="5">
        <v>46015.0</v>
      </c>
      <c r="D1982" s="5">
        <v>46015.0</v>
      </c>
      <c r="E1982" s="4" t="s">
        <v>6431</v>
      </c>
      <c r="F1982" s="9"/>
      <c r="G1982" s="6"/>
      <c r="H1982" s="7">
        <v>450.0</v>
      </c>
      <c r="I1982" s="11">
        <v>34589.53</v>
      </c>
      <c r="K1982" s="12" t="str">
        <f t="shared" si="255"/>
        <v>KN3817</v>
      </c>
      <c r="L1982" s="2" t="s">
        <v>6432</v>
      </c>
      <c r="M1982" s="2" t="s">
        <v>24</v>
      </c>
      <c r="N1982" s="2" t="s">
        <v>60</v>
      </c>
      <c r="O1982" s="2">
        <v>1.10751038E8</v>
      </c>
      <c r="P1982" s="15"/>
      <c r="Q1982" s="8">
        <v>2025.0</v>
      </c>
      <c r="R1982" s="8" t="s">
        <v>5275</v>
      </c>
    </row>
    <row r="1983">
      <c r="A1983" s="4" t="s">
        <v>18</v>
      </c>
      <c r="B1983" s="2" t="s">
        <v>6433</v>
      </c>
      <c r="C1983" s="5">
        <v>46015.0</v>
      </c>
      <c r="D1983" s="5">
        <v>46015.0</v>
      </c>
      <c r="E1983" s="4" t="s">
        <v>6434</v>
      </c>
      <c r="F1983" s="9"/>
      <c r="G1983" s="6"/>
      <c r="H1983" s="7">
        <v>560.0</v>
      </c>
      <c r="I1983" s="11">
        <v>35149.53</v>
      </c>
      <c r="K1983" s="12" t="str">
        <f t="shared" si="255"/>
        <v>KN3817</v>
      </c>
      <c r="L1983" s="2" t="s">
        <v>6435</v>
      </c>
      <c r="M1983" s="2" t="s">
        <v>24</v>
      </c>
      <c r="N1983" s="2" t="s">
        <v>60</v>
      </c>
      <c r="O1983" s="2">
        <v>1.10751038E8</v>
      </c>
      <c r="P1983" s="15"/>
      <c r="Q1983" s="8">
        <v>2025.0</v>
      </c>
      <c r="R1983" s="8" t="s">
        <v>5275</v>
      </c>
    </row>
    <row r="1984">
      <c r="A1984" s="4" t="s">
        <v>18</v>
      </c>
      <c r="B1984" s="2" t="s">
        <v>6436</v>
      </c>
      <c r="C1984" s="5">
        <v>46015.0</v>
      </c>
      <c r="D1984" s="5">
        <v>46015.0</v>
      </c>
      <c r="E1984" s="4" t="s">
        <v>6437</v>
      </c>
      <c r="F1984" s="9"/>
      <c r="G1984" s="6"/>
      <c r="H1984" s="7">
        <v>724.0</v>
      </c>
      <c r="I1984" s="11">
        <v>35873.53</v>
      </c>
      <c r="K1984" s="12" t="str">
        <f t="shared" si="255"/>
        <v>KN3817</v>
      </c>
      <c r="L1984" s="2" t="s">
        <v>6438</v>
      </c>
      <c r="M1984" s="2" t="s">
        <v>24</v>
      </c>
      <c r="N1984" s="2" t="s">
        <v>60</v>
      </c>
      <c r="O1984" s="2">
        <v>1.10751038E8</v>
      </c>
      <c r="P1984" s="15"/>
      <c r="Q1984" s="8">
        <v>2025.0</v>
      </c>
      <c r="R1984" s="8" t="s">
        <v>5275</v>
      </c>
    </row>
    <row r="1985">
      <c r="A1985" s="4" t="s">
        <v>18</v>
      </c>
      <c r="B1985" s="2" t="s">
        <v>6439</v>
      </c>
      <c r="C1985" s="5">
        <v>46015.0</v>
      </c>
      <c r="D1985" s="5">
        <v>46015.0</v>
      </c>
      <c r="E1985" s="4" t="s">
        <v>6440</v>
      </c>
      <c r="F1985" s="9"/>
      <c r="G1985" s="6"/>
      <c r="H1985" s="7">
        <v>299.0</v>
      </c>
      <c r="I1985" s="11">
        <v>36172.53</v>
      </c>
      <c r="K1985" s="12" t="str">
        <f t="shared" si="255"/>
        <v>UN3668</v>
      </c>
      <c r="L1985" s="21" t="s">
        <v>6441</v>
      </c>
      <c r="M1985" s="2" t="s">
        <v>24</v>
      </c>
      <c r="N1985" s="2" t="s">
        <v>60</v>
      </c>
      <c r="O1985" s="2">
        <v>1.10751038E8</v>
      </c>
      <c r="P1985" s="15"/>
      <c r="Q1985" s="8">
        <v>2025.0</v>
      </c>
      <c r="R1985" s="8" t="s">
        <v>5275</v>
      </c>
    </row>
    <row r="1986">
      <c r="A1986" s="4" t="s">
        <v>18</v>
      </c>
      <c r="B1986" s="2" t="s">
        <v>6442</v>
      </c>
      <c r="C1986" s="5">
        <v>46015.0</v>
      </c>
      <c r="D1986" s="5">
        <v>46015.0</v>
      </c>
      <c r="E1986" s="4" t="s">
        <v>6443</v>
      </c>
      <c r="F1986" s="9"/>
      <c r="G1986" s="6"/>
      <c r="H1986" s="7">
        <v>370.0</v>
      </c>
      <c r="I1986" s="11">
        <v>36542.53</v>
      </c>
      <c r="K1986" s="12" t="str">
        <f t="shared" si="255"/>
        <v>KN3817</v>
      </c>
      <c r="L1986" s="2" t="s">
        <v>3502</v>
      </c>
      <c r="M1986" s="2" t="s">
        <v>24</v>
      </c>
      <c r="N1986" s="2" t="s">
        <v>60</v>
      </c>
      <c r="O1986" s="2">
        <v>1.10751038E8</v>
      </c>
      <c r="P1986" s="15"/>
      <c r="Q1986" s="8">
        <v>2025.0</v>
      </c>
      <c r="R1986" s="8" t="s">
        <v>5275</v>
      </c>
    </row>
    <row r="1987">
      <c r="A1987" s="4" t="s">
        <v>18</v>
      </c>
      <c r="B1987" s="2" t="s">
        <v>6444</v>
      </c>
      <c r="C1987" s="5">
        <v>46015.0</v>
      </c>
      <c r="D1987" s="5">
        <v>46015.0</v>
      </c>
      <c r="E1987" s="4" t="s">
        <v>6445</v>
      </c>
      <c r="F1987" s="9"/>
      <c r="G1987" s="7">
        <v>600.0</v>
      </c>
      <c r="H1987" s="6"/>
      <c r="I1987" s="11">
        <v>35942.53</v>
      </c>
      <c r="K1987" s="2" t="s">
        <v>119</v>
      </c>
      <c r="M1987" s="2" t="s">
        <v>114</v>
      </c>
      <c r="N1987" s="2" t="s">
        <v>1835</v>
      </c>
      <c r="O1987" s="2">
        <v>1.10751038E8</v>
      </c>
      <c r="Q1987" s="8">
        <v>2025.0</v>
      </c>
      <c r="R1987" s="8" t="s">
        <v>5275</v>
      </c>
    </row>
    <row r="1988">
      <c r="A1988" s="4" t="s">
        <v>18</v>
      </c>
      <c r="B1988" s="2" t="s">
        <v>6446</v>
      </c>
      <c r="C1988" s="5">
        <v>46015.0</v>
      </c>
      <c r="D1988" s="5">
        <v>46015.0</v>
      </c>
      <c r="E1988" s="4" t="s">
        <v>6447</v>
      </c>
      <c r="F1988" s="9"/>
      <c r="G1988" s="6"/>
      <c r="H1988" s="7">
        <v>700.0</v>
      </c>
      <c r="I1988" s="11">
        <v>36642.53</v>
      </c>
      <c r="K1988" s="12" t="str">
        <f t="shared" ref="K1988:K2003" si="256">RIGHT(E1988,6)</f>
        <v>SL1610</v>
      </c>
      <c r="L1988" s="2" t="s">
        <v>6448</v>
      </c>
      <c r="M1988" s="2" t="s">
        <v>24</v>
      </c>
      <c r="N1988" s="2" t="s">
        <v>60</v>
      </c>
      <c r="O1988" s="2">
        <v>1.10751038E8</v>
      </c>
      <c r="P1988" s="15"/>
      <c r="Q1988" s="8">
        <v>2025.0</v>
      </c>
      <c r="R1988" s="8" t="s">
        <v>5275</v>
      </c>
    </row>
    <row r="1989">
      <c r="A1989" s="4" t="s">
        <v>18</v>
      </c>
      <c r="B1989" s="2" t="s">
        <v>6449</v>
      </c>
      <c r="C1989" s="5">
        <v>46016.0</v>
      </c>
      <c r="D1989" s="5">
        <v>46016.0</v>
      </c>
      <c r="E1989" s="4" t="s">
        <v>6450</v>
      </c>
      <c r="F1989" s="9"/>
      <c r="G1989" s="6"/>
      <c r="H1989" s="7">
        <v>120.0</v>
      </c>
      <c r="I1989" s="11">
        <v>36762.53</v>
      </c>
      <c r="K1989" s="12" t="str">
        <f t="shared" si="256"/>
        <v>KN3817</v>
      </c>
      <c r="L1989" s="2" t="s">
        <v>3745</v>
      </c>
      <c r="M1989" s="2" t="s">
        <v>24</v>
      </c>
      <c r="N1989" s="2" t="s">
        <v>60</v>
      </c>
      <c r="O1989" s="2">
        <v>1.10751038E8</v>
      </c>
      <c r="P1989" s="15"/>
      <c r="Q1989" s="8">
        <v>2025.0</v>
      </c>
      <c r="R1989" s="8" t="s">
        <v>5275</v>
      </c>
    </row>
    <row r="1990">
      <c r="A1990" s="4" t="s">
        <v>18</v>
      </c>
      <c r="B1990" s="2" t="s">
        <v>6451</v>
      </c>
      <c r="C1990" s="5">
        <v>46016.0</v>
      </c>
      <c r="D1990" s="5">
        <v>46016.0</v>
      </c>
      <c r="E1990" s="4" t="s">
        <v>6452</v>
      </c>
      <c r="F1990" s="9"/>
      <c r="G1990" s="6"/>
      <c r="H1990" s="7">
        <v>300.0</v>
      </c>
      <c r="I1990" s="11">
        <v>37062.53</v>
      </c>
      <c r="K1990" s="12" t="str">
        <f t="shared" si="256"/>
        <v>KN3817</v>
      </c>
      <c r="L1990" s="2" t="s">
        <v>3745</v>
      </c>
      <c r="M1990" s="2" t="s">
        <v>24</v>
      </c>
      <c r="N1990" s="2" t="s">
        <v>60</v>
      </c>
      <c r="O1990" s="2">
        <v>1.10751038E8</v>
      </c>
      <c r="P1990" s="15"/>
      <c r="Q1990" s="8">
        <v>2025.0</v>
      </c>
      <c r="R1990" s="8" t="s">
        <v>5275</v>
      </c>
    </row>
    <row r="1991">
      <c r="A1991" s="4" t="s">
        <v>18</v>
      </c>
      <c r="B1991" s="2" t="s">
        <v>6453</v>
      </c>
      <c r="C1991" s="5">
        <v>46016.0</v>
      </c>
      <c r="D1991" s="5">
        <v>46016.0</v>
      </c>
      <c r="E1991" s="4" t="s">
        <v>6454</v>
      </c>
      <c r="F1991" s="9"/>
      <c r="G1991" s="6"/>
      <c r="H1991" s="7">
        <v>420.0</v>
      </c>
      <c r="I1991" s="11">
        <v>37482.53</v>
      </c>
      <c r="K1991" s="12" t="str">
        <f t="shared" si="256"/>
        <v>KN3817</v>
      </c>
      <c r="L1991" s="2" t="s">
        <v>6455</v>
      </c>
      <c r="M1991" s="2" t="s">
        <v>24</v>
      </c>
      <c r="N1991" s="2" t="s">
        <v>60</v>
      </c>
      <c r="O1991" s="2">
        <v>1.10751038E8</v>
      </c>
      <c r="P1991" s="15"/>
      <c r="Q1991" s="8">
        <v>2025.0</v>
      </c>
      <c r="R1991" s="8" t="s">
        <v>5275</v>
      </c>
    </row>
    <row r="1992">
      <c r="A1992" s="4" t="s">
        <v>18</v>
      </c>
      <c r="B1992" s="2" t="s">
        <v>6456</v>
      </c>
      <c r="C1992" s="5">
        <v>46016.0</v>
      </c>
      <c r="D1992" s="5">
        <v>46016.0</v>
      </c>
      <c r="E1992" s="4" t="s">
        <v>6457</v>
      </c>
      <c r="F1992" s="9"/>
      <c r="G1992" s="6"/>
      <c r="H1992" s="11">
        <v>1504.0</v>
      </c>
      <c r="I1992" s="11">
        <v>38986.53</v>
      </c>
      <c r="K1992" s="12" t="str">
        <f t="shared" si="256"/>
        <v>UN3668</v>
      </c>
      <c r="L1992" s="21" t="s">
        <v>6458</v>
      </c>
      <c r="M1992" s="2" t="s">
        <v>24</v>
      </c>
      <c r="N1992" s="2" t="s">
        <v>60</v>
      </c>
      <c r="O1992" s="2">
        <v>1.10751038E8</v>
      </c>
      <c r="P1992" s="15"/>
      <c r="Q1992" s="8">
        <v>2025.0</v>
      </c>
      <c r="R1992" s="8" t="s">
        <v>5275</v>
      </c>
    </row>
    <row r="1993">
      <c r="A1993" s="4" t="s">
        <v>18</v>
      </c>
      <c r="B1993" s="2" t="s">
        <v>6459</v>
      </c>
      <c r="C1993" s="5">
        <v>46016.0</v>
      </c>
      <c r="D1993" s="5">
        <v>46016.0</v>
      </c>
      <c r="E1993" s="4" t="s">
        <v>6460</v>
      </c>
      <c r="F1993" s="9"/>
      <c r="G1993" s="6"/>
      <c r="H1993" s="7">
        <v>784.0</v>
      </c>
      <c r="I1993" s="11">
        <v>39770.53</v>
      </c>
      <c r="K1993" s="12" t="str">
        <f t="shared" si="256"/>
        <v>KN3817</v>
      </c>
      <c r="L1993" s="2" t="s">
        <v>3709</v>
      </c>
      <c r="M1993" s="2" t="s">
        <v>24</v>
      </c>
      <c r="N1993" s="2" t="s">
        <v>60</v>
      </c>
      <c r="O1993" s="2">
        <v>1.10751038E8</v>
      </c>
      <c r="P1993" s="15"/>
      <c r="Q1993" s="8">
        <v>2025.0</v>
      </c>
      <c r="R1993" s="8" t="s">
        <v>5275</v>
      </c>
    </row>
    <row r="1994">
      <c r="A1994" s="4" t="s">
        <v>18</v>
      </c>
      <c r="B1994" s="2" t="s">
        <v>6461</v>
      </c>
      <c r="C1994" s="5">
        <v>46016.0</v>
      </c>
      <c r="D1994" s="5">
        <v>46016.0</v>
      </c>
      <c r="E1994" s="4" t="s">
        <v>6462</v>
      </c>
      <c r="F1994" s="9"/>
      <c r="G1994" s="6"/>
      <c r="H1994" s="7">
        <v>675.0</v>
      </c>
      <c r="I1994" s="11">
        <v>40445.53</v>
      </c>
      <c r="K1994" s="12" t="str">
        <f t="shared" si="256"/>
        <v>UN3668</v>
      </c>
      <c r="L1994" s="21" t="s">
        <v>6463</v>
      </c>
      <c r="M1994" s="2" t="s">
        <v>24</v>
      </c>
      <c r="N1994" s="2" t="s">
        <v>60</v>
      </c>
      <c r="O1994" s="2">
        <v>1.10751038E8</v>
      </c>
      <c r="P1994" s="15"/>
      <c r="Q1994" s="8">
        <v>2025.0</v>
      </c>
      <c r="R1994" s="8" t="s">
        <v>5275</v>
      </c>
    </row>
    <row r="1995">
      <c r="A1995" s="4" t="s">
        <v>18</v>
      </c>
      <c r="B1995" s="2" t="s">
        <v>6464</v>
      </c>
      <c r="C1995" s="5">
        <v>46016.0</v>
      </c>
      <c r="D1995" s="5">
        <v>46016.0</v>
      </c>
      <c r="E1995" s="4" t="s">
        <v>6465</v>
      </c>
      <c r="F1995" s="9"/>
      <c r="G1995" s="6"/>
      <c r="H1995" s="11">
        <v>1413.0</v>
      </c>
      <c r="I1995" s="11">
        <v>41858.53</v>
      </c>
      <c r="K1995" s="12" t="str">
        <f t="shared" si="256"/>
        <v>SC3567</v>
      </c>
      <c r="M1995" s="2" t="s">
        <v>24</v>
      </c>
      <c r="N1995" s="2" t="s">
        <v>60</v>
      </c>
      <c r="O1995" s="2">
        <v>1.10751038E8</v>
      </c>
      <c r="P1995" s="15" t="str">
        <f>IFERROR(__xludf.DUMMYFUNCTION("CONCATENATE(B1995,"", "", to_text(D1995),"", "", E1995,"", "", H1995)"),"TSV-11-0851, 25-Dec-2025, UPI/CR/535991583012/OJASWIN /PUNB/ojaswin/SC3567, 1413")</f>
        <v>TSV-11-0851, 25-Dec-2025, UPI/CR/535991583012/OJASWIN /PUNB/ojaswin/SC3567, 1413</v>
      </c>
      <c r="Q1995" s="8">
        <v>2025.0</v>
      </c>
      <c r="R1995" s="8" t="s">
        <v>5275</v>
      </c>
    </row>
    <row r="1996">
      <c r="A1996" s="4" t="s">
        <v>18</v>
      </c>
      <c r="B1996" s="2" t="s">
        <v>6466</v>
      </c>
      <c r="C1996" s="5">
        <v>46016.0</v>
      </c>
      <c r="D1996" s="5">
        <v>46016.0</v>
      </c>
      <c r="E1996" s="4" t="s">
        <v>6467</v>
      </c>
      <c r="F1996" s="9"/>
      <c r="G1996" s="6"/>
      <c r="H1996" s="7">
        <v>396.0</v>
      </c>
      <c r="I1996" s="11">
        <v>42254.53</v>
      </c>
      <c r="K1996" s="12" t="str">
        <f t="shared" si="256"/>
        <v>UN3668</v>
      </c>
      <c r="L1996" s="21" t="s">
        <v>6468</v>
      </c>
      <c r="M1996" s="2" t="s">
        <v>24</v>
      </c>
      <c r="N1996" s="2" t="s">
        <v>60</v>
      </c>
      <c r="O1996" s="2">
        <v>1.10751038E8</v>
      </c>
      <c r="P1996" s="15"/>
      <c r="Q1996" s="8">
        <v>2025.0</v>
      </c>
      <c r="R1996" s="8" t="s">
        <v>5275</v>
      </c>
    </row>
    <row r="1997">
      <c r="A1997" s="4" t="s">
        <v>18</v>
      </c>
      <c r="B1997" s="2" t="s">
        <v>6469</v>
      </c>
      <c r="C1997" s="5">
        <v>46016.0</v>
      </c>
      <c r="D1997" s="5">
        <v>46016.0</v>
      </c>
      <c r="E1997" s="4" t="s">
        <v>6470</v>
      </c>
      <c r="F1997" s="9"/>
      <c r="G1997" s="6"/>
      <c r="H1997" s="7">
        <v>815.0</v>
      </c>
      <c r="I1997" s="11">
        <v>43069.53</v>
      </c>
      <c r="K1997" s="12" t="str">
        <f t="shared" si="256"/>
        <v>KN3817</v>
      </c>
      <c r="L1997" s="2" t="s">
        <v>6471</v>
      </c>
      <c r="M1997" s="2" t="s">
        <v>24</v>
      </c>
      <c r="N1997" s="2" t="s">
        <v>60</v>
      </c>
      <c r="O1997" s="2">
        <v>1.10751038E8</v>
      </c>
      <c r="P1997" s="15"/>
      <c r="Q1997" s="8">
        <v>2025.0</v>
      </c>
      <c r="R1997" s="8" t="s">
        <v>5275</v>
      </c>
    </row>
    <row r="1998">
      <c r="A1998" s="4" t="s">
        <v>18</v>
      </c>
      <c r="B1998" s="2" t="s">
        <v>6472</v>
      </c>
      <c r="C1998" s="5">
        <v>46016.0</v>
      </c>
      <c r="D1998" s="5">
        <v>46016.0</v>
      </c>
      <c r="E1998" s="4" t="s">
        <v>6473</v>
      </c>
      <c r="F1998" s="9"/>
      <c r="G1998" s="6"/>
      <c r="H1998" s="11">
        <v>1460.0</v>
      </c>
      <c r="I1998" s="11">
        <v>44529.53</v>
      </c>
      <c r="K1998" s="12" t="str">
        <f t="shared" si="256"/>
        <v>UN3668</v>
      </c>
      <c r="L1998" s="21" t="s">
        <v>6474</v>
      </c>
      <c r="M1998" s="2" t="s">
        <v>24</v>
      </c>
      <c r="N1998" s="2" t="s">
        <v>60</v>
      </c>
      <c r="O1998" s="2">
        <v>1.10751038E8</v>
      </c>
      <c r="P1998" s="15"/>
      <c r="Q1998" s="8">
        <v>2025.0</v>
      </c>
      <c r="R1998" s="8" t="s">
        <v>5275</v>
      </c>
    </row>
    <row r="1999">
      <c r="A1999" s="4" t="s">
        <v>18</v>
      </c>
      <c r="B1999" s="2" t="s">
        <v>6475</v>
      </c>
      <c r="C1999" s="5">
        <v>46016.0</v>
      </c>
      <c r="D1999" s="5">
        <v>46016.0</v>
      </c>
      <c r="E1999" s="4" t="s">
        <v>6476</v>
      </c>
      <c r="F1999" s="9"/>
      <c r="G1999" s="6"/>
      <c r="H1999" s="11">
        <v>1690.0</v>
      </c>
      <c r="I1999" s="11">
        <v>46219.53</v>
      </c>
      <c r="K1999" s="12" t="str">
        <f t="shared" si="256"/>
        <v>KN3817</v>
      </c>
      <c r="L1999" s="2" t="s">
        <v>6477</v>
      </c>
      <c r="M1999" s="2" t="s">
        <v>24</v>
      </c>
      <c r="N1999" s="2" t="s">
        <v>60</v>
      </c>
      <c r="O1999" s="2">
        <v>1.10751038E8</v>
      </c>
      <c r="P1999" s="15"/>
      <c r="Q1999" s="8">
        <v>2025.0</v>
      </c>
      <c r="R1999" s="8" t="s">
        <v>5275</v>
      </c>
    </row>
    <row r="2000">
      <c r="A2000" s="4" t="s">
        <v>18</v>
      </c>
      <c r="B2000" s="2" t="s">
        <v>6478</v>
      </c>
      <c r="C2000" s="5">
        <v>46016.0</v>
      </c>
      <c r="D2000" s="5">
        <v>46016.0</v>
      </c>
      <c r="E2000" s="4" t="s">
        <v>6479</v>
      </c>
      <c r="F2000" s="9"/>
      <c r="G2000" s="6"/>
      <c r="H2000" s="7">
        <v>247.0</v>
      </c>
      <c r="I2000" s="11">
        <v>46466.53</v>
      </c>
      <c r="K2000" s="12" t="str">
        <f t="shared" si="256"/>
        <v>UN3668</v>
      </c>
      <c r="L2000" s="21" t="s">
        <v>6480</v>
      </c>
      <c r="M2000" s="2" t="s">
        <v>24</v>
      </c>
      <c r="N2000" s="2" t="s">
        <v>60</v>
      </c>
      <c r="O2000" s="2">
        <v>1.10751038E8</v>
      </c>
      <c r="P2000" s="15"/>
      <c r="Q2000" s="8">
        <v>2025.0</v>
      </c>
      <c r="R2000" s="8" t="s">
        <v>5275</v>
      </c>
    </row>
    <row r="2001">
      <c r="A2001" s="4" t="s">
        <v>18</v>
      </c>
      <c r="B2001" s="2" t="s">
        <v>6481</v>
      </c>
      <c r="C2001" s="5">
        <v>46016.0</v>
      </c>
      <c r="D2001" s="5">
        <v>46016.0</v>
      </c>
      <c r="E2001" s="4" t="s">
        <v>6482</v>
      </c>
      <c r="F2001" s="9"/>
      <c r="G2001" s="6"/>
      <c r="H2001" s="7">
        <v>480.0</v>
      </c>
      <c r="I2001" s="11">
        <v>46946.53</v>
      </c>
      <c r="K2001" s="12" t="str">
        <f t="shared" si="256"/>
        <v>KN3817</v>
      </c>
      <c r="L2001" s="2" t="s">
        <v>3794</v>
      </c>
      <c r="M2001" s="2" t="s">
        <v>24</v>
      </c>
      <c r="N2001" s="2" t="s">
        <v>60</v>
      </c>
      <c r="O2001" s="2">
        <v>1.10751038E8</v>
      </c>
      <c r="P2001" s="15"/>
      <c r="Q2001" s="8">
        <v>2025.0</v>
      </c>
      <c r="R2001" s="8" t="s">
        <v>5275</v>
      </c>
    </row>
    <row r="2002">
      <c r="A2002" s="4" t="s">
        <v>18</v>
      </c>
      <c r="B2002" s="2" t="s">
        <v>6483</v>
      </c>
      <c r="C2002" s="5">
        <v>46016.0</v>
      </c>
      <c r="D2002" s="5">
        <v>46016.0</v>
      </c>
      <c r="E2002" s="4" t="s">
        <v>6484</v>
      </c>
      <c r="F2002" s="9"/>
      <c r="G2002" s="6"/>
      <c r="H2002" s="7">
        <v>13.0</v>
      </c>
      <c r="I2002" s="11">
        <v>46959.53</v>
      </c>
      <c r="K2002" s="12" t="str">
        <f t="shared" si="256"/>
        <v>SL1610</v>
      </c>
      <c r="L2002" s="2" t="s">
        <v>6485</v>
      </c>
      <c r="M2002" s="2" t="s">
        <v>24</v>
      </c>
      <c r="N2002" s="2" t="s">
        <v>60</v>
      </c>
      <c r="O2002" s="2">
        <v>1.10751038E8</v>
      </c>
      <c r="P2002" s="15"/>
      <c r="Q2002" s="8">
        <v>2025.0</v>
      </c>
      <c r="R2002" s="8" t="s">
        <v>5275</v>
      </c>
    </row>
    <row r="2003">
      <c r="A2003" s="4" t="s">
        <v>18</v>
      </c>
      <c r="B2003" s="2" t="s">
        <v>6486</v>
      </c>
      <c r="C2003" s="5">
        <v>46016.0</v>
      </c>
      <c r="D2003" s="5">
        <v>46016.0</v>
      </c>
      <c r="E2003" s="4" t="s">
        <v>6487</v>
      </c>
      <c r="F2003" s="9"/>
      <c r="G2003" s="6"/>
      <c r="H2003" s="7">
        <v>712.0</v>
      </c>
      <c r="I2003" s="11">
        <v>47671.53</v>
      </c>
      <c r="K2003" s="12" t="str">
        <f t="shared" si="256"/>
        <v>SL1610</v>
      </c>
      <c r="L2003" s="2" t="s">
        <v>6488</v>
      </c>
      <c r="M2003" s="2" t="s">
        <v>24</v>
      </c>
      <c r="N2003" s="2" t="s">
        <v>60</v>
      </c>
      <c r="O2003" s="2">
        <v>1.10751038E8</v>
      </c>
      <c r="P2003" s="15"/>
      <c r="Q2003" s="8">
        <v>2025.0</v>
      </c>
      <c r="R2003" s="8" t="s">
        <v>5275</v>
      </c>
    </row>
    <row r="2004">
      <c r="A2004" s="4" t="s">
        <v>18</v>
      </c>
      <c r="B2004" s="2" t="s">
        <v>6489</v>
      </c>
      <c r="C2004" s="5">
        <v>46016.0</v>
      </c>
      <c r="D2004" s="5">
        <v>46016.0</v>
      </c>
      <c r="E2004" s="4" t="s">
        <v>6490</v>
      </c>
      <c r="F2004" s="9"/>
      <c r="G2004" s="11">
        <v>1350.0</v>
      </c>
      <c r="H2004" s="6"/>
      <c r="I2004" s="11">
        <v>46321.53</v>
      </c>
      <c r="K2004" s="2" t="s">
        <v>127</v>
      </c>
      <c r="M2004" s="2" t="s">
        <v>114</v>
      </c>
      <c r="N2004" s="2" t="s">
        <v>2883</v>
      </c>
      <c r="O2004" s="2">
        <v>1.10751038E8</v>
      </c>
      <c r="Q2004" s="8">
        <v>2025.0</v>
      </c>
      <c r="R2004" s="8" t="s">
        <v>5275</v>
      </c>
    </row>
    <row r="2005">
      <c r="A2005" s="4" t="s">
        <v>18</v>
      </c>
      <c r="B2005" s="2" t="s">
        <v>6491</v>
      </c>
      <c r="C2005" s="5">
        <v>46017.0</v>
      </c>
      <c r="D2005" s="5">
        <v>46017.0</v>
      </c>
      <c r="E2005" s="4" t="s">
        <v>6492</v>
      </c>
      <c r="F2005" s="9"/>
      <c r="G2005" s="6"/>
      <c r="H2005" s="11">
        <v>1188.0</v>
      </c>
      <c r="I2005" s="11">
        <v>47509.53</v>
      </c>
      <c r="K2005" s="12" t="str">
        <f t="shared" ref="K2005:K2014" si="257">RIGHT(E2005,6)</f>
        <v>UN3668</v>
      </c>
      <c r="L2005" s="21" t="s">
        <v>6493</v>
      </c>
      <c r="M2005" s="2" t="s">
        <v>24</v>
      </c>
      <c r="N2005" s="2" t="s">
        <v>60</v>
      </c>
      <c r="O2005" s="2">
        <v>1.10751038E8</v>
      </c>
      <c r="P2005" s="15"/>
      <c r="Q2005" s="8">
        <v>2025.0</v>
      </c>
      <c r="R2005" s="8" t="s">
        <v>5275</v>
      </c>
    </row>
    <row r="2006">
      <c r="A2006" s="4" t="s">
        <v>18</v>
      </c>
      <c r="B2006" s="2" t="s">
        <v>6494</v>
      </c>
      <c r="C2006" s="5">
        <v>46017.0</v>
      </c>
      <c r="D2006" s="5">
        <v>46017.0</v>
      </c>
      <c r="E2006" s="4" t="s">
        <v>6495</v>
      </c>
      <c r="F2006" s="9"/>
      <c r="G2006" s="6"/>
      <c r="H2006" s="7">
        <v>784.0</v>
      </c>
      <c r="I2006" s="11">
        <v>48293.53</v>
      </c>
      <c r="K2006" s="12" t="str">
        <f t="shared" si="257"/>
        <v>UN3668</v>
      </c>
      <c r="L2006" s="21" t="s">
        <v>6496</v>
      </c>
      <c r="M2006" s="2" t="s">
        <v>24</v>
      </c>
      <c r="N2006" s="2" t="s">
        <v>60</v>
      </c>
      <c r="O2006" s="2">
        <v>1.10751038E8</v>
      </c>
      <c r="P2006" s="15"/>
      <c r="Q2006" s="8">
        <v>2025.0</v>
      </c>
      <c r="R2006" s="8" t="s">
        <v>5275</v>
      </c>
    </row>
    <row r="2007">
      <c r="A2007" s="4" t="s">
        <v>18</v>
      </c>
      <c r="B2007" s="2" t="s">
        <v>6497</v>
      </c>
      <c r="C2007" s="5">
        <v>46017.0</v>
      </c>
      <c r="D2007" s="5">
        <v>46017.0</v>
      </c>
      <c r="E2007" s="4" t="s">
        <v>6498</v>
      </c>
      <c r="F2007" s="9"/>
      <c r="G2007" s="6"/>
      <c r="H2007" s="7">
        <v>248.0</v>
      </c>
      <c r="I2007" s="11">
        <v>48541.53</v>
      </c>
      <c r="K2007" s="12" t="str">
        <f t="shared" si="257"/>
        <v>SC3567</v>
      </c>
      <c r="M2007" s="2" t="s">
        <v>24</v>
      </c>
      <c r="N2007" s="2" t="s">
        <v>60</v>
      </c>
      <c r="O2007" s="2">
        <v>1.10751038E8</v>
      </c>
      <c r="P2007" s="15" t="str">
        <f>IFERROR(__xludf.DUMMYFUNCTION("CONCATENATE(B2007,"", "", to_text(D2007),"", "", E2007,"", "", H2007)"),"TSV-11-0863, 26-Dec-2025, UPI/CR/536027506369/VIKAS RA/HDFC/9582229/SC3567, 248")</f>
        <v>TSV-11-0863, 26-Dec-2025, UPI/CR/536027506369/VIKAS RA/HDFC/9582229/SC3567, 248</v>
      </c>
      <c r="Q2007" s="8">
        <v>2025.0</v>
      </c>
      <c r="R2007" s="8" t="s">
        <v>5275</v>
      </c>
    </row>
    <row r="2008">
      <c r="A2008" s="4" t="s">
        <v>18</v>
      </c>
      <c r="B2008" s="2" t="s">
        <v>6499</v>
      </c>
      <c r="C2008" s="5">
        <v>46017.0</v>
      </c>
      <c r="D2008" s="5">
        <v>46017.0</v>
      </c>
      <c r="E2008" s="4" t="s">
        <v>6500</v>
      </c>
      <c r="F2008" s="9"/>
      <c r="G2008" s="6"/>
      <c r="H2008" s="7">
        <v>300.0</v>
      </c>
      <c r="I2008" s="11">
        <v>48841.53</v>
      </c>
      <c r="K2008" s="12" t="str">
        <f t="shared" si="257"/>
        <v>KN3817</v>
      </c>
      <c r="L2008" s="2" t="s">
        <v>6501</v>
      </c>
      <c r="M2008" s="2" t="s">
        <v>24</v>
      </c>
      <c r="N2008" s="2" t="s">
        <v>60</v>
      </c>
      <c r="O2008" s="2">
        <v>1.10751038E8</v>
      </c>
      <c r="P2008" s="15"/>
      <c r="Q2008" s="8">
        <v>2025.0</v>
      </c>
      <c r="R2008" s="8" t="s">
        <v>5275</v>
      </c>
    </row>
    <row r="2009">
      <c r="A2009" s="4" t="s">
        <v>18</v>
      </c>
      <c r="B2009" s="2" t="s">
        <v>6502</v>
      </c>
      <c r="C2009" s="5">
        <v>46017.0</v>
      </c>
      <c r="D2009" s="5">
        <v>46017.0</v>
      </c>
      <c r="E2009" s="4" t="s">
        <v>6503</v>
      </c>
      <c r="F2009" s="9"/>
      <c r="G2009" s="6"/>
      <c r="H2009" s="11">
        <v>1000.0</v>
      </c>
      <c r="I2009" s="11">
        <v>49841.53</v>
      </c>
      <c r="K2009" s="12" t="str">
        <f t="shared" si="257"/>
        <v>SC3567</v>
      </c>
      <c r="M2009" s="2" t="s">
        <v>24</v>
      </c>
      <c r="N2009" s="2" t="s">
        <v>60</v>
      </c>
      <c r="O2009" s="2">
        <v>1.10751038E8</v>
      </c>
      <c r="P2009" s="15" t="str">
        <f>IFERROR(__xludf.DUMMYFUNCTION("CONCATENATE(B2009,"", "", to_text(D2009),"", "", E2009,"", "", H2009)"),"TSV-11-0865, 26-Dec-2025, UPI/CR/536015206487/ANUP KHA/ICIC/7042491/SC3567, 1000")</f>
        <v>TSV-11-0865, 26-Dec-2025, UPI/CR/536015206487/ANUP KHA/ICIC/7042491/SC3567, 1000</v>
      </c>
      <c r="Q2009" s="8">
        <v>2025.0</v>
      </c>
      <c r="R2009" s="8" t="s">
        <v>5275</v>
      </c>
    </row>
    <row r="2010">
      <c r="A2010" s="4" t="s">
        <v>18</v>
      </c>
      <c r="B2010" s="2" t="s">
        <v>6504</v>
      </c>
      <c r="C2010" s="5">
        <v>46017.0</v>
      </c>
      <c r="D2010" s="5">
        <v>46017.0</v>
      </c>
      <c r="E2010" s="4" t="s">
        <v>6505</v>
      </c>
      <c r="F2010" s="9"/>
      <c r="G2010" s="6"/>
      <c r="H2010" s="7">
        <v>270.0</v>
      </c>
      <c r="I2010" s="11">
        <v>50111.53</v>
      </c>
      <c r="K2010" s="12" t="str">
        <f t="shared" si="257"/>
        <v>UN3668</v>
      </c>
      <c r="L2010" s="21" t="s">
        <v>6506</v>
      </c>
      <c r="M2010" s="2" t="s">
        <v>24</v>
      </c>
      <c r="N2010" s="2" t="s">
        <v>60</v>
      </c>
      <c r="O2010" s="2">
        <v>1.10751038E8</v>
      </c>
      <c r="P2010" s="15"/>
      <c r="Q2010" s="8">
        <v>2025.0</v>
      </c>
      <c r="R2010" s="8" t="s">
        <v>5275</v>
      </c>
    </row>
    <row r="2011">
      <c r="A2011" s="4" t="s">
        <v>18</v>
      </c>
      <c r="B2011" s="2" t="s">
        <v>6507</v>
      </c>
      <c r="C2011" s="5">
        <v>46017.0</v>
      </c>
      <c r="D2011" s="5">
        <v>46017.0</v>
      </c>
      <c r="E2011" s="4" t="s">
        <v>6508</v>
      </c>
      <c r="F2011" s="9"/>
      <c r="G2011" s="6"/>
      <c r="H2011" s="7">
        <v>963.0</v>
      </c>
      <c r="I2011" s="11">
        <v>51074.53</v>
      </c>
      <c r="K2011" s="12" t="str">
        <f t="shared" si="257"/>
        <v>SL1610</v>
      </c>
      <c r="L2011" s="2" t="s">
        <v>6509</v>
      </c>
      <c r="M2011" s="2" t="s">
        <v>24</v>
      </c>
      <c r="N2011" s="2" t="s">
        <v>60</v>
      </c>
      <c r="O2011" s="2">
        <v>1.10751038E8</v>
      </c>
      <c r="P2011" s="15"/>
      <c r="Q2011" s="8">
        <v>2025.0</v>
      </c>
      <c r="R2011" s="8" t="s">
        <v>5275</v>
      </c>
    </row>
    <row r="2012">
      <c r="A2012" s="4" t="s">
        <v>18</v>
      </c>
      <c r="B2012" s="2" t="s">
        <v>6510</v>
      </c>
      <c r="C2012" s="5">
        <v>46017.0</v>
      </c>
      <c r="D2012" s="5">
        <v>46017.0</v>
      </c>
      <c r="E2012" s="4" t="s">
        <v>6511</v>
      </c>
      <c r="F2012" s="9"/>
      <c r="G2012" s="6"/>
      <c r="H2012" s="11">
        <v>1296.0</v>
      </c>
      <c r="I2012" s="11">
        <v>52370.53</v>
      </c>
      <c r="K2012" s="12" t="str">
        <f t="shared" si="257"/>
        <v>SC3567</v>
      </c>
      <c r="M2012" s="2" t="s">
        <v>24</v>
      </c>
      <c r="N2012" s="2" t="s">
        <v>60</v>
      </c>
      <c r="O2012" s="2">
        <v>1.10751038E8</v>
      </c>
      <c r="P2012" s="15" t="str">
        <f>IFERROR(__xludf.DUMMYFUNCTION("CONCATENATE(B2012,"", "", to_text(D2012),"", "", E2012,"", "", H2012)"),"TSV-11-0868, 26-Dec-2025, UPI/CR/116218335947/PRASHANT/KKBK/kansal7/SC3567, 1296")</f>
        <v>TSV-11-0868, 26-Dec-2025, UPI/CR/116218335947/PRASHANT/KKBK/kansal7/SC3567, 1296</v>
      </c>
      <c r="Q2012" s="8">
        <v>2025.0</v>
      </c>
      <c r="R2012" s="8" t="s">
        <v>5275</v>
      </c>
    </row>
    <row r="2013">
      <c r="A2013" s="4" t="s">
        <v>18</v>
      </c>
      <c r="B2013" s="2" t="s">
        <v>6512</v>
      </c>
      <c r="C2013" s="5">
        <v>46017.0</v>
      </c>
      <c r="D2013" s="5">
        <v>46017.0</v>
      </c>
      <c r="E2013" s="4" t="s">
        <v>6513</v>
      </c>
      <c r="F2013" s="9"/>
      <c r="G2013" s="6"/>
      <c r="H2013" s="7">
        <v>832.0</v>
      </c>
      <c r="I2013" s="11">
        <v>53202.53</v>
      </c>
      <c r="K2013" s="12" t="str">
        <f t="shared" si="257"/>
        <v>UN3668</v>
      </c>
      <c r="L2013" s="21" t="s">
        <v>6514</v>
      </c>
      <c r="M2013" s="2" t="s">
        <v>24</v>
      </c>
      <c r="N2013" s="2" t="s">
        <v>60</v>
      </c>
      <c r="O2013" s="2">
        <v>1.10751038E8</v>
      </c>
      <c r="P2013" s="15"/>
      <c r="Q2013" s="8">
        <v>2025.0</v>
      </c>
      <c r="R2013" s="8" t="s">
        <v>5275</v>
      </c>
    </row>
    <row r="2014">
      <c r="A2014" s="4" t="s">
        <v>18</v>
      </c>
      <c r="B2014" s="2" t="s">
        <v>6515</v>
      </c>
      <c r="C2014" s="5">
        <v>46017.0</v>
      </c>
      <c r="D2014" s="5">
        <v>46017.0</v>
      </c>
      <c r="E2014" s="4" t="s">
        <v>6516</v>
      </c>
      <c r="F2014" s="9"/>
      <c r="G2014" s="6"/>
      <c r="H2014" s="7">
        <v>296.0</v>
      </c>
      <c r="I2014" s="11">
        <v>53498.53</v>
      </c>
      <c r="K2014" s="12" t="str">
        <f t="shared" si="257"/>
        <v>UN3668</v>
      </c>
      <c r="L2014" s="21" t="s">
        <v>6517</v>
      </c>
      <c r="M2014" s="2" t="s">
        <v>24</v>
      </c>
      <c r="N2014" s="2" t="s">
        <v>60</v>
      </c>
      <c r="O2014" s="2">
        <v>1.10751038E8</v>
      </c>
      <c r="P2014" s="15"/>
      <c r="Q2014" s="8">
        <v>2025.0</v>
      </c>
      <c r="R2014" s="8" t="s">
        <v>5275</v>
      </c>
    </row>
    <row r="2015">
      <c r="A2015" s="4" t="s">
        <v>18</v>
      </c>
      <c r="B2015" s="2" t="s">
        <v>6518</v>
      </c>
      <c r="C2015" s="5">
        <v>46017.0</v>
      </c>
      <c r="D2015" s="5">
        <v>46017.0</v>
      </c>
      <c r="E2015" s="4" t="s">
        <v>6519</v>
      </c>
      <c r="F2015" s="9"/>
      <c r="G2015" s="6"/>
      <c r="H2015" s="7">
        <v>705.0</v>
      </c>
      <c r="I2015" s="11">
        <v>54203.53</v>
      </c>
      <c r="K2015" s="2" t="s">
        <v>539</v>
      </c>
      <c r="M2015" s="2" t="s">
        <v>24</v>
      </c>
      <c r="N2015" s="2" t="s">
        <v>60</v>
      </c>
      <c r="O2015" s="2">
        <v>1.10751038E8</v>
      </c>
      <c r="P2015" s="15" t="str">
        <f>IFERROR(__xludf.DUMMYFUNCTION("CONCATENATE(B2015,"", "", to_text(D2015),"", "", E2015,"", "", H2015)"),"TSV-11-0871, 26-Dec-2025, UPI/CR/536017482648/NIKHIL B/ICIC/nikhilb/UPI, 705")</f>
        <v>TSV-11-0871, 26-Dec-2025, UPI/CR/536017482648/NIKHIL B/ICIC/nikhilb/UPI, 705</v>
      </c>
      <c r="Q2015" s="8">
        <v>2025.0</v>
      </c>
      <c r="R2015" s="8" t="s">
        <v>5275</v>
      </c>
    </row>
    <row r="2016">
      <c r="A2016" s="4" t="s">
        <v>18</v>
      </c>
      <c r="B2016" s="2" t="s">
        <v>6520</v>
      </c>
      <c r="C2016" s="5">
        <v>46017.0</v>
      </c>
      <c r="D2016" s="5">
        <v>46017.0</v>
      </c>
      <c r="E2016" s="4" t="s">
        <v>6521</v>
      </c>
      <c r="F2016" s="9"/>
      <c r="G2016" s="6"/>
      <c r="H2016" s="7">
        <v>315.0</v>
      </c>
      <c r="I2016" s="11">
        <v>54518.53</v>
      </c>
      <c r="K2016" s="12" t="str">
        <f t="shared" ref="K2016:K2017" si="258">RIGHT(E2016,6)</f>
        <v>UN3668</v>
      </c>
      <c r="L2016" s="21" t="s">
        <v>6522</v>
      </c>
      <c r="M2016" s="2" t="s">
        <v>24</v>
      </c>
      <c r="N2016" s="2" t="s">
        <v>60</v>
      </c>
      <c r="O2016" s="2">
        <v>1.10751038E8</v>
      </c>
      <c r="P2016" s="15"/>
      <c r="Q2016" s="8">
        <v>2025.0</v>
      </c>
      <c r="R2016" s="8" t="s">
        <v>5275</v>
      </c>
    </row>
    <row r="2017">
      <c r="A2017" s="4" t="s">
        <v>18</v>
      </c>
      <c r="B2017" s="2" t="s">
        <v>6523</v>
      </c>
      <c r="C2017" s="5">
        <v>46017.0</v>
      </c>
      <c r="D2017" s="5">
        <v>46017.0</v>
      </c>
      <c r="E2017" s="4" t="s">
        <v>6524</v>
      </c>
      <c r="F2017" s="9"/>
      <c r="G2017" s="6"/>
      <c r="H2017" s="7">
        <v>432.0</v>
      </c>
      <c r="I2017" s="11">
        <v>54950.53</v>
      </c>
      <c r="K2017" s="12" t="str">
        <f t="shared" si="258"/>
        <v>UN3668</v>
      </c>
      <c r="L2017" s="21" t="s">
        <v>6525</v>
      </c>
      <c r="M2017" s="2" t="s">
        <v>24</v>
      </c>
      <c r="N2017" s="2" t="s">
        <v>60</v>
      </c>
      <c r="O2017" s="2">
        <v>1.10751038E8</v>
      </c>
      <c r="P2017" s="15"/>
      <c r="Q2017" s="8">
        <v>2025.0</v>
      </c>
      <c r="R2017" s="8" t="s">
        <v>5275</v>
      </c>
    </row>
    <row r="2018">
      <c r="A2018" s="4" t="s">
        <v>18</v>
      </c>
      <c r="B2018" s="2" t="s">
        <v>6526</v>
      </c>
      <c r="C2018" s="5">
        <v>46017.0</v>
      </c>
      <c r="D2018" s="5">
        <v>46017.0</v>
      </c>
      <c r="E2018" s="4" t="s">
        <v>6527</v>
      </c>
      <c r="F2018" s="9"/>
      <c r="G2018" s="11">
        <v>14595.0</v>
      </c>
      <c r="H2018" s="6"/>
      <c r="I2018" s="11">
        <v>40355.53</v>
      </c>
      <c r="K2018" s="2" t="s">
        <v>113</v>
      </c>
      <c r="M2018" s="2" t="s">
        <v>114</v>
      </c>
      <c r="N2018" s="2" t="s">
        <v>220</v>
      </c>
      <c r="O2018" s="2">
        <v>1.10751038E8</v>
      </c>
      <c r="Q2018" s="8">
        <v>2025.0</v>
      </c>
      <c r="R2018" s="8" t="s">
        <v>5275</v>
      </c>
    </row>
    <row r="2019">
      <c r="A2019" s="4" t="s">
        <v>18</v>
      </c>
      <c r="B2019" s="2" t="s">
        <v>6528</v>
      </c>
      <c r="C2019" s="5">
        <v>46017.0</v>
      </c>
      <c r="D2019" s="5">
        <v>46017.0</v>
      </c>
      <c r="E2019" s="4" t="s">
        <v>6529</v>
      </c>
      <c r="F2019" s="9"/>
      <c r="G2019" s="11">
        <v>10570.0</v>
      </c>
      <c r="H2019" s="6"/>
      <c r="I2019" s="11">
        <v>29785.53</v>
      </c>
      <c r="K2019" s="2" t="s">
        <v>119</v>
      </c>
      <c r="M2019" s="2" t="s">
        <v>114</v>
      </c>
      <c r="N2019" s="2" t="s">
        <v>220</v>
      </c>
      <c r="O2019" s="2">
        <v>1.10751038E8</v>
      </c>
      <c r="Q2019" s="8">
        <v>2025.0</v>
      </c>
      <c r="R2019" s="8" t="s">
        <v>5275</v>
      </c>
    </row>
    <row r="2020">
      <c r="A2020" s="4" t="s">
        <v>18</v>
      </c>
      <c r="B2020" s="2" t="s">
        <v>6530</v>
      </c>
      <c r="C2020" s="5">
        <v>46017.0</v>
      </c>
      <c r="D2020" s="5">
        <v>46017.0</v>
      </c>
      <c r="E2020" s="4" t="s">
        <v>6531</v>
      </c>
      <c r="F2020" s="9"/>
      <c r="G2020" s="6"/>
      <c r="H2020" s="11">
        <v>2000.0</v>
      </c>
      <c r="I2020" s="11">
        <v>31785.53</v>
      </c>
      <c r="K2020" s="12" t="str">
        <f t="shared" ref="K2020:K2027" si="259">RIGHT(E2020,6)</f>
        <v>UN3668</v>
      </c>
      <c r="L2020" s="21" t="s">
        <v>6532</v>
      </c>
      <c r="M2020" s="2" t="s">
        <v>24</v>
      </c>
      <c r="N2020" s="2" t="s">
        <v>60</v>
      </c>
      <c r="O2020" s="2">
        <v>1.10751038E8</v>
      </c>
      <c r="P2020" s="15"/>
      <c r="Q2020" s="8">
        <v>2025.0</v>
      </c>
      <c r="R2020" s="8" t="s">
        <v>5275</v>
      </c>
    </row>
    <row r="2021">
      <c r="A2021" s="4" t="s">
        <v>18</v>
      </c>
      <c r="B2021" s="2" t="s">
        <v>6533</v>
      </c>
      <c r="C2021" s="5">
        <v>46017.0</v>
      </c>
      <c r="D2021" s="5">
        <v>46017.0</v>
      </c>
      <c r="E2021" s="4" t="s">
        <v>6534</v>
      </c>
      <c r="F2021" s="9"/>
      <c r="G2021" s="6"/>
      <c r="H2021" s="11">
        <v>1317.0</v>
      </c>
      <c r="I2021" s="11">
        <v>33102.53</v>
      </c>
      <c r="K2021" s="12" t="str">
        <f t="shared" si="259"/>
        <v>SL1610</v>
      </c>
      <c r="L2021" s="2" t="s">
        <v>6535</v>
      </c>
      <c r="M2021" s="2" t="s">
        <v>24</v>
      </c>
      <c r="N2021" s="2" t="s">
        <v>60</v>
      </c>
      <c r="O2021" s="2">
        <v>1.10751038E8</v>
      </c>
      <c r="P2021" s="15"/>
      <c r="Q2021" s="8">
        <v>2025.0</v>
      </c>
      <c r="R2021" s="8" t="s">
        <v>5275</v>
      </c>
    </row>
    <row r="2022">
      <c r="A2022" s="4" t="s">
        <v>18</v>
      </c>
      <c r="B2022" s="2" t="s">
        <v>6536</v>
      </c>
      <c r="C2022" s="5">
        <v>46017.0</v>
      </c>
      <c r="D2022" s="5">
        <v>46017.0</v>
      </c>
      <c r="E2022" s="4" t="s">
        <v>6537</v>
      </c>
      <c r="F2022" s="9"/>
      <c r="G2022" s="6"/>
      <c r="H2022" s="11">
        <v>2000.0</v>
      </c>
      <c r="I2022" s="11">
        <v>35102.53</v>
      </c>
      <c r="K2022" s="12" t="str">
        <f t="shared" si="259"/>
        <v>UN3668</v>
      </c>
      <c r="L2022" s="21" t="s">
        <v>6532</v>
      </c>
      <c r="M2022" s="2" t="s">
        <v>24</v>
      </c>
      <c r="N2022" s="2" t="s">
        <v>60</v>
      </c>
      <c r="O2022" s="2">
        <v>1.10751038E8</v>
      </c>
      <c r="P2022" s="15"/>
      <c r="Q2022" s="8">
        <v>2025.0</v>
      </c>
      <c r="R2022" s="8" t="s">
        <v>5275</v>
      </c>
    </row>
    <row r="2023">
      <c r="A2023" s="4" t="s">
        <v>18</v>
      </c>
      <c r="B2023" s="2" t="s">
        <v>6538</v>
      </c>
      <c r="C2023" s="5">
        <v>46017.0</v>
      </c>
      <c r="D2023" s="5">
        <v>46017.0</v>
      </c>
      <c r="E2023" s="4" t="s">
        <v>6539</v>
      </c>
      <c r="F2023" s="9"/>
      <c r="G2023" s="6"/>
      <c r="H2023" s="7">
        <v>560.0</v>
      </c>
      <c r="I2023" s="11">
        <v>35662.53</v>
      </c>
      <c r="K2023" s="12" t="str">
        <f t="shared" si="259"/>
        <v>KN3817</v>
      </c>
      <c r="L2023" s="2" t="s">
        <v>6435</v>
      </c>
      <c r="M2023" s="2" t="s">
        <v>24</v>
      </c>
      <c r="N2023" s="2" t="s">
        <v>60</v>
      </c>
      <c r="O2023" s="2">
        <v>1.10751038E8</v>
      </c>
      <c r="P2023" s="15"/>
      <c r="Q2023" s="8">
        <v>2025.0</v>
      </c>
      <c r="R2023" s="8" t="s">
        <v>5275</v>
      </c>
    </row>
    <row r="2024">
      <c r="A2024" s="4" t="s">
        <v>18</v>
      </c>
      <c r="B2024" s="2" t="s">
        <v>6540</v>
      </c>
      <c r="C2024" s="5">
        <v>46017.0</v>
      </c>
      <c r="D2024" s="5">
        <v>46017.0</v>
      </c>
      <c r="E2024" s="4" t="s">
        <v>6541</v>
      </c>
      <c r="F2024" s="9"/>
      <c r="G2024" s="6"/>
      <c r="H2024" s="7">
        <v>400.0</v>
      </c>
      <c r="I2024" s="11">
        <v>36062.53</v>
      </c>
      <c r="K2024" s="12" t="str">
        <f t="shared" si="259"/>
        <v>UN3668</v>
      </c>
      <c r="L2024" s="21" t="s">
        <v>6542</v>
      </c>
      <c r="M2024" s="2" t="s">
        <v>24</v>
      </c>
      <c r="N2024" s="2" t="s">
        <v>60</v>
      </c>
      <c r="O2024" s="2">
        <v>1.10751038E8</v>
      </c>
      <c r="P2024" s="15"/>
      <c r="Q2024" s="8">
        <v>2025.0</v>
      </c>
      <c r="R2024" s="8" t="s">
        <v>5275</v>
      </c>
    </row>
    <row r="2025">
      <c r="A2025" s="4" t="s">
        <v>18</v>
      </c>
      <c r="B2025" s="2" t="s">
        <v>6543</v>
      </c>
      <c r="C2025" s="5">
        <v>46017.0</v>
      </c>
      <c r="D2025" s="5">
        <v>46017.0</v>
      </c>
      <c r="E2025" s="4" t="s">
        <v>6544</v>
      </c>
      <c r="F2025" s="9"/>
      <c r="G2025" s="6"/>
      <c r="H2025" s="7">
        <v>849.0</v>
      </c>
      <c r="I2025" s="11">
        <v>36911.53</v>
      </c>
      <c r="K2025" s="12" t="str">
        <f t="shared" si="259"/>
        <v>SC3567</v>
      </c>
      <c r="M2025" s="2" t="s">
        <v>24</v>
      </c>
      <c r="N2025" s="2" t="s">
        <v>60</v>
      </c>
      <c r="O2025" s="2">
        <v>1.10751038E8</v>
      </c>
      <c r="P2025" s="15" t="str">
        <f>IFERROR(__xludf.DUMMYFUNCTION("CONCATENATE(B2025,"", "", to_text(D2025),"", "", E2025,"", "", H2025)"),"TSV-11-0881, 26-Dec-2025, UPI/CR/572603375897/SHILPI /SBIN/8750977/SC3567, 849")</f>
        <v>TSV-11-0881, 26-Dec-2025, UPI/CR/572603375897/SHILPI /SBIN/8750977/SC3567, 849</v>
      </c>
      <c r="Q2025" s="8">
        <v>2025.0</v>
      </c>
      <c r="R2025" s="8" t="s">
        <v>5275</v>
      </c>
    </row>
    <row r="2026">
      <c r="A2026" s="4" t="s">
        <v>18</v>
      </c>
      <c r="B2026" s="2" t="s">
        <v>6545</v>
      </c>
      <c r="C2026" s="5">
        <v>46017.0</v>
      </c>
      <c r="D2026" s="5">
        <v>46017.0</v>
      </c>
      <c r="E2026" s="4" t="s">
        <v>6546</v>
      </c>
      <c r="F2026" s="9"/>
      <c r="G2026" s="6"/>
      <c r="H2026" s="7">
        <v>539.0</v>
      </c>
      <c r="I2026" s="11">
        <v>37450.53</v>
      </c>
      <c r="K2026" s="12" t="str">
        <f t="shared" si="259"/>
        <v>SC3567</v>
      </c>
      <c r="M2026" s="2" t="s">
        <v>24</v>
      </c>
      <c r="N2026" s="2" t="s">
        <v>60</v>
      </c>
      <c r="O2026" s="2">
        <v>1.10751038E8</v>
      </c>
      <c r="P2026" s="15" t="str">
        <f>IFERROR(__xludf.DUMMYFUNCTION("CONCATENATE(B2026,"", "", to_text(D2026),"", "", E2026,"", "", H2026)"),"TSV-11-0882, 26-Dec-2025, UPI/CR/572615385777/SHILPI /SBIN/8750977/SC3567, 539")</f>
        <v>TSV-11-0882, 26-Dec-2025, UPI/CR/572615385777/SHILPI /SBIN/8750977/SC3567, 539</v>
      </c>
      <c r="Q2026" s="8">
        <v>2025.0</v>
      </c>
      <c r="R2026" s="8" t="s">
        <v>5275</v>
      </c>
    </row>
    <row r="2027">
      <c r="A2027" s="4" t="s">
        <v>18</v>
      </c>
      <c r="B2027" s="2" t="s">
        <v>6547</v>
      </c>
      <c r="C2027" s="5">
        <v>46017.0</v>
      </c>
      <c r="D2027" s="5">
        <v>46017.0</v>
      </c>
      <c r="E2027" s="4" t="s">
        <v>6548</v>
      </c>
      <c r="F2027" s="9"/>
      <c r="G2027" s="6"/>
      <c r="H2027" s="7">
        <v>746.0</v>
      </c>
      <c r="I2027" s="11">
        <v>38196.53</v>
      </c>
      <c r="K2027" s="12" t="str">
        <f t="shared" si="259"/>
        <v>SC3567</v>
      </c>
      <c r="M2027" s="2" t="s">
        <v>24</v>
      </c>
      <c r="N2027" s="2" t="s">
        <v>60</v>
      </c>
      <c r="O2027" s="2">
        <v>1.10751038E8</v>
      </c>
      <c r="P2027" s="15" t="str">
        <f>IFERROR(__xludf.DUMMYFUNCTION("CONCATENATE(B2027,"", "", to_text(D2027),"", "", E2027,"", "", H2027)"),"TSV-11-0883, 26-Dec-2025, UPI/CR/394418463553/DHARM SI/ICIC/9891889/SC3567, 746")</f>
        <v>TSV-11-0883, 26-Dec-2025, UPI/CR/394418463553/DHARM SI/ICIC/9891889/SC3567, 746</v>
      </c>
      <c r="Q2027" s="8">
        <v>2025.0</v>
      </c>
      <c r="R2027" s="8" t="s">
        <v>5275</v>
      </c>
    </row>
    <row r="2028">
      <c r="A2028" s="4" t="s">
        <v>18</v>
      </c>
      <c r="B2028" s="2" t="s">
        <v>6549</v>
      </c>
      <c r="C2028" s="5">
        <v>46018.0</v>
      </c>
      <c r="D2028" s="5">
        <v>46018.0</v>
      </c>
      <c r="E2028" s="4" t="s">
        <v>6550</v>
      </c>
      <c r="F2028" s="9"/>
      <c r="G2028" s="11">
        <v>2000.0</v>
      </c>
      <c r="H2028" s="27"/>
      <c r="I2028" s="11">
        <v>36196.53</v>
      </c>
      <c r="J2028" s="2" t="s">
        <v>6551</v>
      </c>
      <c r="K2028" s="2" t="s">
        <v>127</v>
      </c>
      <c r="M2028" s="2" t="s">
        <v>114</v>
      </c>
      <c r="N2028" s="2" t="s">
        <v>385</v>
      </c>
      <c r="O2028" s="2">
        <v>1.10751038E8</v>
      </c>
      <c r="Q2028" s="8">
        <v>2025.0</v>
      </c>
      <c r="R2028" s="8" t="s">
        <v>5275</v>
      </c>
    </row>
    <row r="2029">
      <c r="A2029" s="4" t="s">
        <v>18</v>
      </c>
      <c r="B2029" s="2" t="s">
        <v>6552</v>
      </c>
      <c r="C2029" s="5">
        <v>46018.0</v>
      </c>
      <c r="D2029" s="5">
        <v>46018.0</v>
      </c>
      <c r="E2029" s="4" t="s">
        <v>6553</v>
      </c>
      <c r="F2029" s="9"/>
      <c r="G2029" s="11">
        <v>3000.0</v>
      </c>
      <c r="H2029" s="27"/>
      <c r="I2029" s="11">
        <v>33196.53</v>
      </c>
      <c r="J2029" s="2" t="s">
        <v>6554</v>
      </c>
      <c r="K2029" s="2" t="s">
        <v>123</v>
      </c>
      <c r="M2029" s="2" t="s">
        <v>114</v>
      </c>
      <c r="N2029" s="2" t="s">
        <v>169</v>
      </c>
      <c r="O2029" s="2">
        <v>1.10751038E8</v>
      </c>
      <c r="Q2029" s="8">
        <v>2025.0</v>
      </c>
      <c r="R2029" s="8" t="s">
        <v>5275</v>
      </c>
    </row>
    <row r="2030">
      <c r="A2030" s="4" t="s">
        <v>18</v>
      </c>
      <c r="B2030" s="2" t="s">
        <v>6555</v>
      </c>
      <c r="C2030" s="5">
        <v>46018.0</v>
      </c>
      <c r="D2030" s="5">
        <v>46018.0</v>
      </c>
      <c r="E2030" s="4" t="s">
        <v>6556</v>
      </c>
      <c r="F2030" s="9"/>
      <c r="G2030" s="11">
        <v>3000.0</v>
      </c>
      <c r="H2030" s="27"/>
      <c r="I2030" s="11">
        <v>30196.53</v>
      </c>
      <c r="J2030" s="2" t="s">
        <v>6557</v>
      </c>
      <c r="K2030" s="2" t="s">
        <v>127</v>
      </c>
      <c r="M2030" s="2" t="s">
        <v>114</v>
      </c>
      <c r="N2030" s="2" t="s">
        <v>169</v>
      </c>
      <c r="O2030" s="2">
        <v>1.10751038E8</v>
      </c>
      <c r="Q2030" s="8">
        <v>2025.0</v>
      </c>
      <c r="R2030" s="8" t="s">
        <v>5275</v>
      </c>
    </row>
    <row r="2031">
      <c r="A2031" s="4" t="s">
        <v>18</v>
      </c>
      <c r="B2031" s="2" t="s">
        <v>6558</v>
      </c>
      <c r="C2031" s="5">
        <v>46018.0</v>
      </c>
      <c r="D2031" s="5">
        <v>46018.0</v>
      </c>
      <c r="E2031" s="4" t="s">
        <v>6559</v>
      </c>
      <c r="F2031" s="9"/>
      <c r="G2031" s="6"/>
      <c r="H2031" s="7">
        <v>762.0</v>
      </c>
      <c r="I2031" s="11">
        <v>30958.53</v>
      </c>
      <c r="K2031" s="12" t="str">
        <f t="shared" ref="K2031:K2035" si="260">RIGHT(E2031,6)</f>
        <v>KN3817</v>
      </c>
      <c r="M2031" s="2" t="s">
        <v>24</v>
      </c>
      <c r="N2031" s="2" t="s">
        <v>60</v>
      </c>
      <c r="O2031" s="2">
        <v>1.10751038E8</v>
      </c>
      <c r="P2031" s="15" t="str">
        <f>IFERROR(__xludf.DUMMYFUNCTION("CONCATENATE(B2031,"", "", to_text(D2031),"", "", E2031,"", "", H2031)"),"TSV-11-0887, 27-Dec-2025, UPI/CR/039227876048/RAJA KUM/IBKL/6289399/KN3817, 762")</f>
        <v>TSV-11-0887, 27-Dec-2025, UPI/CR/039227876048/RAJA KUM/IBKL/6289399/KN3817, 762</v>
      </c>
      <c r="Q2031" s="8">
        <v>2025.0</v>
      </c>
      <c r="R2031" s="8" t="s">
        <v>5275</v>
      </c>
    </row>
    <row r="2032">
      <c r="A2032" s="4" t="s">
        <v>18</v>
      </c>
      <c r="B2032" s="2" t="s">
        <v>6560</v>
      </c>
      <c r="C2032" s="5">
        <v>46018.0</v>
      </c>
      <c r="D2032" s="5">
        <v>46018.0</v>
      </c>
      <c r="E2032" s="4" t="s">
        <v>6561</v>
      </c>
      <c r="F2032" s="9"/>
      <c r="G2032" s="6"/>
      <c r="H2032" s="7">
        <v>943.0</v>
      </c>
      <c r="I2032" s="11">
        <v>31901.53</v>
      </c>
      <c r="K2032" s="12" t="str">
        <f t="shared" si="260"/>
        <v>SC3567</v>
      </c>
      <c r="M2032" s="2" t="s">
        <v>24</v>
      </c>
      <c r="N2032" s="2" t="s">
        <v>60</v>
      </c>
      <c r="O2032" s="2">
        <v>1.10751038E8</v>
      </c>
      <c r="P2032" s="15" t="str">
        <f>IFERROR(__xludf.DUMMYFUNCTION("CONCATENATE(B2032,"", "", to_text(D2032),"", "", E2032,"", "", H2032)"),"TSV-11-0888, 27-Dec-2025, UPI/CR/536174054011/BABU LAL/CNRB/chhibbe/SC3567, 943")</f>
        <v>TSV-11-0888, 27-Dec-2025, UPI/CR/536174054011/BABU LAL/CNRB/chhibbe/SC3567, 943</v>
      </c>
      <c r="Q2032" s="8">
        <v>2025.0</v>
      </c>
      <c r="R2032" s="8" t="s">
        <v>5275</v>
      </c>
    </row>
    <row r="2033">
      <c r="A2033" s="4" t="s">
        <v>18</v>
      </c>
      <c r="B2033" s="2" t="s">
        <v>6562</v>
      </c>
      <c r="C2033" s="5">
        <v>46018.0</v>
      </c>
      <c r="D2033" s="5">
        <v>46018.0</v>
      </c>
      <c r="E2033" s="4" t="s">
        <v>6563</v>
      </c>
      <c r="F2033" s="9"/>
      <c r="G2033" s="6"/>
      <c r="H2033" s="11">
        <v>1060.0</v>
      </c>
      <c r="I2033" s="11">
        <v>32961.53</v>
      </c>
      <c r="K2033" s="12" t="str">
        <f t="shared" si="260"/>
        <v>SL1610</v>
      </c>
      <c r="L2033" s="2" t="s">
        <v>6564</v>
      </c>
      <c r="M2033" s="2" t="s">
        <v>24</v>
      </c>
      <c r="N2033" s="2" t="s">
        <v>60</v>
      </c>
      <c r="O2033" s="2">
        <v>1.10751038E8</v>
      </c>
      <c r="P2033" s="15"/>
      <c r="Q2033" s="8">
        <v>2025.0</v>
      </c>
      <c r="R2033" s="8" t="s">
        <v>5275</v>
      </c>
    </row>
    <row r="2034">
      <c r="A2034" s="4" t="s">
        <v>18</v>
      </c>
      <c r="B2034" s="2" t="s">
        <v>6565</v>
      </c>
      <c r="C2034" s="5">
        <v>46018.0</v>
      </c>
      <c r="D2034" s="5">
        <v>46018.0</v>
      </c>
      <c r="E2034" s="4" t="s">
        <v>6566</v>
      </c>
      <c r="F2034" s="9"/>
      <c r="G2034" s="6"/>
      <c r="H2034" s="7">
        <v>304.0</v>
      </c>
      <c r="I2034" s="11">
        <v>33265.53</v>
      </c>
      <c r="K2034" s="12" t="str">
        <f t="shared" si="260"/>
        <v>UN3668</v>
      </c>
      <c r="L2034" s="21" t="s">
        <v>6567</v>
      </c>
      <c r="M2034" s="2" t="s">
        <v>24</v>
      </c>
      <c r="N2034" s="2" t="s">
        <v>60</v>
      </c>
      <c r="O2034" s="2">
        <v>1.10751038E8</v>
      </c>
      <c r="P2034" s="15"/>
      <c r="Q2034" s="8">
        <v>2025.0</v>
      </c>
      <c r="R2034" s="8" t="s">
        <v>5275</v>
      </c>
    </row>
    <row r="2035">
      <c r="A2035" s="4" t="s">
        <v>18</v>
      </c>
      <c r="B2035" s="2" t="s">
        <v>6568</v>
      </c>
      <c r="C2035" s="5">
        <v>46018.0</v>
      </c>
      <c r="D2035" s="5">
        <v>46018.0</v>
      </c>
      <c r="E2035" s="4" t="s">
        <v>6569</v>
      </c>
      <c r="F2035" s="9"/>
      <c r="G2035" s="6"/>
      <c r="H2035" s="7">
        <v>625.0</v>
      </c>
      <c r="I2035" s="11">
        <v>33890.53</v>
      </c>
      <c r="K2035" s="12" t="str">
        <f t="shared" si="260"/>
        <v>SL1610</v>
      </c>
      <c r="L2035" s="2" t="s">
        <v>6570</v>
      </c>
      <c r="M2035" s="2" t="s">
        <v>24</v>
      </c>
      <c r="N2035" s="2" t="s">
        <v>60</v>
      </c>
      <c r="O2035" s="2">
        <v>1.10751038E8</v>
      </c>
      <c r="P2035" s="15"/>
      <c r="Q2035" s="8">
        <v>2025.0</v>
      </c>
      <c r="R2035" s="8" t="s">
        <v>5275</v>
      </c>
    </row>
    <row r="2036">
      <c r="A2036" s="4" t="s">
        <v>18</v>
      </c>
      <c r="B2036" s="2" t="s">
        <v>6571</v>
      </c>
      <c r="C2036" s="5">
        <v>46018.0</v>
      </c>
      <c r="D2036" s="5">
        <v>46018.0</v>
      </c>
      <c r="E2036" s="4" t="s">
        <v>6572</v>
      </c>
      <c r="F2036" s="9"/>
      <c r="G2036" s="7">
        <v>400.0</v>
      </c>
      <c r="H2036" s="27"/>
      <c r="I2036" s="11">
        <v>33490.53</v>
      </c>
      <c r="K2036" s="2" t="s">
        <v>127</v>
      </c>
      <c r="M2036" s="2" t="s">
        <v>114</v>
      </c>
      <c r="N2036" s="2" t="s">
        <v>3519</v>
      </c>
      <c r="O2036" s="2">
        <v>1.10751038E8</v>
      </c>
      <c r="Q2036" s="8">
        <v>2025.0</v>
      </c>
      <c r="R2036" s="8" t="s">
        <v>5275</v>
      </c>
    </row>
    <row r="2037">
      <c r="A2037" s="4" t="s">
        <v>18</v>
      </c>
      <c r="B2037" s="2" t="s">
        <v>6573</v>
      </c>
      <c r="C2037" s="5">
        <v>46018.0</v>
      </c>
      <c r="D2037" s="5">
        <v>46018.0</v>
      </c>
      <c r="E2037" s="4" t="s">
        <v>6574</v>
      </c>
      <c r="F2037" s="9"/>
      <c r="G2037" s="6"/>
      <c r="H2037" s="7">
        <v>296.0</v>
      </c>
      <c r="I2037" s="11">
        <v>33786.53</v>
      </c>
      <c r="K2037" s="12" t="str">
        <f t="shared" ref="K2037:K2048" si="261">RIGHT(E2037,6)</f>
        <v>UN3668</v>
      </c>
      <c r="L2037" s="21" t="s">
        <v>6575</v>
      </c>
      <c r="M2037" s="2" t="s">
        <v>24</v>
      </c>
      <c r="N2037" s="2" t="s">
        <v>60</v>
      </c>
      <c r="O2037" s="2">
        <v>1.10751038E8</v>
      </c>
      <c r="P2037" s="15"/>
      <c r="Q2037" s="8">
        <v>2025.0</v>
      </c>
      <c r="R2037" s="8" t="s">
        <v>5275</v>
      </c>
    </row>
    <row r="2038">
      <c r="A2038" s="4" t="s">
        <v>18</v>
      </c>
      <c r="B2038" s="2" t="s">
        <v>6576</v>
      </c>
      <c r="C2038" s="5">
        <v>46018.0</v>
      </c>
      <c r="D2038" s="5">
        <v>46018.0</v>
      </c>
      <c r="E2038" s="4" t="s">
        <v>6577</v>
      </c>
      <c r="F2038" s="9"/>
      <c r="G2038" s="6"/>
      <c r="H2038" s="11">
        <v>1782.0</v>
      </c>
      <c r="I2038" s="11">
        <v>35568.53</v>
      </c>
      <c r="K2038" s="12" t="str">
        <f t="shared" si="261"/>
        <v>SL1610</v>
      </c>
      <c r="L2038" s="2" t="s">
        <v>6578</v>
      </c>
      <c r="M2038" s="2" t="s">
        <v>24</v>
      </c>
      <c r="N2038" s="2" t="s">
        <v>60</v>
      </c>
      <c r="O2038" s="2">
        <v>1.10751038E8</v>
      </c>
      <c r="P2038" s="15"/>
      <c r="Q2038" s="8">
        <v>2025.0</v>
      </c>
      <c r="R2038" s="8" t="s">
        <v>5275</v>
      </c>
    </row>
    <row r="2039">
      <c r="A2039" s="4" t="s">
        <v>18</v>
      </c>
      <c r="B2039" s="2" t="s">
        <v>6579</v>
      </c>
      <c r="C2039" s="5">
        <v>46018.0</v>
      </c>
      <c r="D2039" s="5">
        <v>46018.0</v>
      </c>
      <c r="E2039" s="4" t="s">
        <v>6580</v>
      </c>
      <c r="F2039" s="9"/>
      <c r="G2039" s="6"/>
      <c r="H2039" s="7">
        <v>744.0</v>
      </c>
      <c r="I2039" s="11">
        <v>36312.53</v>
      </c>
      <c r="K2039" s="12" t="str">
        <f t="shared" si="261"/>
        <v>UN3668</v>
      </c>
      <c r="L2039" s="21" t="s">
        <v>6581</v>
      </c>
      <c r="M2039" s="2" t="s">
        <v>24</v>
      </c>
      <c r="N2039" s="2" t="s">
        <v>60</v>
      </c>
      <c r="O2039" s="2">
        <v>1.10751038E8</v>
      </c>
      <c r="P2039" s="15"/>
      <c r="Q2039" s="8">
        <v>2025.0</v>
      </c>
      <c r="R2039" s="8" t="s">
        <v>5275</v>
      </c>
    </row>
    <row r="2040">
      <c r="A2040" s="4" t="s">
        <v>18</v>
      </c>
      <c r="B2040" s="2" t="s">
        <v>6582</v>
      </c>
      <c r="C2040" s="5">
        <v>46018.0</v>
      </c>
      <c r="D2040" s="5">
        <v>46018.0</v>
      </c>
      <c r="E2040" s="4" t="s">
        <v>6583</v>
      </c>
      <c r="F2040" s="9"/>
      <c r="G2040" s="6"/>
      <c r="H2040" s="7">
        <v>352.0</v>
      </c>
      <c r="I2040" s="11">
        <v>36664.53</v>
      </c>
      <c r="K2040" s="12" t="str">
        <f t="shared" si="261"/>
        <v>SL1610</v>
      </c>
      <c r="L2040" s="2" t="s">
        <v>6584</v>
      </c>
      <c r="M2040" s="2" t="s">
        <v>24</v>
      </c>
      <c r="N2040" s="2" t="s">
        <v>60</v>
      </c>
      <c r="O2040" s="2">
        <v>1.10751038E8</v>
      </c>
      <c r="P2040" s="15"/>
      <c r="Q2040" s="8">
        <v>2025.0</v>
      </c>
      <c r="R2040" s="8" t="s">
        <v>5275</v>
      </c>
    </row>
    <row r="2041">
      <c r="A2041" s="4" t="s">
        <v>18</v>
      </c>
      <c r="B2041" s="2" t="s">
        <v>6585</v>
      </c>
      <c r="C2041" s="5">
        <v>46018.0</v>
      </c>
      <c r="D2041" s="5">
        <v>46018.0</v>
      </c>
      <c r="E2041" s="4" t="s">
        <v>6586</v>
      </c>
      <c r="F2041" s="9"/>
      <c r="G2041" s="6"/>
      <c r="H2041" s="11">
        <v>3376.0</v>
      </c>
      <c r="I2041" s="11">
        <v>40040.53</v>
      </c>
      <c r="K2041" s="12" t="str">
        <f t="shared" si="261"/>
        <v>KN3817</v>
      </c>
      <c r="M2041" s="2" t="s">
        <v>24</v>
      </c>
      <c r="N2041" s="2" t="s">
        <v>60</v>
      </c>
      <c r="O2041" s="2">
        <v>1.10751038E8</v>
      </c>
      <c r="P2041" s="15" t="str">
        <f>IFERROR(__xludf.DUMMYFUNCTION("CONCATENATE(B2041,"", "", to_text(D2041),"", "", E2041,"", "", H2041)"),"TSV-11-0897, 27-Dec-2025, UPI/CR/572787943707/ANJANI C/BARB/anjani9/KN3817, 3376")</f>
        <v>TSV-11-0897, 27-Dec-2025, UPI/CR/572787943707/ANJANI C/BARB/anjani9/KN3817, 3376</v>
      </c>
      <c r="Q2041" s="8">
        <v>2025.0</v>
      </c>
      <c r="R2041" s="8" t="s">
        <v>5275</v>
      </c>
    </row>
    <row r="2042">
      <c r="A2042" s="4" t="s">
        <v>18</v>
      </c>
      <c r="B2042" s="2" t="s">
        <v>6587</v>
      </c>
      <c r="C2042" s="5">
        <v>46018.0</v>
      </c>
      <c r="D2042" s="5">
        <v>46018.0</v>
      </c>
      <c r="E2042" s="4" t="s">
        <v>6588</v>
      </c>
      <c r="F2042" s="9"/>
      <c r="G2042" s="6"/>
      <c r="H2042" s="7">
        <v>440.0</v>
      </c>
      <c r="I2042" s="11">
        <v>40480.53</v>
      </c>
      <c r="K2042" s="12" t="str">
        <f t="shared" si="261"/>
        <v>KN3817</v>
      </c>
      <c r="M2042" s="2" t="s">
        <v>24</v>
      </c>
      <c r="N2042" s="2" t="s">
        <v>60</v>
      </c>
      <c r="O2042" s="2">
        <v>1.10751038E8</v>
      </c>
      <c r="P2042" s="15" t="str">
        <f>IFERROR(__xludf.DUMMYFUNCTION("CONCATENATE(B2042,"", "", to_text(D2042),"", "", E2042,"", "", H2042)"),"TSV-11-0898, 27-Dec-2025, UPI/CR/242364042981/SWATI DO/HDFC/swatiya/KN3817, 440")</f>
        <v>TSV-11-0898, 27-Dec-2025, UPI/CR/242364042981/SWATI DO/HDFC/swatiya/KN3817, 440</v>
      </c>
      <c r="Q2042" s="8">
        <v>2025.0</v>
      </c>
      <c r="R2042" s="8" t="s">
        <v>5275</v>
      </c>
    </row>
    <row r="2043">
      <c r="A2043" s="4" t="s">
        <v>18</v>
      </c>
      <c r="B2043" s="2" t="s">
        <v>6589</v>
      </c>
      <c r="C2043" s="5">
        <v>46018.0</v>
      </c>
      <c r="D2043" s="5">
        <v>46018.0</v>
      </c>
      <c r="E2043" s="4" t="s">
        <v>6590</v>
      </c>
      <c r="F2043" s="9"/>
      <c r="G2043" s="6"/>
      <c r="H2043" s="11">
        <v>1040.0</v>
      </c>
      <c r="I2043" s="11">
        <v>41520.53</v>
      </c>
      <c r="K2043" s="12" t="str">
        <f t="shared" si="261"/>
        <v>KN3817</v>
      </c>
      <c r="M2043" s="2" t="s">
        <v>24</v>
      </c>
      <c r="N2043" s="2" t="s">
        <v>60</v>
      </c>
      <c r="O2043" s="2">
        <v>1.10751038E8</v>
      </c>
      <c r="P2043" s="15" t="str">
        <f>IFERROR(__xludf.DUMMYFUNCTION("CONCATENATE(B2043,"", "", to_text(D2043),"", "", E2043,"", "", H2043)"),"TSV-11-0899, 27-Dec-2025, UPI/CR/957220014813/PRACHI /SBIN/9716691/KN3817, 1040")</f>
        <v>TSV-11-0899, 27-Dec-2025, UPI/CR/957220014813/PRACHI /SBIN/9716691/KN3817, 1040</v>
      </c>
      <c r="Q2043" s="8">
        <v>2025.0</v>
      </c>
      <c r="R2043" s="8" t="s">
        <v>5275</v>
      </c>
    </row>
    <row r="2044">
      <c r="A2044" s="4" t="s">
        <v>18</v>
      </c>
      <c r="B2044" s="2" t="s">
        <v>6591</v>
      </c>
      <c r="C2044" s="5">
        <v>46018.0</v>
      </c>
      <c r="D2044" s="5">
        <v>46018.0</v>
      </c>
      <c r="E2044" s="4" t="s">
        <v>6592</v>
      </c>
      <c r="F2044" s="9"/>
      <c r="G2044" s="6"/>
      <c r="H2044" s="7">
        <v>557.0</v>
      </c>
      <c r="I2044" s="11">
        <v>42077.53</v>
      </c>
      <c r="K2044" s="12" t="str">
        <f t="shared" si="261"/>
        <v>SL1610</v>
      </c>
      <c r="L2044" s="2" t="s">
        <v>6593</v>
      </c>
      <c r="M2044" s="2" t="s">
        <v>24</v>
      </c>
      <c r="N2044" s="2" t="s">
        <v>60</v>
      </c>
      <c r="O2044" s="2">
        <v>1.10751038E8</v>
      </c>
      <c r="P2044" s="15"/>
      <c r="Q2044" s="8">
        <v>2025.0</v>
      </c>
      <c r="R2044" s="8" t="s">
        <v>5275</v>
      </c>
    </row>
    <row r="2045">
      <c r="A2045" s="4" t="s">
        <v>18</v>
      </c>
      <c r="B2045" s="2" t="s">
        <v>6594</v>
      </c>
      <c r="C2045" s="5">
        <v>46018.0</v>
      </c>
      <c r="D2045" s="5">
        <v>46018.0</v>
      </c>
      <c r="E2045" s="4" t="s">
        <v>6595</v>
      </c>
      <c r="F2045" s="9"/>
      <c r="G2045" s="6"/>
      <c r="H2045" s="7">
        <v>350.0</v>
      </c>
      <c r="I2045" s="11">
        <v>42427.53</v>
      </c>
      <c r="K2045" s="12" t="str">
        <f t="shared" si="261"/>
        <v>SC3567</v>
      </c>
      <c r="M2045" s="2" t="s">
        <v>24</v>
      </c>
      <c r="N2045" s="2" t="s">
        <v>60</v>
      </c>
      <c r="O2045" s="2">
        <v>1.10751038E8</v>
      </c>
      <c r="P2045" s="15" t="str">
        <f>IFERROR(__xludf.DUMMYFUNCTION("CONCATENATE(B2045,"", "", to_text(D2045),"", "", E2045,"", "", H2045)"),"TSV-11-0901, 27-Dec-2025, UPI/CR/871290132329/MANEET /SBIN/7979921/SC3567, 350")</f>
        <v>TSV-11-0901, 27-Dec-2025, UPI/CR/871290132329/MANEET /SBIN/7979921/SC3567, 350</v>
      </c>
      <c r="Q2045" s="8">
        <v>2025.0</v>
      </c>
      <c r="R2045" s="8" t="s">
        <v>5275</v>
      </c>
    </row>
    <row r="2046">
      <c r="A2046" s="4" t="s">
        <v>18</v>
      </c>
      <c r="B2046" s="2" t="s">
        <v>6596</v>
      </c>
      <c r="C2046" s="5">
        <v>46018.0</v>
      </c>
      <c r="D2046" s="5">
        <v>46018.0</v>
      </c>
      <c r="E2046" s="4" t="s">
        <v>6597</v>
      </c>
      <c r="F2046" s="9"/>
      <c r="G2046" s="6"/>
      <c r="H2046" s="7">
        <v>500.0</v>
      </c>
      <c r="I2046" s="11">
        <v>42927.53</v>
      </c>
      <c r="K2046" s="12" t="str">
        <f t="shared" si="261"/>
        <v>SL1610</v>
      </c>
      <c r="L2046" s="2" t="s">
        <v>6598</v>
      </c>
      <c r="M2046" s="2" t="s">
        <v>24</v>
      </c>
      <c r="N2046" s="2" t="s">
        <v>60</v>
      </c>
      <c r="O2046" s="2">
        <v>1.10751038E8</v>
      </c>
      <c r="P2046" s="15"/>
      <c r="Q2046" s="8">
        <v>2025.0</v>
      </c>
      <c r="R2046" s="8" t="s">
        <v>5275</v>
      </c>
    </row>
    <row r="2047">
      <c r="A2047" s="4" t="s">
        <v>18</v>
      </c>
      <c r="B2047" s="2" t="s">
        <v>6599</v>
      </c>
      <c r="C2047" s="5">
        <v>46018.0</v>
      </c>
      <c r="D2047" s="5">
        <v>46018.0</v>
      </c>
      <c r="E2047" s="4" t="s">
        <v>6600</v>
      </c>
      <c r="F2047" s="9"/>
      <c r="G2047" s="6"/>
      <c r="H2047" s="7">
        <v>128.0</v>
      </c>
      <c r="I2047" s="11">
        <v>43055.53</v>
      </c>
      <c r="K2047" s="12" t="str">
        <f t="shared" si="261"/>
        <v>UN3668</v>
      </c>
      <c r="L2047" s="21" t="s">
        <v>6601</v>
      </c>
      <c r="M2047" s="2" t="s">
        <v>24</v>
      </c>
      <c r="N2047" s="2" t="s">
        <v>60</v>
      </c>
      <c r="O2047" s="2">
        <v>1.10751038E8</v>
      </c>
      <c r="P2047" s="15"/>
      <c r="Q2047" s="8">
        <v>2025.0</v>
      </c>
      <c r="R2047" s="8" t="s">
        <v>5275</v>
      </c>
    </row>
    <row r="2048">
      <c r="A2048" s="4" t="s">
        <v>18</v>
      </c>
      <c r="B2048" s="2" t="s">
        <v>6602</v>
      </c>
      <c r="C2048" s="5">
        <v>46018.0</v>
      </c>
      <c r="D2048" s="5">
        <v>46018.0</v>
      </c>
      <c r="E2048" s="4" t="s">
        <v>6603</v>
      </c>
      <c r="F2048" s="9"/>
      <c r="G2048" s="6"/>
      <c r="H2048" s="7">
        <v>945.0</v>
      </c>
      <c r="I2048" s="11">
        <v>44000.53</v>
      </c>
      <c r="K2048" s="12" t="str">
        <f t="shared" si="261"/>
        <v>UN3668</v>
      </c>
      <c r="L2048" s="21" t="s">
        <v>6604</v>
      </c>
      <c r="M2048" s="2" t="s">
        <v>24</v>
      </c>
      <c r="N2048" s="2" t="s">
        <v>60</v>
      </c>
      <c r="O2048" s="2">
        <v>1.10751038E8</v>
      </c>
      <c r="P2048" s="15"/>
      <c r="Q2048" s="8">
        <v>2025.0</v>
      </c>
      <c r="R2048" s="8" t="s">
        <v>5275</v>
      </c>
    </row>
    <row r="2049">
      <c r="A2049" s="4" t="s">
        <v>18</v>
      </c>
      <c r="B2049" s="2" t="s">
        <v>6605</v>
      </c>
      <c r="C2049" s="5">
        <v>46018.0</v>
      </c>
      <c r="D2049" s="5">
        <v>46018.0</v>
      </c>
      <c r="E2049" s="4" t="s">
        <v>6606</v>
      </c>
      <c r="F2049" s="9"/>
      <c r="G2049" s="11">
        <v>1000.0</v>
      </c>
      <c r="H2049" s="27"/>
      <c r="I2049" s="11">
        <v>43000.53</v>
      </c>
      <c r="J2049" s="2" t="s">
        <v>3060</v>
      </c>
      <c r="K2049" s="2" t="s">
        <v>123</v>
      </c>
      <c r="M2049" s="2" t="s">
        <v>114</v>
      </c>
      <c r="N2049" s="2" t="s">
        <v>1835</v>
      </c>
      <c r="O2049" s="2">
        <v>1.10751038E8</v>
      </c>
      <c r="Q2049" s="8">
        <v>2025.0</v>
      </c>
      <c r="R2049" s="8" t="s">
        <v>5275</v>
      </c>
    </row>
    <row r="2050">
      <c r="A2050" s="4" t="s">
        <v>18</v>
      </c>
      <c r="B2050" s="2" t="s">
        <v>6607</v>
      </c>
      <c r="C2050" s="5">
        <v>46018.0</v>
      </c>
      <c r="D2050" s="5">
        <v>46018.0</v>
      </c>
      <c r="E2050" s="4" t="s">
        <v>6608</v>
      </c>
      <c r="F2050" s="9"/>
      <c r="G2050" s="6"/>
      <c r="H2050" s="7">
        <v>600.0</v>
      </c>
      <c r="I2050" s="11">
        <v>43600.53</v>
      </c>
      <c r="K2050" s="12" t="str">
        <f t="shared" ref="K2050:K2052" si="262">RIGHT(E2050,6)</f>
        <v>KN3817</v>
      </c>
      <c r="M2050" s="2" t="s">
        <v>24</v>
      </c>
      <c r="N2050" s="2" t="s">
        <v>60</v>
      </c>
      <c r="O2050" s="2">
        <v>1.10751038E8</v>
      </c>
      <c r="P2050" s="15" t="str">
        <f>IFERROR(__xludf.DUMMYFUNCTION("CONCATENATE(B2050,"", "", to_text(D2050),"", "", E2050,"", "", H2050)"),"TSV-11-0906, 27-Dec-2025, UPI/CR/204442425253/RAGHAVAN/UTIB/9354839/KN3817, 600")</f>
        <v>TSV-11-0906, 27-Dec-2025, UPI/CR/204442425253/RAGHAVAN/UTIB/9354839/KN3817, 600</v>
      </c>
      <c r="Q2050" s="8">
        <v>2025.0</v>
      </c>
      <c r="R2050" s="8" t="s">
        <v>5275</v>
      </c>
    </row>
    <row r="2051">
      <c r="A2051" s="4" t="s">
        <v>18</v>
      </c>
      <c r="B2051" s="2" t="s">
        <v>6609</v>
      </c>
      <c r="C2051" s="5">
        <v>46019.0</v>
      </c>
      <c r="D2051" s="5">
        <v>46019.0</v>
      </c>
      <c r="E2051" s="4" t="s">
        <v>6610</v>
      </c>
      <c r="F2051" s="9"/>
      <c r="G2051" s="6"/>
      <c r="H2051" s="7">
        <v>200.0</v>
      </c>
      <c r="I2051" s="11">
        <v>43800.53</v>
      </c>
      <c r="K2051" s="12" t="str">
        <f t="shared" si="262"/>
        <v>UN3668</v>
      </c>
      <c r="L2051" s="21" t="s">
        <v>6611</v>
      </c>
      <c r="M2051" s="2" t="s">
        <v>24</v>
      </c>
      <c r="N2051" s="2" t="s">
        <v>60</v>
      </c>
      <c r="O2051" s="2">
        <v>1.10751038E8</v>
      </c>
      <c r="P2051" s="15"/>
      <c r="Q2051" s="8">
        <v>2025.0</v>
      </c>
      <c r="R2051" s="8" t="s">
        <v>5275</v>
      </c>
    </row>
    <row r="2052">
      <c r="A2052" s="4" t="s">
        <v>18</v>
      </c>
      <c r="B2052" s="2" t="s">
        <v>6612</v>
      </c>
      <c r="C2052" s="5">
        <v>46019.0</v>
      </c>
      <c r="D2052" s="5">
        <v>46019.0</v>
      </c>
      <c r="E2052" s="4" t="s">
        <v>6613</v>
      </c>
      <c r="F2052" s="9"/>
      <c r="G2052" s="6"/>
      <c r="H2052" s="7">
        <v>700.0</v>
      </c>
      <c r="I2052" s="11">
        <v>44500.53</v>
      </c>
      <c r="K2052" s="12" t="str">
        <f t="shared" si="262"/>
        <v>KN3817</v>
      </c>
      <c r="M2052" s="2" t="s">
        <v>24</v>
      </c>
      <c r="N2052" s="2" t="s">
        <v>60</v>
      </c>
      <c r="O2052" s="2">
        <v>1.10751038E8</v>
      </c>
      <c r="P2052" s="15" t="str">
        <f>IFERROR(__xludf.DUMMYFUNCTION("CONCATENATE(B2052,"", "", to_text(D2052),"", "", E2052,"", "", H2052)"),"TSV-11-0908, 28-Dec-2025, UPI/CR/536224814274/Tina Meh/IDFB/tinameh/KN3817, 700")</f>
        <v>TSV-11-0908, 28-Dec-2025, UPI/CR/536224814274/Tina Meh/IDFB/tinameh/KN3817, 700</v>
      </c>
      <c r="Q2052" s="8">
        <v>2025.0</v>
      </c>
      <c r="R2052" s="8" t="s">
        <v>5275</v>
      </c>
    </row>
    <row r="2053">
      <c r="A2053" s="4" t="s">
        <v>18</v>
      </c>
      <c r="B2053" s="2" t="s">
        <v>6614</v>
      </c>
      <c r="C2053" s="5">
        <v>46019.0</v>
      </c>
      <c r="D2053" s="5">
        <v>46019.0</v>
      </c>
      <c r="E2053" s="4" t="s">
        <v>6615</v>
      </c>
      <c r="F2053" s="9"/>
      <c r="G2053" s="11">
        <v>1000.0</v>
      </c>
      <c r="H2053" s="27"/>
      <c r="I2053" s="11">
        <v>43500.53</v>
      </c>
      <c r="K2053" s="2" t="s">
        <v>127</v>
      </c>
      <c r="M2053" s="2" t="s">
        <v>114</v>
      </c>
      <c r="N2053" s="2" t="s">
        <v>4023</v>
      </c>
      <c r="O2053" s="2">
        <v>1.10751038E8</v>
      </c>
      <c r="Q2053" s="8">
        <v>2025.0</v>
      </c>
      <c r="R2053" s="8" t="s">
        <v>5275</v>
      </c>
    </row>
    <row r="2054">
      <c r="A2054" s="4" t="s">
        <v>18</v>
      </c>
      <c r="B2054" s="2" t="s">
        <v>6616</v>
      </c>
      <c r="C2054" s="5">
        <v>46019.0</v>
      </c>
      <c r="D2054" s="5">
        <v>46019.0</v>
      </c>
      <c r="E2054" s="4" t="s">
        <v>6617</v>
      </c>
      <c r="F2054" s="9"/>
      <c r="G2054" s="11">
        <v>1620.0</v>
      </c>
      <c r="H2054" s="27"/>
      <c r="I2054" s="11">
        <v>41880.53</v>
      </c>
      <c r="K2054" s="2" t="s">
        <v>113</v>
      </c>
      <c r="M2054" s="2" t="s">
        <v>114</v>
      </c>
      <c r="N2054" s="2" t="s">
        <v>1800</v>
      </c>
      <c r="O2054" s="2">
        <v>1.10751038E8</v>
      </c>
      <c r="Q2054" s="8">
        <v>2025.0</v>
      </c>
      <c r="R2054" s="8" t="s">
        <v>5275</v>
      </c>
    </row>
    <row r="2055">
      <c r="A2055" s="4" t="s">
        <v>18</v>
      </c>
      <c r="B2055" s="2" t="s">
        <v>6618</v>
      </c>
      <c r="C2055" s="5">
        <v>46019.0</v>
      </c>
      <c r="D2055" s="5">
        <v>46019.0</v>
      </c>
      <c r="E2055" s="4" t="s">
        <v>6619</v>
      </c>
      <c r="F2055" s="9"/>
      <c r="G2055" s="6"/>
      <c r="H2055" s="7">
        <v>980.0</v>
      </c>
      <c r="I2055" s="11">
        <v>42860.53</v>
      </c>
      <c r="K2055" s="12" t="str">
        <f t="shared" ref="K2055:K2071" si="263">RIGHT(E2055,6)</f>
        <v>KN3817</v>
      </c>
      <c r="M2055" s="2" t="s">
        <v>24</v>
      </c>
      <c r="N2055" s="2" t="s">
        <v>60</v>
      </c>
      <c r="O2055" s="2">
        <v>1.10751038E8</v>
      </c>
      <c r="P2055" s="15" t="str">
        <f>IFERROR(__xludf.DUMMYFUNCTION("CONCATENATE(B2055,"", "", to_text(D2055),"", "", E2055,"", "", H2055)"),"TSV-11-0911, 28-Dec-2025, UPI/CR/399894151369/ANURAG /SBIN/8100110/KN3817, 980")</f>
        <v>TSV-11-0911, 28-Dec-2025, UPI/CR/399894151369/ANURAG /SBIN/8100110/KN3817, 980</v>
      </c>
      <c r="Q2055" s="8">
        <v>2025.0</v>
      </c>
      <c r="R2055" s="8" t="s">
        <v>5275</v>
      </c>
    </row>
    <row r="2056">
      <c r="A2056" s="4" t="s">
        <v>18</v>
      </c>
      <c r="B2056" s="2" t="s">
        <v>6620</v>
      </c>
      <c r="C2056" s="5">
        <v>46019.0</v>
      </c>
      <c r="D2056" s="5">
        <v>46019.0</v>
      </c>
      <c r="E2056" s="4" t="s">
        <v>6621</v>
      </c>
      <c r="F2056" s="9"/>
      <c r="G2056" s="6"/>
      <c r="H2056" s="7">
        <v>396.0</v>
      </c>
      <c r="I2056" s="11">
        <v>43256.53</v>
      </c>
      <c r="K2056" s="12" t="str">
        <f t="shared" si="263"/>
        <v>UN3668</v>
      </c>
      <c r="L2056" s="21" t="s">
        <v>6622</v>
      </c>
      <c r="M2056" s="2" t="s">
        <v>24</v>
      </c>
      <c r="N2056" s="2" t="s">
        <v>60</v>
      </c>
      <c r="O2056" s="2">
        <v>1.10751038E8</v>
      </c>
      <c r="P2056" s="15"/>
      <c r="Q2056" s="8">
        <v>2025.0</v>
      </c>
      <c r="R2056" s="8" t="s">
        <v>5275</v>
      </c>
    </row>
    <row r="2057">
      <c r="A2057" s="4" t="s">
        <v>18</v>
      </c>
      <c r="B2057" s="2" t="s">
        <v>6623</v>
      </c>
      <c r="C2057" s="5">
        <v>46019.0</v>
      </c>
      <c r="D2057" s="5">
        <v>46019.0</v>
      </c>
      <c r="E2057" s="4" t="s">
        <v>6624</v>
      </c>
      <c r="F2057" s="9"/>
      <c r="G2057" s="6"/>
      <c r="H2057" s="7">
        <v>706.0</v>
      </c>
      <c r="I2057" s="11">
        <v>43962.53</v>
      </c>
      <c r="K2057" s="12" t="str">
        <f t="shared" si="263"/>
        <v>SC3567</v>
      </c>
      <c r="M2057" s="2" t="s">
        <v>24</v>
      </c>
      <c r="N2057" s="2" t="s">
        <v>60</v>
      </c>
      <c r="O2057" s="2">
        <v>1.10751038E8</v>
      </c>
      <c r="P2057" s="15" t="str">
        <f>IFERROR(__xludf.DUMMYFUNCTION("CONCATENATE(B2057,"", "", to_text(D2057),"", "", E2057,"", "", H2057)"),"TSV-11-0913, 28-Dec-2025, UPI/CR/536249919755/DIVIJ KA/HDFC/9810552/SC3567, 706")</f>
        <v>TSV-11-0913, 28-Dec-2025, UPI/CR/536249919755/DIVIJ KA/HDFC/9810552/SC3567, 706</v>
      </c>
      <c r="Q2057" s="8">
        <v>2025.0</v>
      </c>
      <c r="R2057" s="8" t="s">
        <v>5275</v>
      </c>
    </row>
    <row r="2058">
      <c r="A2058" s="4" t="s">
        <v>18</v>
      </c>
      <c r="B2058" s="2" t="s">
        <v>6625</v>
      </c>
      <c r="C2058" s="5">
        <v>46019.0</v>
      </c>
      <c r="D2058" s="5">
        <v>46019.0</v>
      </c>
      <c r="E2058" s="4" t="s">
        <v>6626</v>
      </c>
      <c r="F2058" s="9"/>
      <c r="G2058" s="6"/>
      <c r="H2058" s="7">
        <v>477.0</v>
      </c>
      <c r="I2058" s="11">
        <v>44439.53</v>
      </c>
      <c r="K2058" s="12" t="str">
        <f t="shared" si="263"/>
        <v>SC3567</v>
      </c>
      <c r="M2058" s="2" t="s">
        <v>24</v>
      </c>
      <c r="N2058" s="2" t="s">
        <v>60</v>
      </c>
      <c r="O2058" s="2">
        <v>1.10751038E8</v>
      </c>
      <c r="P2058" s="15" t="str">
        <f>IFERROR(__xludf.DUMMYFUNCTION("CONCATENATE(B2058,"", "", to_text(D2058),"", "", E2058,"", "", H2058)"),"TSV-11-0914, 28-Dec-2025, UPI/CR/536250203686/SUNNY YA/HDFC/9810502/SC3567, 477")</f>
        <v>TSV-11-0914, 28-Dec-2025, UPI/CR/536250203686/SUNNY YA/HDFC/9810502/SC3567, 477</v>
      </c>
      <c r="Q2058" s="8">
        <v>2025.0</v>
      </c>
      <c r="R2058" s="8" t="s">
        <v>5275</v>
      </c>
    </row>
    <row r="2059">
      <c r="A2059" s="4" t="s">
        <v>18</v>
      </c>
      <c r="B2059" s="2" t="s">
        <v>6627</v>
      </c>
      <c r="C2059" s="5">
        <v>46019.0</v>
      </c>
      <c r="D2059" s="5">
        <v>46019.0</v>
      </c>
      <c r="E2059" s="4" t="s">
        <v>6628</v>
      </c>
      <c r="F2059" s="9"/>
      <c r="G2059" s="6"/>
      <c r="H2059" s="7">
        <v>898.0</v>
      </c>
      <c r="I2059" s="11">
        <v>45337.53</v>
      </c>
      <c r="K2059" s="12" t="str">
        <f t="shared" si="263"/>
        <v>SC3567</v>
      </c>
      <c r="M2059" s="2" t="s">
        <v>24</v>
      </c>
      <c r="N2059" s="2" t="s">
        <v>60</v>
      </c>
      <c r="O2059" s="2">
        <v>1.10751038E8</v>
      </c>
      <c r="P2059" s="15" t="str">
        <f>IFERROR(__xludf.DUMMYFUNCTION("CONCATENATE(B2059,"", "", to_text(D2059),"", "", E2059,"", "", H2059)"),"TSV-11-0915, 28-Dec-2025, UPI/CR/536250217480/SUNNY YA/HDFC/9810502/SC3567, 898")</f>
        <v>TSV-11-0915, 28-Dec-2025, UPI/CR/536250217480/SUNNY YA/HDFC/9810502/SC3567, 898</v>
      </c>
      <c r="Q2059" s="8">
        <v>2025.0</v>
      </c>
      <c r="R2059" s="8" t="s">
        <v>5275</v>
      </c>
    </row>
    <row r="2060">
      <c r="A2060" s="4" t="s">
        <v>18</v>
      </c>
      <c r="B2060" s="2" t="s">
        <v>6629</v>
      </c>
      <c r="C2060" s="5">
        <v>46019.0</v>
      </c>
      <c r="D2060" s="5">
        <v>46019.0</v>
      </c>
      <c r="E2060" s="4" t="s">
        <v>6630</v>
      </c>
      <c r="F2060" s="9"/>
      <c r="G2060" s="6"/>
      <c r="H2060" s="11">
        <v>1175.0</v>
      </c>
      <c r="I2060" s="11">
        <v>46512.53</v>
      </c>
      <c r="K2060" s="12" t="str">
        <f t="shared" si="263"/>
        <v>SL1610</v>
      </c>
      <c r="L2060" s="2" t="s">
        <v>6631</v>
      </c>
      <c r="M2060" s="2" t="s">
        <v>24</v>
      </c>
      <c r="N2060" s="2" t="s">
        <v>60</v>
      </c>
      <c r="O2060" s="2">
        <v>1.10751038E8</v>
      </c>
      <c r="P2060" s="15"/>
      <c r="Q2060" s="8">
        <v>2025.0</v>
      </c>
      <c r="R2060" s="8" t="s">
        <v>5275</v>
      </c>
    </row>
    <row r="2061">
      <c r="A2061" s="4" t="s">
        <v>18</v>
      </c>
      <c r="B2061" s="2" t="s">
        <v>6632</v>
      </c>
      <c r="C2061" s="5">
        <v>46019.0</v>
      </c>
      <c r="D2061" s="5">
        <v>46019.0</v>
      </c>
      <c r="E2061" s="4" t="s">
        <v>6633</v>
      </c>
      <c r="F2061" s="9"/>
      <c r="G2061" s="6"/>
      <c r="H2061" s="11">
        <v>1177.0</v>
      </c>
      <c r="I2061" s="11">
        <v>47689.53</v>
      </c>
      <c r="K2061" s="12" t="str">
        <f t="shared" si="263"/>
        <v>SL1610</v>
      </c>
      <c r="L2061" s="2" t="s">
        <v>6634</v>
      </c>
      <c r="M2061" s="2" t="s">
        <v>24</v>
      </c>
      <c r="N2061" s="2" t="s">
        <v>60</v>
      </c>
      <c r="O2061" s="2">
        <v>1.10751038E8</v>
      </c>
      <c r="P2061" s="15"/>
      <c r="Q2061" s="8">
        <v>2025.0</v>
      </c>
      <c r="R2061" s="8" t="s">
        <v>5275</v>
      </c>
    </row>
    <row r="2062">
      <c r="A2062" s="4" t="s">
        <v>18</v>
      </c>
      <c r="B2062" s="2" t="s">
        <v>6635</v>
      </c>
      <c r="C2062" s="5">
        <v>46019.0</v>
      </c>
      <c r="D2062" s="5">
        <v>46019.0</v>
      </c>
      <c r="E2062" s="4" t="s">
        <v>6636</v>
      </c>
      <c r="F2062" s="9"/>
      <c r="G2062" s="6"/>
      <c r="H2062" s="7">
        <v>830.0</v>
      </c>
      <c r="I2062" s="11">
        <v>48519.53</v>
      </c>
      <c r="K2062" s="12" t="str">
        <f t="shared" si="263"/>
        <v>KN3817</v>
      </c>
      <c r="M2062" s="2" t="s">
        <v>24</v>
      </c>
      <c r="N2062" s="2" t="s">
        <v>60</v>
      </c>
      <c r="O2062" s="2">
        <v>1.10751038E8</v>
      </c>
      <c r="P2062" s="15" t="str">
        <f>IFERROR(__xludf.DUMMYFUNCTION("CONCATENATE(B2062,"", "", to_text(D2062),"", "", E2062,"", "", H2062)"),"TSV-11-0918, 28-Dec-2025, UPI/CR/394522310556/TRIDIB /BKID/8927594/KN3817, 830")</f>
        <v>TSV-11-0918, 28-Dec-2025, UPI/CR/394522310556/TRIDIB /BKID/8927594/KN3817, 830</v>
      </c>
      <c r="Q2062" s="8">
        <v>2025.0</v>
      </c>
      <c r="R2062" s="8" t="s">
        <v>5275</v>
      </c>
    </row>
    <row r="2063">
      <c r="A2063" s="4" t="s">
        <v>18</v>
      </c>
      <c r="B2063" s="2" t="s">
        <v>6637</v>
      </c>
      <c r="C2063" s="5">
        <v>46019.0</v>
      </c>
      <c r="D2063" s="5">
        <v>46019.0</v>
      </c>
      <c r="E2063" s="4" t="s">
        <v>6638</v>
      </c>
      <c r="F2063" s="9"/>
      <c r="G2063" s="6"/>
      <c r="H2063" s="7">
        <v>396.0</v>
      </c>
      <c r="I2063" s="11">
        <v>48915.53</v>
      </c>
      <c r="K2063" s="12" t="str">
        <f t="shared" si="263"/>
        <v>UN3668</v>
      </c>
      <c r="L2063" s="21" t="s">
        <v>6639</v>
      </c>
      <c r="M2063" s="2" t="s">
        <v>24</v>
      </c>
      <c r="N2063" s="2" t="s">
        <v>60</v>
      </c>
      <c r="O2063" s="2">
        <v>1.10751038E8</v>
      </c>
      <c r="P2063" s="15"/>
      <c r="Q2063" s="8">
        <v>2025.0</v>
      </c>
      <c r="R2063" s="8" t="s">
        <v>5275</v>
      </c>
    </row>
    <row r="2064">
      <c r="A2064" s="4" t="s">
        <v>18</v>
      </c>
      <c r="B2064" s="2" t="s">
        <v>6640</v>
      </c>
      <c r="C2064" s="5">
        <v>46019.0</v>
      </c>
      <c r="D2064" s="5">
        <v>46019.0</v>
      </c>
      <c r="E2064" s="4" t="s">
        <v>6641</v>
      </c>
      <c r="F2064" s="9"/>
      <c r="G2064" s="6"/>
      <c r="H2064" s="11">
        <v>1288.0</v>
      </c>
      <c r="I2064" s="11">
        <v>50203.53</v>
      </c>
      <c r="K2064" s="12" t="str">
        <f t="shared" si="263"/>
        <v>SL1610</v>
      </c>
      <c r="L2064" s="2" t="s">
        <v>6642</v>
      </c>
      <c r="M2064" s="2" t="s">
        <v>24</v>
      </c>
      <c r="N2064" s="2" t="s">
        <v>60</v>
      </c>
      <c r="O2064" s="2">
        <v>1.10751038E8</v>
      </c>
      <c r="P2064" s="15"/>
      <c r="Q2064" s="8">
        <v>2025.0</v>
      </c>
      <c r="R2064" s="8" t="s">
        <v>5275</v>
      </c>
    </row>
    <row r="2065">
      <c r="A2065" s="4" t="s">
        <v>18</v>
      </c>
      <c r="B2065" s="2" t="s">
        <v>6643</v>
      </c>
      <c r="C2065" s="5">
        <v>46019.0</v>
      </c>
      <c r="D2065" s="5">
        <v>46019.0</v>
      </c>
      <c r="E2065" s="4" t="s">
        <v>6644</v>
      </c>
      <c r="F2065" s="9"/>
      <c r="G2065" s="6"/>
      <c r="H2065" s="7">
        <v>960.0</v>
      </c>
      <c r="I2065" s="11">
        <v>51163.53</v>
      </c>
      <c r="K2065" s="12" t="str">
        <f t="shared" si="263"/>
        <v>UN3668</v>
      </c>
      <c r="L2065" s="21" t="s">
        <v>6645</v>
      </c>
      <c r="M2065" s="2" t="s">
        <v>24</v>
      </c>
      <c r="N2065" s="2" t="s">
        <v>60</v>
      </c>
      <c r="O2065" s="2">
        <v>1.10751038E8</v>
      </c>
      <c r="P2065" s="15"/>
      <c r="Q2065" s="8">
        <v>2025.0</v>
      </c>
      <c r="R2065" s="8" t="s">
        <v>5275</v>
      </c>
    </row>
    <row r="2066">
      <c r="A2066" s="4" t="s">
        <v>18</v>
      </c>
      <c r="B2066" s="2" t="s">
        <v>6646</v>
      </c>
      <c r="C2066" s="5">
        <v>46019.0</v>
      </c>
      <c r="D2066" s="5">
        <v>46019.0</v>
      </c>
      <c r="E2066" s="4" t="s">
        <v>6647</v>
      </c>
      <c r="F2066" s="9"/>
      <c r="G2066" s="6"/>
      <c r="H2066" s="11">
        <v>1232.0</v>
      </c>
      <c r="I2066" s="11">
        <v>52395.53</v>
      </c>
      <c r="K2066" s="12" t="str">
        <f t="shared" si="263"/>
        <v>SL1610</v>
      </c>
      <c r="L2066" s="2" t="s">
        <v>6648</v>
      </c>
      <c r="M2066" s="2" t="s">
        <v>24</v>
      </c>
      <c r="N2066" s="2" t="s">
        <v>60</v>
      </c>
      <c r="O2066" s="2">
        <v>1.10751038E8</v>
      </c>
      <c r="P2066" s="15"/>
      <c r="Q2066" s="8">
        <v>2025.0</v>
      </c>
      <c r="R2066" s="8" t="s">
        <v>5275</v>
      </c>
    </row>
    <row r="2067">
      <c r="A2067" s="4" t="s">
        <v>18</v>
      </c>
      <c r="B2067" s="2" t="s">
        <v>6649</v>
      </c>
      <c r="C2067" s="5">
        <v>46019.0</v>
      </c>
      <c r="D2067" s="5">
        <v>46019.0</v>
      </c>
      <c r="E2067" s="4" t="s">
        <v>6650</v>
      </c>
      <c r="F2067" s="9"/>
      <c r="G2067" s="6"/>
      <c r="H2067" s="11">
        <v>2503.0</v>
      </c>
      <c r="I2067" s="11">
        <v>54898.53</v>
      </c>
      <c r="K2067" s="12" t="str">
        <f t="shared" si="263"/>
        <v>SC3567</v>
      </c>
      <c r="M2067" s="2" t="s">
        <v>24</v>
      </c>
      <c r="N2067" s="2" t="s">
        <v>60</v>
      </c>
      <c r="O2067" s="2">
        <v>1.10751038E8</v>
      </c>
      <c r="P2067" s="15" t="str">
        <f>IFERROR(__xludf.DUMMYFUNCTION("CONCATENATE(B2067,"", "", to_text(D2067),"", "", E2067,"", "", H2067)"),"TSV-11-0923, 28-Dec-2025, UPI/CR/536242812538/Anurag /SBIN/anurag9/SC3567, 2503")</f>
        <v>TSV-11-0923, 28-Dec-2025, UPI/CR/536242812538/Anurag /SBIN/anurag9/SC3567, 2503</v>
      </c>
      <c r="Q2067" s="8">
        <v>2025.0</v>
      </c>
      <c r="R2067" s="8" t="s">
        <v>5275</v>
      </c>
    </row>
    <row r="2068">
      <c r="A2068" s="4" t="s">
        <v>18</v>
      </c>
      <c r="B2068" s="2" t="s">
        <v>6651</v>
      </c>
      <c r="C2068" s="5">
        <v>46019.0</v>
      </c>
      <c r="D2068" s="5">
        <v>46019.0</v>
      </c>
      <c r="E2068" s="4" t="s">
        <v>6652</v>
      </c>
      <c r="F2068" s="9"/>
      <c r="G2068" s="6"/>
      <c r="H2068" s="11">
        <v>1320.0</v>
      </c>
      <c r="I2068" s="11">
        <v>56218.53</v>
      </c>
      <c r="K2068" s="12" t="str">
        <f t="shared" si="263"/>
        <v>SC3567</v>
      </c>
      <c r="M2068" s="2" t="s">
        <v>24</v>
      </c>
      <c r="N2068" s="2" t="s">
        <v>60</v>
      </c>
      <c r="O2068" s="2">
        <v>1.10751038E8</v>
      </c>
      <c r="P2068" s="15" t="str">
        <f>IFERROR(__xludf.DUMMYFUNCTION("CONCATENATE(B2068,"", "", to_text(D2068),"", "", E2068,"", "", H2068)"),"TSV-11-0924, 28-Dec-2025, UPI/CR/536213554879/VINEET K/SBIN/8840667/SC3567, 1320")</f>
        <v>TSV-11-0924, 28-Dec-2025, UPI/CR/536213554879/VINEET K/SBIN/8840667/SC3567, 1320</v>
      </c>
      <c r="Q2068" s="8">
        <v>2025.0</v>
      </c>
      <c r="R2068" s="8" t="s">
        <v>5275</v>
      </c>
    </row>
    <row r="2069">
      <c r="A2069" s="4" t="s">
        <v>18</v>
      </c>
      <c r="B2069" s="2" t="s">
        <v>6653</v>
      </c>
      <c r="C2069" s="5">
        <v>46019.0</v>
      </c>
      <c r="D2069" s="5">
        <v>46019.0</v>
      </c>
      <c r="E2069" s="4" t="s">
        <v>6654</v>
      </c>
      <c r="F2069" s="9"/>
      <c r="G2069" s="6"/>
      <c r="H2069" s="11">
        <v>2175.0</v>
      </c>
      <c r="I2069" s="11">
        <v>58393.53</v>
      </c>
      <c r="K2069" s="12" t="str">
        <f t="shared" si="263"/>
        <v>SL1610</v>
      </c>
      <c r="L2069" s="2" t="s">
        <v>6655</v>
      </c>
      <c r="M2069" s="2" t="s">
        <v>24</v>
      </c>
      <c r="N2069" s="2" t="s">
        <v>60</v>
      </c>
      <c r="O2069" s="2">
        <v>1.10751038E8</v>
      </c>
      <c r="P2069" s="15"/>
      <c r="Q2069" s="8">
        <v>2025.0</v>
      </c>
      <c r="R2069" s="8" t="s">
        <v>5275</v>
      </c>
    </row>
    <row r="2070">
      <c r="A2070" s="4" t="s">
        <v>18</v>
      </c>
      <c r="B2070" s="2" t="s">
        <v>6656</v>
      </c>
      <c r="C2070" s="5">
        <v>46019.0</v>
      </c>
      <c r="D2070" s="5">
        <v>46019.0</v>
      </c>
      <c r="E2070" s="4" t="s">
        <v>6657</v>
      </c>
      <c r="F2070" s="9"/>
      <c r="G2070" s="6"/>
      <c r="H2070" s="7">
        <v>400.0</v>
      </c>
      <c r="I2070" s="11">
        <v>58793.53</v>
      </c>
      <c r="K2070" s="12" t="str">
        <f t="shared" si="263"/>
        <v>UN3668</v>
      </c>
      <c r="L2070" s="21" t="s">
        <v>6658</v>
      </c>
      <c r="M2070" s="2" t="s">
        <v>24</v>
      </c>
      <c r="N2070" s="2" t="s">
        <v>60</v>
      </c>
      <c r="O2070" s="2">
        <v>1.10751038E8</v>
      </c>
      <c r="P2070" s="15"/>
      <c r="Q2070" s="8">
        <v>2025.0</v>
      </c>
      <c r="R2070" s="8" t="s">
        <v>5275</v>
      </c>
    </row>
    <row r="2071">
      <c r="A2071" s="4" t="s">
        <v>18</v>
      </c>
      <c r="B2071" s="2" t="s">
        <v>6659</v>
      </c>
      <c r="C2071" s="5">
        <v>46020.0</v>
      </c>
      <c r="D2071" s="5">
        <v>46020.0</v>
      </c>
      <c r="E2071" s="4" t="s">
        <v>6660</v>
      </c>
      <c r="F2071" s="9"/>
      <c r="G2071" s="6"/>
      <c r="H2071" s="11">
        <v>1752.0</v>
      </c>
      <c r="I2071" s="11">
        <v>60545.53</v>
      </c>
      <c r="K2071" s="12" t="str">
        <f t="shared" si="263"/>
        <v>UN3668</v>
      </c>
      <c r="L2071" s="21" t="s">
        <v>6661</v>
      </c>
      <c r="M2071" s="2" t="s">
        <v>24</v>
      </c>
      <c r="N2071" s="2" t="s">
        <v>60</v>
      </c>
      <c r="O2071" s="2">
        <v>1.10751038E8</v>
      </c>
      <c r="P2071" s="15"/>
      <c r="Q2071" s="8">
        <v>2025.0</v>
      </c>
      <c r="R2071" s="8" t="s">
        <v>5275</v>
      </c>
    </row>
    <row r="2072">
      <c r="A2072" s="4" t="s">
        <v>18</v>
      </c>
      <c r="B2072" s="2" t="s">
        <v>6662</v>
      </c>
      <c r="C2072" s="5">
        <v>46020.0</v>
      </c>
      <c r="D2072" s="5">
        <v>46020.0</v>
      </c>
      <c r="E2072" s="4" t="s">
        <v>6663</v>
      </c>
      <c r="F2072" s="9"/>
      <c r="G2072" s="11">
        <v>1603.0</v>
      </c>
      <c r="H2072" s="27"/>
      <c r="I2072" s="11">
        <v>58942.53</v>
      </c>
      <c r="K2072" s="2" t="s">
        <v>119</v>
      </c>
      <c r="M2072" s="2" t="s">
        <v>114</v>
      </c>
      <c r="N2072" s="2" t="s">
        <v>1800</v>
      </c>
      <c r="O2072" s="2">
        <v>1.10751038E8</v>
      </c>
      <c r="Q2072" s="8">
        <v>2025.0</v>
      </c>
      <c r="R2072" s="8" t="s">
        <v>5275</v>
      </c>
    </row>
    <row r="2073">
      <c r="A2073" s="4" t="s">
        <v>18</v>
      </c>
      <c r="B2073" s="2" t="s">
        <v>6664</v>
      </c>
      <c r="C2073" s="5">
        <v>46020.0</v>
      </c>
      <c r="D2073" s="5">
        <v>46020.0</v>
      </c>
      <c r="E2073" s="4" t="s">
        <v>6665</v>
      </c>
      <c r="F2073" s="9"/>
      <c r="G2073" s="6"/>
      <c r="H2073" s="11">
        <v>1550.0</v>
      </c>
      <c r="I2073" s="11">
        <v>60492.53</v>
      </c>
      <c r="K2073" s="12" t="str">
        <f>RIGHT(E2073,6)</f>
        <v>UN3668</v>
      </c>
      <c r="L2073" s="21" t="s">
        <v>6666</v>
      </c>
      <c r="M2073" s="2" t="s">
        <v>24</v>
      </c>
      <c r="N2073" s="2" t="s">
        <v>60</v>
      </c>
      <c r="O2073" s="2">
        <v>1.10751038E8</v>
      </c>
      <c r="P2073" s="15"/>
      <c r="Q2073" s="8">
        <v>2025.0</v>
      </c>
      <c r="R2073" s="8" t="s">
        <v>5275</v>
      </c>
    </row>
    <row r="2074">
      <c r="A2074" s="4" t="s">
        <v>18</v>
      </c>
      <c r="B2074" s="2" t="s">
        <v>6667</v>
      </c>
      <c r="C2074" s="5">
        <v>46020.0</v>
      </c>
      <c r="D2074" s="5">
        <v>46020.0</v>
      </c>
      <c r="E2074" s="4" t="s">
        <v>6668</v>
      </c>
      <c r="F2074" s="9"/>
      <c r="G2074" s="11">
        <v>3000.0</v>
      </c>
      <c r="H2074" s="27"/>
      <c r="I2074" s="11">
        <v>57492.53</v>
      </c>
      <c r="K2074" s="2" t="s">
        <v>23</v>
      </c>
      <c r="M2074" s="2" t="s">
        <v>114</v>
      </c>
      <c r="N2074" s="2" t="s">
        <v>1835</v>
      </c>
      <c r="O2074" s="2">
        <v>1.10751038E8</v>
      </c>
      <c r="Q2074" s="8">
        <v>2025.0</v>
      </c>
      <c r="R2074" s="8" t="s">
        <v>5275</v>
      </c>
    </row>
    <row r="2075">
      <c r="A2075" s="4" t="s">
        <v>18</v>
      </c>
      <c r="B2075" s="2" t="s">
        <v>6669</v>
      </c>
      <c r="C2075" s="5">
        <v>46020.0</v>
      </c>
      <c r="D2075" s="5">
        <v>46020.0</v>
      </c>
      <c r="E2075" s="4" t="s">
        <v>6670</v>
      </c>
      <c r="F2075" s="9"/>
      <c r="G2075" s="6"/>
      <c r="H2075" s="11">
        <v>1800.0</v>
      </c>
      <c r="I2075" s="11">
        <v>59292.53</v>
      </c>
      <c r="K2075" s="12" t="str">
        <f t="shared" ref="K2075:K2076" si="264">RIGHT(E2075,6)</f>
        <v>KN3817</v>
      </c>
      <c r="M2075" s="2" t="s">
        <v>24</v>
      </c>
      <c r="N2075" s="2" t="s">
        <v>60</v>
      </c>
      <c r="O2075" s="2">
        <v>1.10751038E8</v>
      </c>
      <c r="P2075" s="15" t="str">
        <f>IFERROR(__xludf.DUMMYFUNCTION("CONCATENATE(B2075,"", "", to_text(D2075),"", "", E2075,"", "", H2075)"),"TSV-11-0931, 29-Dec-2025, UPI/CR/394567701053/Sanjay/FINO/8295128/KN3817, 1800")</f>
        <v>TSV-11-0931, 29-Dec-2025, UPI/CR/394567701053/Sanjay/FINO/8295128/KN3817, 1800</v>
      </c>
      <c r="Q2075" s="8">
        <v>2025.0</v>
      </c>
      <c r="R2075" s="8" t="s">
        <v>5275</v>
      </c>
    </row>
    <row r="2076">
      <c r="A2076" s="4" t="s">
        <v>18</v>
      </c>
      <c r="B2076" s="2" t="s">
        <v>6671</v>
      </c>
      <c r="C2076" s="5">
        <v>46020.0</v>
      </c>
      <c r="D2076" s="5">
        <v>46020.0</v>
      </c>
      <c r="E2076" s="4" t="s">
        <v>6672</v>
      </c>
      <c r="F2076" s="9"/>
      <c r="G2076" s="6"/>
      <c r="H2076" s="11">
        <v>1059.0</v>
      </c>
      <c r="I2076" s="11">
        <v>60351.53</v>
      </c>
      <c r="K2076" s="12" t="str">
        <f t="shared" si="264"/>
        <v>SC3567</v>
      </c>
      <c r="M2076" s="2" t="s">
        <v>24</v>
      </c>
      <c r="N2076" s="2" t="s">
        <v>60</v>
      </c>
      <c r="O2076" s="2">
        <v>1.10751038E8</v>
      </c>
      <c r="P2076" s="15" t="str">
        <f>IFERROR(__xludf.DUMMYFUNCTION("CONCATENATE(B2076,"", "", to_text(D2076),"", "", E2076,"", "", H2076)"),"TSV-11-0932, 29-Dec-2025, UPI/CR/536358790305/MUDAPAKA/CNRB/anusha./SC3567, 1059")</f>
        <v>TSV-11-0932, 29-Dec-2025, UPI/CR/536358790305/MUDAPAKA/CNRB/anusha./SC3567, 1059</v>
      </c>
      <c r="Q2076" s="8">
        <v>2025.0</v>
      </c>
      <c r="R2076" s="8" t="s">
        <v>5275</v>
      </c>
    </row>
    <row r="2077">
      <c r="A2077" s="4" t="s">
        <v>18</v>
      </c>
      <c r="B2077" s="2" t="s">
        <v>6673</v>
      </c>
      <c r="C2077" s="5">
        <v>46020.0</v>
      </c>
      <c r="D2077" s="5">
        <v>46020.0</v>
      </c>
      <c r="E2077" s="4" t="s">
        <v>6674</v>
      </c>
      <c r="F2077" s="9"/>
      <c r="G2077" s="7">
        <v>450.0</v>
      </c>
      <c r="H2077" s="27"/>
      <c r="I2077" s="11">
        <v>59901.53</v>
      </c>
      <c r="J2077" s="2" t="s">
        <v>6675</v>
      </c>
      <c r="K2077" s="2" t="s">
        <v>119</v>
      </c>
      <c r="M2077" s="2" t="s">
        <v>114</v>
      </c>
      <c r="N2077" s="2" t="s">
        <v>4962</v>
      </c>
      <c r="O2077" s="2">
        <v>1.10751038E8</v>
      </c>
      <c r="Q2077" s="8">
        <v>2025.0</v>
      </c>
      <c r="R2077" s="8" t="s">
        <v>5275</v>
      </c>
    </row>
    <row r="2078">
      <c r="A2078" s="4" t="s">
        <v>18</v>
      </c>
      <c r="B2078" s="2" t="s">
        <v>6676</v>
      </c>
      <c r="C2078" s="5">
        <v>46020.0</v>
      </c>
      <c r="D2078" s="5">
        <v>46020.0</v>
      </c>
      <c r="E2078" s="4" t="s">
        <v>6677</v>
      </c>
      <c r="F2078" s="9"/>
      <c r="G2078" s="6"/>
      <c r="H2078" s="11">
        <v>1147.0</v>
      </c>
      <c r="I2078" s="11">
        <v>61048.53</v>
      </c>
      <c r="K2078" s="12" t="str">
        <f t="shared" ref="K2078:K2082" si="265">RIGHT(E2078,6)</f>
        <v>KN3817</v>
      </c>
      <c r="M2078" s="2" t="s">
        <v>24</v>
      </c>
      <c r="N2078" s="2" t="s">
        <v>60</v>
      </c>
      <c r="O2078" s="2">
        <v>1.10751038E8</v>
      </c>
      <c r="P2078" s="15" t="str">
        <f>IFERROR(__xludf.DUMMYFUNCTION("CONCATENATE(B2078,"", "", to_text(D2078),"", "", E2078,"", "", H2078)"),"TSV-11-0934, 29-Dec-2025, UPI/CR/572920836382/DIVYANSH/HDFC/9999080/KN3817, 1147")</f>
        <v>TSV-11-0934, 29-Dec-2025, UPI/CR/572920836382/DIVYANSH/HDFC/9999080/KN3817, 1147</v>
      </c>
      <c r="Q2078" s="8">
        <v>2025.0</v>
      </c>
      <c r="R2078" s="8" t="s">
        <v>5275</v>
      </c>
    </row>
    <row r="2079">
      <c r="A2079" s="4" t="s">
        <v>18</v>
      </c>
      <c r="B2079" s="2" t="s">
        <v>6678</v>
      </c>
      <c r="C2079" s="5">
        <v>46020.0</v>
      </c>
      <c r="D2079" s="5">
        <v>46020.0</v>
      </c>
      <c r="E2079" s="4" t="s">
        <v>6679</v>
      </c>
      <c r="F2079" s="9"/>
      <c r="G2079" s="6"/>
      <c r="H2079" s="7">
        <v>300.0</v>
      </c>
      <c r="I2079" s="11">
        <v>61348.53</v>
      </c>
      <c r="K2079" s="12" t="str">
        <f t="shared" si="265"/>
        <v>SC3567</v>
      </c>
      <c r="M2079" s="2" t="s">
        <v>24</v>
      </c>
      <c r="N2079" s="2" t="s">
        <v>60</v>
      </c>
      <c r="O2079" s="2">
        <v>1.10751038E8</v>
      </c>
      <c r="P2079" s="15" t="str">
        <f>IFERROR(__xludf.DUMMYFUNCTION("CONCATENATE(B2079,"", "", to_text(D2079),"", "", E2079,"", "", H2079)"),"TSV-11-0935, 29-Dec-2025, UPI/CR/394576271214/AJAY SHA/PUNB/9811611/SC3567, 300")</f>
        <v>TSV-11-0935, 29-Dec-2025, UPI/CR/394576271214/AJAY SHA/PUNB/9811611/SC3567, 300</v>
      </c>
      <c r="Q2079" s="8">
        <v>2025.0</v>
      </c>
      <c r="R2079" s="8" t="s">
        <v>5275</v>
      </c>
    </row>
    <row r="2080">
      <c r="A2080" s="4" t="s">
        <v>18</v>
      </c>
      <c r="B2080" s="2" t="s">
        <v>6680</v>
      </c>
      <c r="C2080" s="5">
        <v>46020.0</v>
      </c>
      <c r="D2080" s="5">
        <v>46020.0</v>
      </c>
      <c r="E2080" s="4" t="s">
        <v>6681</v>
      </c>
      <c r="F2080" s="9"/>
      <c r="G2080" s="6"/>
      <c r="H2080" s="7">
        <v>471.0</v>
      </c>
      <c r="I2080" s="11">
        <v>61819.53</v>
      </c>
      <c r="K2080" s="12" t="str">
        <f t="shared" si="265"/>
        <v>SC3567</v>
      </c>
      <c r="M2080" s="2" t="s">
        <v>24</v>
      </c>
      <c r="N2080" s="2" t="s">
        <v>60</v>
      </c>
      <c r="O2080" s="2">
        <v>1.10751038E8</v>
      </c>
      <c r="P2080" s="15" t="str">
        <f>IFERROR(__xludf.DUMMYFUNCTION("CONCATENATE(B2080,"", "", to_text(D2080),"", "", E2080,"", "", H2080)"),"TSV-11-0936, 29-Dec-2025, UPI/CR/394578332958/HATINDER/IOBA/9717310/SC3567, 471")</f>
        <v>TSV-11-0936, 29-Dec-2025, UPI/CR/394578332958/HATINDER/IOBA/9717310/SC3567, 471</v>
      </c>
      <c r="Q2080" s="8">
        <v>2025.0</v>
      </c>
      <c r="R2080" s="8" t="s">
        <v>5275</v>
      </c>
    </row>
    <row r="2081">
      <c r="A2081" s="4" t="s">
        <v>18</v>
      </c>
      <c r="B2081" s="2" t="s">
        <v>6682</v>
      </c>
      <c r="C2081" s="5">
        <v>46020.0</v>
      </c>
      <c r="D2081" s="5">
        <v>46020.0</v>
      </c>
      <c r="E2081" s="4" t="s">
        <v>6683</v>
      </c>
      <c r="F2081" s="9"/>
      <c r="G2081" s="6"/>
      <c r="H2081" s="7">
        <v>650.0</v>
      </c>
      <c r="I2081" s="11">
        <v>62469.53</v>
      </c>
      <c r="K2081" s="12" t="str">
        <f t="shared" si="265"/>
        <v>SL1610</v>
      </c>
      <c r="L2081" s="2" t="s">
        <v>6684</v>
      </c>
      <c r="M2081" s="2" t="s">
        <v>24</v>
      </c>
      <c r="N2081" s="2" t="s">
        <v>60</v>
      </c>
      <c r="O2081" s="2">
        <v>1.10751038E8</v>
      </c>
      <c r="P2081" s="15"/>
      <c r="Q2081" s="8">
        <v>2025.0</v>
      </c>
      <c r="R2081" s="8" t="s">
        <v>5275</v>
      </c>
    </row>
    <row r="2082">
      <c r="A2082" s="4" t="s">
        <v>18</v>
      </c>
      <c r="B2082" s="2" t="s">
        <v>6685</v>
      </c>
      <c r="C2082" s="5">
        <v>46020.0</v>
      </c>
      <c r="D2082" s="5">
        <v>46020.0</v>
      </c>
      <c r="E2082" s="4" t="s">
        <v>6686</v>
      </c>
      <c r="F2082" s="9"/>
      <c r="G2082" s="6"/>
      <c r="H2082" s="7">
        <v>300.0</v>
      </c>
      <c r="I2082" s="11">
        <v>62769.53</v>
      </c>
      <c r="K2082" s="12" t="str">
        <f t="shared" si="265"/>
        <v>SL1610</v>
      </c>
      <c r="L2082" s="2" t="s">
        <v>6687</v>
      </c>
      <c r="M2082" s="2" t="s">
        <v>24</v>
      </c>
      <c r="N2082" s="2" t="s">
        <v>60</v>
      </c>
      <c r="O2082" s="2">
        <v>1.10751038E8</v>
      </c>
      <c r="P2082" s="15"/>
      <c r="Q2082" s="8">
        <v>2025.0</v>
      </c>
      <c r="R2082" s="8" t="s">
        <v>5275</v>
      </c>
    </row>
    <row r="2083">
      <c r="A2083" s="4" t="s">
        <v>18</v>
      </c>
      <c r="B2083" s="2" t="s">
        <v>6688</v>
      </c>
      <c r="C2083" s="5">
        <v>46020.0</v>
      </c>
      <c r="D2083" s="5">
        <v>46020.0</v>
      </c>
      <c r="E2083" s="4" t="s">
        <v>6689</v>
      </c>
      <c r="F2083" s="9"/>
      <c r="G2083" s="11">
        <v>1986.0</v>
      </c>
      <c r="H2083" s="27"/>
      <c r="I2083" s="11">
        <v>60783.53</v>
      </c>
      <c r="J2083" s="2" t="s">
        <v>6690</v>
      </c>
      <c r="K2083" s="2" t="s">
        <v>119</v>
      </c>
      <c r="M2083" s="2" t="s">
        <v>114</v>
      </c>
      <c r="N2083" s="2" t="s">
        <v>2883</v>
      </c>
      <c r="O2083" s="2">
        <v>1.10751038E8</v>
      </c>
      <c r="Q2083" s="8">
        <v>2025.0</v>
      </c>
      <c r="R2083" s="8" t="s">
        <v>5275</v>
      </c>
    </row>
    <row r="2084">
      <c r="A2084" s="4" t="s">
        <v>18</v>
      </c>
      <c r="B2084" s="2" t="s">
        <v>6691</v>
      </c>
      <c r="C2084" s="5">
        <v>46020.0</v>
      </c>
      <c r="D2084" s="5">
        <v>46020.0</v>
      </c>
      <c r="E2084" s="4" t="s">
        <v>6692</v>
      </c>
      <c r="F2084" s="9"/>
      <c r="G2084" s="11">
        <v>1164.0</v>
      </c>
      <c r="H2084" s="27"/>
      <c r="I2084" s="11">
        <v>59619.53</v>
      </c>
      <c r="J2084" s="2" t="s">
        <v>6690</v>
      </c>
      <c r="K2084" s="2" t="s">
        <v>119</v>
      </c>
      <c r="M2084" s="2" t="s">
        <v>114</v>
      </c>
      <c r="N2084" s="2" t="s">
        <v>2883</v>
      </c>
      <c r="O2084" s="2">
        <v>1.10751038E8</v>
      </c>
      <c r="Q2084" s="8">
        <v>2025.0</v>
      </c>
      <c r="R2084" s="8" t="s">
        <v>5275</v>
      </c>
    </row>
    <row r="2085">
      <c r="A2085" s="4" t="s">
        <v>18</v>
      </c>
      <c r="B2085" s="2" t="s">
        <v>6693</v>
      </c>
      <c r="C2085" s="5">
        <v>46020.0</v>
      </c>
      <c r="D2085" s="5">
        <v>46020.0</v>
      </c>
      <c r="E2085" s="4" t="s">
        <v>6694</v>
      </c>
      <c r="F2085" s="9"/>
      <c r="G2085" s="11">
        <v>1986.0</v>
      </c>
      <c r="H2085" s="27"/>
      <c r="I2085" s="11">
        <v>57633.53</v>
      </c>
      <c r="J2085" s="2" t="s">
        <v>6695</v>
      </c>
      <c r="K2085" s="2" t="s">
        <v>119</v>
      </c>
      <c r="M2085" s="2" t="s">
        <v>114</v>
      </c>
      <c r="N2085" s="2" t="s">
        <v>2883</v>
      </c>
      <c r="O2085" s="2">
        <v>1.10751038E8</v>
      </c>
      <c r="Q2085" s="8">
        <v>2025.0</v>
      </c>
      <c r="R2085" s="8" t="s">
        <v>5275</v>
      </c>
    </row>
    <row r="2086">
      <c r="A2086" s="4" t="s">
        <v>18</v>
      </c>
      <c r="B2086" s="2" t="s">
        <v>6696</v>
      </c>
      <c r="C2086" s="5">
        <v>46021.0</v>
      </c>
      <c r="D2086" s="5">
        <v>46021.0</v>
      </c>
      <c r="E2086" s="4" t="s">
        <v>6697</v>
      </c>
      <c r="F2086" s="9"/>
      <c r="G2086" s="6"/>
      <c r="H2086" s="7">
        <v>305.0</v>
      </c>
      <c r="I2086" s="11">
        <v>57938.53</v>
      </c>
      <c r="K2086" s="12" t="str">
        <f>RIGHT(E2086,6)</f>
        <v>KN3817</v>
      </c>
      <c r="M2086" s="2" t="s">
        <v>24</v>
      </c>
      <c r="N2086" s="2" t="s">
        <v>60</v>
      </c>
      <c r="O2086" s="2">
        <v>1.10751038E8</v>
      </c>
      <c r="P2086" s="15" t="str">
        <f>IFERROR(__xludf.DUMMYFUNCTION("CONCATENATE(B2086,"", "", to_text(D2086),"", "", E2086,"", "", H2086)"),"TSV-11-0942, 30-Dec-2025, UPI/CR/167977006255/SOHAM SA/UBIN/8551977/KN3817, 305")</f>
        <v>TSV-11-0942, 30-Dec-2025, UPI/CR/167977006255/SOHAM SA/UBIN/8551977/KN3817, 305</v>
      </c>
      <c r="Q2086" s="8">
        <v>2025.0</v>
      </c>
      <c r="R2086" s="8" t="s">
        <v>5275</v>
      </c>
    </row>
    <row r="2087">
      <c r="A2087" s="4" t="s">
        <v>18</v>
      </c>
      <c r="B2087" s="2" t="s">
        <v>6698</v>
      </c>
      <c r="C2087" s="5">
        <v>46021.0</v>
      </c>
      <c r="D2087" s="5">
        <v>46021.0</v>
      </c>
      <c r="E2087" s="4" t="s">
        <v>6699</v>
      </c>
      <c r="F2087" s="9"/>
      <c r="G2087" s="6"/>
      <c r="H2087" s="11">
        <v>2500.0</v>
      </c>
      <c r="I2087" s="11">
        <v>60438.53</v>
      </c>
      <c r="K2087" s="2" t="s">
        <v>119</v>
      </c>
      <c r="L2087" s="2" t="s">
        <v>6700</v>
      </c>
      <c r="M2087" s="2" t="s">
        <v>24</v>
      </c>
      <c r="N2087" s="2" t="s">
        <v>60</v>
      </c>
      <c r="O2087" s="2">
        <v>1.10751038E8</v>
      </c>
      <c r="Q2087" s="8">
        <v>2025.0</v>
      </c>
      <c r="R2087" s="8" t="s">
        <v>5275</v>
      </c>
    </row>
    <row r="2088">
      <c r="A2088" s="4" t="s">
        <v>18</v>
      </c>
      <c r="B2088" s="2" t="s">
        <v>6701</v>
      </c>
      <c r="C2088" s="5">
        <v>46021.0</v>
      </c>
      <c r="D2088" s="5">
        <v>46021.0</v>
      </c>
      <c r="E2088" s="4" t="s">
        <v>6702</v>
      </c>
      <c r="F2088" s="9"/>
      <c r="G2088" s="6"/>
      <c r="H2088" s="11">
        <v>1537.0</v>
      </c>
      <c r="I2088" s="11">
        <v>61975.53</v>
      </c>
      <c r="K2088" s="12" t="str">
        <f t="shared" ref="K2088:K2089" si="266">RIGHT(E2088,6)</f>
        <v>SL1610</v>
      </c>
      <c r="L2088" s="2" t="s">
        <v>6703</v>
      </c>
      <c r="M2088" s="2" t="s">
        <v>24</v>
      </c>
      <c r="N2088" s="2" t="s">
        <v>60</v>
      </c>
      <c r="O2088" s="2">
        <v>1.10751038E8</v>
      </c>
      <c r="P2088" s="15"/>
      <c r="Q2088" s="8">
        <v>2025.0</v>
      </c>
      <c r="R2088" s="8" t="s">
        <v>5275</v>
      </c>
    </row>
    <row r="2089">
      <c r="A2089" s="4" t="s">
        <v>18</v>
      </c>
      <c r="B2089" s="2" t="s">
        <v>6704</v>
      </c>
      <c r="C2089" s="5">
        <v>46021.0</v>
      </c>
      <c r="D2089" s="5">
        <v>46021.0</v>
      </c>
      <c r="E2089" s="4" t="s">
        <v>6705</v>
      </c>
      <c r="F2089" s="9"/>
      <c r="G2089" s="6"/>
      <c r="H2089" s="7">
        <v>726.0</v>
      </c>
      <c r="I2089" s="11">
        <v>62701.53</v>
      </c>
      <c r="K2089" s="12" t="str">
        <f t="shared" si="266"/>
        <v>SC3567</v>
      </c>
      <c r="M2089" s="2" t="s">
        <v>24</v>
      </c>
      <c r="N2089" s="2" t="s">
        <v>60</v>
      </c>
      <c r="O2089" s="2">
        <v>1.10751038E8</v>
      </c>
      <c r="P2089" s="15" t="str">
        <f>IFERROR(__xludf.DUMMYFUNCTION("CONCATENATE(B2089,"", "", to_text(D2089),"", "", E2089,"", "", H2089)"),"TSV-11-0945, 30-Dec-2025, UPI/CR/116400922695/Shreyans/SBIN/pachaur/SC3567, 726")</f>
        <v>TSV-11-0945, 30-Dec-2025, UPI/CR/116400922695/Shreyans/SBIN/pachaur/SC3567, 726</v>
      </c>
      <c r="Q2089" s="8">
        <v>2025.0</v>
      </c>
      <c r="R2089" s="8" t="s">
        <v>5275</v>
      </c>
    </row>
    <row r="2090">
      <c r="A2090" s="4" t="s">
        <v>18</v>
      </c>
      <c r="B2090" s="2" t="s">
        <v>6706</v>
      </c>
      <c r="C2090" s="5">
        <v>46021.0</v>
      </c>
      <c r="D2090" s="5">
        <v>46021.0</v>
      </c>
      <c r="E2090" s="4" t="s">
        <v>6707</v>
      </c>
      <c r="F2090" s="9"/>
      <c r="G2090" s="7">
        <v>359.0</v>
      </c>
      <c r="H2090" s="27"/>
      <c r="I2090" s="11">
        <v>62342.53</v>
      </c>
      <c r="K2090" s="2" t="s">
        <v>119</v>
      </c>
      <c r="M2090" s="2" t="s">
        <v>114</v>
      </c>
      <c r="N2090" s="2" t="s">
        <v>478</v>
      </c>
      <c r="O2090" s="2">
        <v>1.10751038E8</v>
      </c>
      <c r="Q2090" s="8">
        <v>2025.0</v>
      </c>
      <c r="R2090" s="8" t="s">
        <v>5275</v>
      </c>
    </row>
    <row r="2091">
      <c r="A2091" s="4" t="s">
        <v>18</v>
      </c>
      <c r="B2091" s="2" t="s">
        <v>6708</v>
      </c>
      <c r="C2091" s="5">
        <v>46021.0</v>
      </c>
      <c r="D2091" s="5">
        <v>46021.0</v>
      </c>
      <c r="E2091" s="4" t="s">
        <v>6709</v>
      </c>
      <c r="F2091" s="9"/>
      <c r="G2091" s="6"/>
      <c r="H2091" s="7">
        <v>759.0</v>
      </c>
      <c r="I2091" s="11">
        <v>63101.53</v>
      </c>
      <c r="K2091" s="12" t="str">
        <f t="shared" ref="K2091:K2095" si="267">RIGHT(E2091,6)</f>
        <v>UN3668</v>
      </c>
      <c r="L2091" s="21" t="s">
        <v>6710</v>
      </c>
      <c r="M2091" s="2" t="s">
        <v>24</v>
      </c>
      <c r="N2091" s="2" t="s">
        <v>60</v>
      </c>
      <c r="O2091" s="2">
        <v>1.10751038E8</v>
      </c>
      <c r="P2091" s="15"/>
      <c r="Q2091" s="8">
        <v>2025.0</v>
      </c>
      <c r="R2091" s="8" t="s">
        <v>5275</v>
      </c>
    </row>
    <row r="2092">
      <c r="A2092" s="4" t="s">
        <v>18</v>
      </c>
      <c r="B2092" s="2" t="s">
        <v>6711</v>
      </c>
      <c r="C2092" s="5">
        <v>46022.0</v>
      </c>
      <c r="D2092" s="5">
        <v>46021.0</v>
      </c>
      <c r="E2092" s="4" t="s">
        <v>6712</v>
      </c>
      <c r="F2092" s="9"/>
      <c r="G2092" s="6"/>
      <c r="H2092" s="7">
        <v>440.0</v>
      </c>
      <c r="I2092" s="11">
        <v>63541.53</v>
      </c>
      <c r="K2092" s="12" t="str">
        <f t="shared" si="267"/>
        <v>KN3817</v>
      </c>
      <c r="M2092" s="2" t="s">
        <v>24</v>
      </c>
      <c r="N2092" s="2" t="s">
        <v>60</v>
      </c>
      <c r="O2092" s="2">
        <v>1.10751038E8</v>
      </c>
      <c r="P2092" s="15" t="str">
        <f>IFERROR(__xludf.DUMMYFUNCTION("CONCATENATE(B2092,"", "", to_text(D2092),"", "", E2092,"", "", H2092)"),"TSV-11-0948, 30-Dec-2025, UPI/CR/394639311690/Ayushi/AUBL/7838575/KN3817, 440")</f>
        <v>TSV-11-0948, 30-Dec-2025, UPI/CR/394639311690/Ayushi/AUBL/7838575/KN3817, 440</v>
      </c>
      <c r="Q2092" s="8">
        <v>2025.0</v>
      </c>
      <c r="R2092" s="8" t="s">
        <v>5275</v>
      </c>
    </row>
    <row r="2093">
      <c r="A2093" s="4" t="s">
        <v>18</v>
      </c>
      <c r="B2093" s="2" t="s">
        <v>6713</v>
      </c>
      <c r="C2093" s="5">
        <v>46022.0</v>
      </c>
      <c r="D2093" s="5">
        <v>46022.0</v>
      </c>
      <c r="E2093" s="4" t="s">
        <v>6714</v>
      </c>
      <c r="F2093" s="9"/>
      <c r="G2093" s="6"/>
      <c r="H2093" s="11">
        <v>1100.0</v>
      </c>
      <c r="I2093" s="11">
        <v>64641.53</v>
      </c>
      <c r="K2093" s="12" t="str">
        <f t="shared" si="267"/>
        <v>SL1610</v>
      </c>
      <c r="L2093" s="2" t="s">
        <v>6715</v>
      </c>
      <c r="M2093" s="2" t="s">
        <v>24</v>
      </c>
      <c r="N2093" s="2" t="s">
        <v>60</v>
      </c>
      <c r="O2093" s="2">
        <v>1.10751038E8</v>
      </c>
      <c r="P2093" s="15"/>
      <c r="Q2093" s="8">
        <v>2025.0</v>
      </c>
      <c r="R2093" s="8" t="s">
        <v>5275</v>
      </c>
    </row>
    <row r="2094">
      <c r="A2094" s="4" t="s">
        <v>18</v>
      </c>
      <c r="B2094" s="2" t="s">
        <v>6716</v>
      </c>
      <c r="C2094" s="5">
        <v>46022.0</v>
      </c>
      <c r="D2094" s="5">
        <v>46022.0</v>
      </c>
      <c r="E2094" s="4" t="s">
        <v>6717</v>
      </c>
      <c r="F2094" s="9"/>
      <c r="G2094" s="6"/>
      <c r="H2094" s="11">
        <v>1414.0</v>
      </c>
      <c r="I2094" s="11">
        <v>66055.53</v>
      </c>
      <c r="K2094" s="12" t="str">
        <f t="shared" si="267"/>
        <v>SC3567</v>
      </c>
      <c r="M2094" s="2" t="s">
        <v>24</v>
      </c>
      <c r="N2094" s="2" t="s">
        <v>60</v>
      </c>
      <c r="O2094" s="2">
        <v>1.10751038E8</v>
      </c>
      <c r="P2094" s="15" t="str">
        <f>IFERROR(__xludf.DUMMYFUNCTION("CONCATENATE(B2094,"", "", to_text(D2094),"", "", E2094,"", "", H2094)"),"TSV-11-0950, 31-Dec-2025, UPI/CR/536586472612/ANURADHA/HDFC/9717137/SC3567, 1414")</f>
        <v>TSV-11-0950, 31-Dec-2025, UPI/CR/536586472612/ANURADHA/HDFC/9717137/SC3567, 1414</v>
      </c>
      <c r="Q2094" s="8">
        <v>2025.0</v>
      </c>
      <c r="R2094" s="8" t="s">
        <v>5275</v>
      </c>
    </row>
    <row r="2095">
      <c r="A2095" s="4" t="s">
        <v>18</v>
      </c>
      <c r="B2095" s="2" t="s">
        <v>6718</v>
      </c>
      <c r="C2095" s="5">
        <v>46022.0</v>
      </c>
      <c r="D2095" s="5">
        <v>46022.0</v>
      </c>
      <c r="E2095" s="4" t="s">
        <v>6719</v>
      </c>
      <c r="F2095" s="9"/>
      <c r="G2095" s="6"/>
      <c r="H2095" s="11">
        <v>1240.0</v>
      </c>
      <c r="I2095" s="11">
        <v>67295.53</v>
      </c>
      <c r="K2095" s="12" t="str">
        <f t="shared" si="267"/>
        <v>KN3817</v>
      </c>
      <c r="M2095" s="2" t="s">
        <v>24</v>
      </c>
      <c r="N2095" s="2" t="s">
        <v>60</v>
      </c>
      <c r="O2095" s="2">
        <v>1.10751038E8</v>
      </c>
      <c r="P2095" s="15" t="str">
        <f>IFERROR(__xludf.DUMMYFUNCTION("CONCATENATE(B2095,"", "", to_text(D2095),"", "", E2095,"", "", H2095)"),"TSV-11-0951, 31-Dec-2025, UPI/CR/470067664378/BHUPINDE/HDFC/bkinngs/KN3817, 1240")</f>
        <v>TSV-11-0951, 31-Dec-2025, UPI/CR/470067664378/BHUPINDE/HDFC/bkinngs/KN3817, 1240</v>
      </c>
      <c r="Q2095" s="8">
        <v>2025.0</v>
      </c>
      <c r="R2095" s="8" t="s">
        <v>5275</v>
      </c>
    </row>
    <row r="2096">
      <c r="A2096" s="4" t="s">
        <v>18</v>
      </c>
      <c r="B2096" s="2" t="s">
        <v>6720</v>
      </c>
      <c r="C2096" s="5">
        <v>46022.0</v>
      </c>
      <c r="D2096" s="5">
        <v>46022.0</v>
      </c>
      <c r="E2096" s="4" t="s">
        <v>6721</v>
      </c>
      <c r="F2096" s="9"/>
      <c r="G2096" s="11">
        <v>5268.0</v>
      </c>
      <c r="H2096" s="27"/>
      <c r="I2096" s="11">
        <v>62027.53</v>
      </c>
      <c r="K2096" s="2" t="s">
        <v>119</v>
      </c>
      <c r="M2096" s="2" t="s">
        <v>114</v>
      </c>
      <c r="N2096" s="2" t="s">
        <v>3715</v>
      </c>
      <c r="O2096" s="2">
        <v>1.10751038E8</v>
      </c>
      <c r="Q2096" s="8">
        <v>2025.0</v>
      </c>
      <c r="R2096" s="8" t="s">
        <v>5275</v>
      </c>
    </row>
    <row r="2097">
      <c r="A2097" s="4" t="s">
        <v>18</v>
      </c>
      <c r="B2097" s="2" t="s">
        <v>6722</v>
      </c>
      <c r="C2097" s="5">
        <v>46022.0</v>
      </c>
      <c r="D2097" s="5">
        <v>46022.0</v>
      </c>
      <c r="E2097" s="4" t="s">
        <v>6723</v>
      </c>
      <c r="F2097" s="9"/>
      <c r="G2097" s="6"/>
      <c r="H2097" s="11">
        <v>1080.0</v>
      </c>
      <c r="I2097" s="11">
        <v>63107.53</v>
      </c>
      <c r="K2097" s="12" t="str">
        <f t="shared" ref="K2097:K2100" si="268">RIGHT(E2097,6)</f>
        <v>UN3668</v>
      </c>
      <c r="L2097" s="21" t="s">
        <v>6724</v>
      </c>
      <c r="M2097" s="2" t="s">
        <v>24</v>
      </c>
      <c r="N2097" s="2" t="s">
        <v>60</v>
      </c>
      <c r="O2097" s="2">
        <v>1.10751038E8</v>
      </c>
      <c r="P2097" s="15"/>
      <c r="Q2097" s="8">
        <v>2025.0</v>
      </c>
      <c r="R2097" s="8" t="s">
        <v>5275</v>
      </c>
    </row>
    <row r="2098">
      <c r="A2098" s="4" t="s">
        <v>18</v>
      </c>
      <c r="B2098" s="2" t="s">
        <v>6725</v>
      </c>
      <c r="C2098" s="5">
        <v>46022.0</v>
      </c>
      <c r="D2098" s="5">
        <v>46022.0</v>
      </c>
      <c r="E2098" s="4" t="s">
        <v>6726</v>
      </c>
      <c r="F2098" s="9"/>
      <c r="G2098" s="6"/>
      <c r="H2098" s="7">
        <v>225.0</v>
      </c>
      <c r="I2098" s="11">
        <v>63332.53</v>
      </c>
      <c r="K2098" s="12" t="str">
        <f t="shared" si="268"/>
        <v>UN3668</v>
      </c>
      <c r="L2098" s="21" t="s">
        <v>6727</v>
      </c>
      <c r="M2098" s="2" t="s">
        <v>24</v>
      </c>
      <c r="N2098" s="2" t="s">
        <v>60</v>
      </c>
      <c r="O2098" s="2">
        <v>1.10751038E8</v>
      </c>
      <c r="P2098" s="15"/>
      <c r="Q2098" s="8">
        <v>2025.0</v>
      </c>
      <c r="R2098" s="8" t="s">
        <v>5275</v>
      </c>
    </row>
    <row r="2099">
      <c r="A2099" s="4" t="s">
        <v>18</v>
      </c>
      <c r="B2099" s="2" t="s">
        <v>6728</v>
      </c>
      <c r="C2099" s="5">
        <v>46022.0</v>
      </c>
      <c r="D2099" s="5">
        <v>46022.0</v>
      </c>
      <c r="E2099" s="4" t="s">
        <v>6729</v>
      </c>
      <c r="F2099" s="9"/>
      <c r="G2099" s="6"/>
      <c r="H2099" s="7">
        <v>192.0</v>
      </c>
      <c r="I2099" s="11">
        <v>63524.53</v>
      </c>
      <c r="K2099" s="12" t="str">
        <f t="shared" si="268"/>
        <v>UN3668</v>
      </c>
      <c r="L2099" s="21" t="s">
        <v>6730</v>
      </c>
      <c r="M2099" s="2" t="s">
        <v>24</v>
      </c>
      <c r="N2099" s="2" t="s">
        <v>60</v>
      </c>
      <c r="O2099" s="2">
        <v>1.10751038E8</v>
      </c>
      <c r="P2099" s="15"/>
      <c r="Q2099" s="8">
        <v>2025.0</v>
      </c>
      <c r="R2099" s="8" t="s">
        <v>5275</v>
      </c>
    </row>
    <row r="2100">
      <c r="A2100" s="4" t="s">
        <v>18</v>
      </c>
      <c r="B2100" s="2" t="s">
        <v>6731</v>
      </c>
      <c r="C2100" s="5">
        <v>46022.0</v>
      </c>
      <c r="D2100" s="5">
        <v>46022.0</v>
      </c>
      <c r="E2100" s="4" t="s">
        <v>6732</v>
      </c>
      <c r="F2100" s="9"/>
      <c r="G2100" s="6"/>
      <c r="H2100" s="7">
        <v>263.0</v>
      </c>
      <c r="I2100" s="11">
        <v>63787.53</v>
      </c>
      <c r="K2100" s="12" t="str">
        <f t="shared" si="268"/>
        <v>UN3668</v>
      </c>
      <c r="L2100" s="21" t="s">
        <v>6733</v>
      </c>
      <c r="M2100" s="2" t="s">
        <v>24</v>
      </c>
      <c r="N2100" s="2" t="s">
        <v>60</v>
      </c>
      <c r="O2100" s="2">
        <v>1.10751038E8</v>
      </c>
      <c r="P2100" s="15"/>
      <c r="Q2100" s="8">
        <v>2025.0</v>
      </c>
      <c r="R2100" s="8" t="s">
        <v>5275</v>
      </c>
    </row>
    <row r="2101">
      <c r="A2101" s="4" t="s">
        <v>18</v>
      </c>
      <c r="B2101" s="2" t="s">
        <v>6734</v>
      </c>
      <c r="C2101" s="5">
        <v>46022.0</v>
      </c>
      <c r="D2101" s="5">
        <v>46022.0</v>
      </c>
      <c r="E2101" s="4" t="s">
        <v>6735</v>
      </c>
      <c r="F2101" s="9"/>
      <c r="G2101" s="11">
        <v>1295.0</v>
      </c>
      <c r="H2101" s="27"/>
      <c r="I2101" s="11">
        <v>62492.53</v>
      </c>
      <c r="K2101" s="2" t="s">
        <v>113</v>
      </c>
      <c r="M2101" s="2" t="s">
        <v>114</v>
      </c>
      <c r="N2101" s="2" t="s">
        <v>2739</v>
      </c>
      <c r="O2101" s="2">
        <v>1.10751038E8</v>
      </c>
      <c r="Q2101" s="8">
        <v>2025.0</v>
      </c>
      <c r="R2101" s="8" t="s">
        <v>5275</v>
      </c>
    </row>
    <row r="2102">
      <c r="A2102" s="4" t="s">
        <v>18</v>
      </c>
      <c r="B2102" s="2" t="s">
        <v>6736</v>
      </c>
      <c r="C2102" s="5">
        <v>46022.0</v>
      </c>
      <c r="D2102" s="5">
        <v>46022.0</v>
      </c>
      <c r="E2102" s="4" t="s">
        <v>6737</v>
      </c>
      <c r="F2102" s="9"/>
      <c r="G2102" s="6"/>
      <c r="H2102" s="11">
        <v>1264.0</v>
      </c>
      <c r="I2102" s="11">
        <v>63756.53</v>
      </c>
      <c r="K2102" s="12" t="str">
        <f t="shared" ref="K2102:K2106" si="269">RIGHT(E2102,6)</f>
        <v>SL1610</v>
      </c>
      <c r="L2102" s="2" t="s">
        <v>6738</v>
      </c>
      <c r="M2102" s="2" t="s">
        <v>24</v>
      </c>
      <c r="N2102" s="2" t="s">
        <v>60</v>
      </c>
      <c r="O2102" s="2">
        <v>1.10751038E8</v>
      </c>
      <c r="P2102" s="15"/>
      <c r="Q2102" s="8">
        <v>2025.0</v>
      </c>
      <c r="R2102" s="8" t="s">
        <v>5275</v>
      </c>
    </row>
    <row r="2103">
      <c r="A2103" s="4" t="s">
        <v>18</v>
      </c>
      <c r="B2103" s="2" t="s">
        <v>6739</v>
      </c>
      <c r="C2103" s="5">
        <v>46022.0</v>
      </c>
      <c r="D2103" s="5">
        <v>46022.0</v>
      </c>
      <c r="E2103" s="4" t="s">
        <v>6740</v>
      </c>
      <c r="F2103" s="9"/>
      <c r="G2103" s="6"/>
      <c r="H2103" s="11">
        <v>1840.0</v>
      </c>
      <c r="I2103" s="11">
        <v>65596.53</v>
      </c>
      <c r="K2103" s="12" t="str">
        <f t="shared" si="269"/>
        <v>KN3817</v>
      </c>
      <c r="M2103" s="2" t="s">
        <v>24</v>
      </c>
      <c r="N2103" s="2" t="s">
        <v>60</v>
      </c>
      <c r="O2103" s="2">
        <v>1.10751038E8</v>
      </c>
      <c r="P2103" s="15" t="str">
        <f>IFERROR(__xludf.DUMMYFUNCTION("CONCATENATE(B2103,"", "", to_text(D2103),"", "", E2103,"", "", H2103)"),"TSV-11-0959, 31-Dec-2025, UPI/CR/657617859888/MADHUR S/UTIB/8398024/KN3817, 1840")</f>
        <v>TSV-11-0959, 31-Dec-2025, UPI/CR/657617859888/MADHUR S/UTIB/8398024/KN3817, 1840</v>
      </c>
      <c r="Q2103" s="8">
        <v>2025.0</v>
      </c>
      <c r="R2103" s="8" t="s">
        <v>5275</v>
      </c>
    </row>
    <row r="2104">
      <c r="A2104" s="4" t="s">
        <v>18</v>
      </c>
      <c r="B2104" s="2" t="s">
        <v>6741</v>
      </c>
      <c r="C2104" s="5">
        <v>46022.0</v>
      </c>
      <c r="D2104" s="5">
        <v>46022.0</v>
      </c>
      <c r="E2104" s="4" t="s">
        <v>6742</v>
      </c>
      <c r="F2104" s="9"/>
      <c r="G2104" s="6"/>
      <c r="H2104" s="7">
        <v>810.0</v>
      </c>
      <c r="I2104" s="11">
        <v>66406.53</v>
      </c>
      <c r="K2104" s="12" t="str">
        <f t="shared" si="269"/>
        <v>UN3668</v>
      </c>
      <c r="L2104" s="21" t="s">
        <v>6743</v>
      </c>
      <c r="M2104" s="2" t="s">
        <v>24</v>
      </c>
      <c r="N2104" s="2" t="s">
        <v>60</v>
      </c>
      <c r="O2104" s="2">
        <v>1.10751038E8</v>
      </c>
      <c r="P2104" s="15"/>
      <c r="Q2104" s="8">
        <v>2025.0</v>
      </c>
      <c r="R2104" s="8" t="s">
        <v>5275</v>
      </c>
    </row>
    <row r="2105">
      <c r="A2105" s="4" t="s">
        <v>18</v>
      </c>
      <c r="B2105" s="2" t="s">
        <v>6744</v>
      </c>
      <c r="C2105" s="5">
        <v>46022.0</v>
      </c>
      <c r="D2105" s="5">
        <v>46022.0</v>
      </c>
      <c r="E2105" s="4" t="s">
        <v>6745</v>
      </c>
      <c r="F2105" s="9"/>
      <c r="G2105" s="6"/>
      <c r="H2105" s="7">
        <v>400.0</v>
      </c>
      <c r="I2105" s="11">
        <v>66806.53</v>
      </c>
      <c r="K2105" s="12" t="str">
        <f t="shared" si="269"/>
        <v>KN3817</v>
      </c>
      <c r="M2105" s="2" t="s">
        <v>24</v>
      </c>
      <c r="N2105" s="2" t="s">
        <v>60</v>
      </c>
      <c r="O2105" s="2">
        <v>1.10751038E8</v>
      </c>
      <c r="P2105" s="15" t="str">
        <f>IFERROR(__xludf.DUMMYFUNCTION("CONCATENATE(B2105,"", "", to_text(D2105),"", "", E2105,"", "", H2105)"),"TSV-11-0961, 31-Dec-2025, UPI/CR/536566305316/SHREYA /SBIN/bansals/KN3817, 400")</f>
        <v>TSV-11-0961, 31-Dec-2025, UPI/CR/536566305316/SHREYA /SBIN/bansals/KN3817, 400</v>
      </c>
      <c r="Q2105" s="8">
        <v>2025.0</v>
      </c>
      <c r="R2105" s="8" t="s">
        <v>5275</v>
      </c>
    </row>
    <row r="2106">
      <c r="A2106" s="4" t="s">
        <v>18</v>
      </c>
      <c r="B2106" s="2" t="s">
        <v>6746</v>
      </c>
      <c r="C2106" s="5">
        <v>46022.0</v>
      </c>
      <c r="D2106" s="5">
        <v>46022.0</v>
      </c>
      <c r="E2106" s="4" t="s">
        <v>6747</v>
      </c>
      <c r="F2106" s="9"/>
      <c r="G2106" s="6"/>
      <c r="H2106" s="7">
        <v>370.0</v>
      </c>
      <c r="I2106" s="11">
        <v>67176.53</v>
      </c>
      <c r="K2106" s="12" t="str">
        <f t="shared" si="269"/>
        <v>UN3668</v>
      </c>
      <c r="L2106" s="21" t="s">
        <v>6748</v>
      </c>
      <c r="M2106" s="2" t="s">
        <v>24</v>
      </c>
      <c r="N2106" s="2" t="s">
        <v>60</v>
      </c>
      <c r="O2106" s="2">
        <v>1.10751038E8</v>
      </c>
      <c r="P2106" s="15"/>
      <c r="Q2106" s="8">
        <v>2025.0</v>
      </c>
      <c r="R2106" s="8" t="s">
        <v>5275</v>
      </c>
    </row>
    <row r="2107">
      <c r="A2107" s="4" t="s">
        <v>18</v>
      </c>
      <c r="B2107" s="2" t="s">
        <v>6749</v>
      </c>
      <c r="C2107" s="5">
        <v>46022.0</v>
      </c>
      <c r="D2107" s="5">
        <v>46022.0</v>
      </c>
      <c r="E2107" s="4" t="s">
        <v>6750</v>
      </c>
      <c r="F2107" s="9"/>
      <c r="G2107" s="6"/>
      <c r="H2107" s="7">
        <v>442.0</v>
      </c>
      <c r="I2107" s="11">
        <v>67618.53</v>
      </c>
      <c r="K2107" s="2" t="s">
        <v>127</v>
      </c>
      <c r="L2107" s="2" t="s">
        <v>6751</v>
      </c>
      <c r="M2107" s="2" t="s">
        <v>24</v>
      </c>
      <c r="N2107" s="2" t="s">
        <v>60</v>
      </c>
      <c r="O2107" s="2">
        <v>1.10751038E8</v>
      </c>
      <c r="P2107" s="15"/>
      <c r="Q2107" s="8">
        <v>2025.0</v>
      </c>
      <c r="R2107" s="8" t="s">
        <v>5275</v>
      </c>
    </row>
    <row r="2108">
      <c r="A2108" s="4" t="s">
        <v>18</v>
      </c>
      <c r="B2108" s="2" t="s">
        <v>6752</v>
      </c>
      <c r="C2108" s="5">
        <v>46022.0</v>
      </c>
      <c r="D2108" s="5">
        <v>46022.0</v>
      </c>
      <c r="E2108" s="4" t="s">
        <v>6753</v>
      </c>
      <c r="F2108" s="9"/>
      <c r="G2108" s="6"/>
      <c r="H2108" s="11">
        <v>1275.0</v>
      </c>
      <c r="I2108" s="11">
        <v>68893.53</v>
      </c>
      <c r="K2108" s="12" t="str">
        <f t="shared" ref="K2108:K2114" si="270">RIGHT(E2108,6)</f>
        <v>UN3668</v>
      </c>
      <c r="L2108" s="21" t="s">
        <v>6754</v>
      </c>
      <c r="M2108" s="2" t="s">
        <v>24</v>
      </c>
      <c r="N2108" s="2" t="s">
        <v>60</v>
      </c>
      <c r="O2108" s="2">
        <v>1.10751038E8</v>
      </c>
      <c r="P2108" s="15"/>
      <c r="Q2108" s="8">
        <v>2025.0</v>
      </c>
      <c r="R2108" s="8" t="s">
        <v>5275</v>
      </c>
    </row>
    <row r="2109">
      <c r="A2109" s="4" t="s">
        <v>18</v>
      </c>
      <c r="B2109" s="2" t="s">
        <v>6755</v>
      </c>
      <c r="C2109" s="5">
        <v>46022.0</v>
      </c>
      <c r="D2109" s="5">
        <v>46022.0</v>
      </c>
      <c r="E2109" s="4" t="s">
        <v>6756</v>
      </c>
      <c r="F2109" s="9"/>
      <c r="G2109" s="6"/>
      <c r="H2109" s="7">
        <v>672.0</v>
      </c>
      <c r="I2109" s="11">
        <v>69565.53</v>
      </c>
      <c r="K2109" s="12" t="str">
        <f t="shared" si="270"/>
        <v>KN3817</v>
      </c>
      <c r="M2109" s="2" t="s">
        <v>24</v>
      </c>
      <c r="N2109" s="2" t="s">
        <v>60</v>
      </c>
      <c r="O2109" s="2">
        <v>1.10751038E8</v>
      </c>
      <c r="P2109" s="15" t="str">
        <f>IFERROR(__xludf.DUMMYFUNCTION("CONCATENATE(B2109,"", "", to_text(D2109),"", "", E2109,"", "", H2109)"),"TSV-11-0965, 31-Dec-2025, UPI/CR/536516759856/BHAVYA S/BARB/9587272/KN3817, 672")</f>
        <v>TSV-11-0965, 31-Dec-2025, UPI/CR/536516759856/BHAVYA S/BARB/9587272/KN3817, 672</v>
      </c>
      <c r="Q2109" s="8">
        <v>2025.0</v>
      </c>
      <c r="R2109" s="8" t="s">
        <v>5275</v>
      </c>
    </row>
    <row r="2110">
      <c r="A2110" s="4" t="s">
        <v>18</v>
      </c>
      <c r="B2110" s="2" t="s">
        <v>6757</v>
      </c>
      <c r="C2110" s="5">
        <v>46022.0</v>
      </c>
      <c r="D2110" s="5">
        <v>46022.0</v>
      </c>
      <c r="E2110" s="4" t="s">
        <v>6758</v>
      </c>
      <c r="F2110" s="9"/>
      <c r="G2110" s="6"/>
      <c r="H2110" s="7">
        <v>450.0</v>
      </c>
      <c r="I2110" s="11">
        <v>70015.53</v>
      </c>
      <c r="K2110" s="12" t="str">
        <f t="shared" si="270"/>
        <v>SC3567</v>
      </c>
      <c r="M2110" s="2" t="s">
        <v>24</v>
      </c>
      <c r="N2110" s="2" t="s">
        <v>60</v>
      </c>
      <c r="O2110" s="2">
        <v>1.10751038E8</v>
      </c>
      <c r="P2110" s="15" t="str">
        <f>IFERROR(__xludf.DUMMYFUNCTION("CONCATENATE(B2110,"", "", to_text(D2110),"", "", E2110,"", "", H2110)"),"TSV-11-0966, 31-Dec-2025, UPI/CR/536530039975/RITIK SI/SBIN/8107600/SC3567, 450")</f>
        <v>TSV-11-0966, 31-Dec-2025, UPI/CR/536530039975/RITIK SI/SBIN/8107600/SC3567, 450</v>
      </c>
      <c r="Q2110" s="8">
        <v>2025.0</v>
      </c>
      <c r="R2110" s="8" t="s">
        <v>5275</v>
      </c>
    </row>
    <row r="2111">
      <c r="A2111" s="4" t="s">
        <v>18</v>
      </c>
      <c r="B2111" s="2" t="s">
        <v>6759</v>
      </c>
      <c r="C2111" s="5">
        <v>46022.0</v>
      </c>
      <c r="D2111" s="5">
        <v>46022.0</v>
      </c>
      <c r="E2111" s="4" t="s">
        <v>6760</v>
      </c>
      <c r="F2111" s="9"/>
      <c r="G2111" s="6"/>
      <c r="H2111" s="7">
        <v>180.0</v>
      </c>
      <c r="I2111" s="11">
        <v>70195.53</v>
      </c>
      <c r="K2111" s="12" t="str">
        <f t="shared" si="270"/>
        <v>UN3668</v>
      </c>
      <c r="L2111" s="21" t="s">
        <v>6761</v>
      </c>
      <c r="M2111" s="2" t="s">
        <v>24</v>
      </c>
      <c r="N2111" s="2" t="s">
        <v>60</v>
      </c>
      <c r="O2111" s="2">
        <v>1.10751038E8</v>
      </c>
      <c r="P2111" s="15"/>
      <c r="Q2111" s="8">
        <v>2025.0</v>
      </c>
      <c r="R2111" s="8" t="s">
        <v>5275</v>
      </c>
    </row>
    <row r="2112">
      <c r="A2112" s="4" t="s">
        <v>18</v>
      </c>
      <c r="B2112" s="2" t="s">
        <v>6762</v>
      </c>
      <c r="C2112" s="5">
        <v>46022.0</v>
      </c>
      <c r="D2112" s="5">
        <v>46022.0</v>
      </c>
      <c r="E2112" s="4" t="s">
        <v>6763</v>
      </c>
      <c r="F2112" s="9"/>
      <c r="G2112" s="6"/>
      <c r="H2112" s="7">
        <v>537.0</v>
      </c>
      <c r="I2112" s="11">
        <v>70732.53</v>
      </c>
      <c r="K2112" s="12" t="str">
        <f t="shared" si="270"/>
        <v>UN3668</v>
      </c>
      <c r="L2112" s="21" t="s">
        <v>6764</v>
      </c>
      <c r="M2112" s="2" t="s">
        <v>24</v>
      </c>
      <c r="N2112" s="2" t="s">
        <v>60</v>
      </c>
      <c r="O2112" s="2">
        <v>1.10751038E8</v>
      </c>
      <c r="P2112" s="15"/>
      <c r="Q2112" s="8">
        <v>2025.0</v>
      </c>
      <c r="R2112" s="8" t="s">
        <v>5275</v>
      </c>
    </row>
    <row r="2113">
      <c r="A2113" s="4" t="s">
        <v>18</v>
      </c>
      <c r="B2113" s="2" t="s">
        <v>6765</v>
      </c>
      <c r="C2113" s="5">
        <v>46022.0</v>
      </c>
      <c r="D2113" s="5">
        <v>46022.0</v>
      </c>
      <c r="E2113" s="4" t="s">
        <v>6766</v>
      </c>
      <c r="F2113" s="9"/>
      <c r="G2113" s="6"/>
      <c r="H2113" s="7">
        <v>752.0</v>
      </c>
      <c r="I2113" s="11">
        <v>71484.53</v>
      </c>
      <c r="K2113" s="12" t="str">
        <f t="shared" si="270"/>
        <v>SC3567</v>
      </c>
      <c r="M2113" s="2" t="s">
        <v>24</v>
      </c>
      <c r="N2113" s="2" t="s">
        <v>60</v>
      </c>
      <c r="O2113" s="2">
        <v>1.10751038E8</v>
      </c>
      <c r="P2113" s="15" t="str">
        <f>IFERROR(__xludf.DUMMYFUNCTION("CONCATENATE(B2113,"", "", to_text(D2113),"", "", E2113,"", "", H2113)"),"TSV-11-0969, 31-Dec-2025, UPI/CR/116467125339/BROTIN K/SBIN/brotink/SC3567, 752")</f>
        <v>TSV-11-0969, 31-Dec-2025, UPI/CR/116467125339/BROTIN K/SBIN/brotink/SC3567, 752</v>
      </c>
      <c r="Q2113" s="8">
        <v>2025.0</v>
      </c>
      <c r="R2113" s="8" t="s">
        <v>5275</v>
      </c>
    </row>
    <row r="2114">
      <c r="A2114" s="4" t="s">
        <v>18</v>
      </c>
      <c r="B2114" s="2" t="s">
        <v>6767</v>
      </c>
      <c r="C2114" s="5">
        <v>46022.0</v>
      </c>
      <c r="D2114" s="5">
        <v>46022.0</v>
      </c>
      <c r="E2114" s="4" t="s">
        <v>6768</v>
      </c>
      <c r="F2114" s="9"/>
      <c r="G2114" s="6"/>
      <c r="H2114" s="7">
        <v>534.0</v>
      </c>
      <c r="I2114" s="11">
        <v>72018.53</v>
      </c>
      <c r="K2114" s="12" t="str">
        <f t="shared" si="270"/>
        <v>SL1610</v>
      </c>
      <c r="L2114" s="2" t="s">
        <v>6769</v>
      </c>
      <c r="M2114" s="2" t="s">
        <v>24</v>
      </c>
      <c r="N2114" s="2" t="s">
        <v>60</v>
      </c>
      <c r="O2114" s="2">
        <v>1.10751038E8</v>
      </c>
      <c r="P2114" s="15"/>
      <c r="Q2114" s="8">
        <v>2025.0</v>
      </c>
      <c r="R2114" s="8" t="s">
        <v>5275</v>
      </c>
    </row>
    <row r="2115">
      <c r="A2115" s="4" t="s">
        <v>18</v>
      </c>
      <c r="B2115" s="2" t="s">
        <v>6770</v>
      </c>
      <c r="C2115" s="5">
        <v>46022.0</v>
      </c>
      <c r="D2115" s="5">
        <v>46022.0</v>
      </c>
      <c r="E2115" s="4" t="s">
        <v>6771</v>
      </c>
      <c r="F2115" s="9"/>
      <c r="G2115" s="7">
        <v>290.0</v>
      </c>
      <c r="H2115" s="27"/>
      <c r="I2115" s="11">
        <v>71728.53</v>
      </c>
      <c r="K2115" s="2" t="s">
        <v>119</v>
      </c>
      <c r="M2115" s="2" t="s">
        <v>114</v>
      </c>
      <c r="N2115" s="2" t="s">
        <v>4023</v>
      </c>
      <c r="O2115" s="2">
        <v>1.10751038E8</v>
      </c>
      <c r="Q2115" s="8">
        <v>2025.0</v>
      </c>
      <c r="R2115" s="8" t="s">
        <v>5275</v>
      </c>
    </row>
    <row r="2116">
      <c r="A2116" s="4" t="s">
        <v>18</v>
      </c>
      <c r="B2116" s="2" t="s">
        <v>6772</v>
      </c>
      <c r="C2116" s="5">
        <v>46022.0</v>
      </c>
      <c r="D2116" s="5">
        <v>46022.0</v>
      </c>
      <c r="E2116" s="4" t="s">
        <v>6773</v>
      </c>
      <c r="F2116" s="9"/>
      <c r="G2116" s="11">
        <v>1000.0</v>
      </c>
      <c r="H2116" s="27"/>
      <c r="I2116" s="11">
        <v>70728.53</v>
      </c>
      <c r="J2116" s="2" t="s">
        <v>366</v>
      </c>
      <c r="K2116" s="2" t="s">
        <v>123</v>
      </c>
      <c r="M2116" s="2" t="s">
        <v>114</v>
      </c>
      <c r="N2116" s="2" t="s">
        <v>169</v>
      </c>
      <c r="O2116" s="2">
        <v>1.10751038E8</v>
      </c>
      <c r="P2116" s="15"/>
      <c r="Q2116" s="8">
        <v>2025.0</v>
      </c>
      <c r="R2116" s="8" t="s">
        <v>5275</v>
      </c>
    </row>
    <row r="2117">
      <c r="A2117" s="4" t="s">
        <v>18</v>
      </c>
      <c r="B2117" s="2" t="s">
        <v>6774</v>
      </c>
      <c r="C2117" s="5">
        <v>46023.0</v>
      </c>
      <c r="D2117" s="5">
        <v>46023.0</v>
      </c>
      <c r="E2117" s="4" t="s">
        <v>6775</v>
      </c>
      <c r="F2117" s="9"/>
      <c r="G2117" s="6"/>
      <c r="H2117" s="7">
        <v>334.0</v>
      </c>
      <c r="I2117" s="11">
        <v>71062.53</v>
      </c>
      <c r="K2117" s="12" t="str">
        <f t="shared" ref="K2117:K2124" si="271">RIGHT(E2117,6)</f>
        <v>SL1610</v>
      </c>
      <c r="L2117" s="2" t="s">
        <v>6776</v>
      </c>
      <c r="M2117" s="2" t="s">
        <v>24</v>
      </c>
      <c r="N2117" s="2" t="s">
        <v>60</v>
      </c>
      <c r="O2117" s="2">
        <v>1.10751038E8</v>
      </c>
      <c r="P2117" s="15"/>
      <c r="Q2117" s="8">
        <v>2026.0</v>
      </c>
      <c r="R2117" s="8" t="s">
        <v>6777</v>
      </c>
    </row>
    <row r="2118">
      <c r="A2118" s="4" t="s">
        <v>18</v>
      </c>
      <c r="B2118" s="2" t="s">
        <v>6778</v>
      </c>
      <c r="C2118" s="5">
        <v>46023.0</v>
      </c>
      <c r="D2118" s="5">
        <v>46023.0</v>
      </c>
      <c r="E2118" s="4" t="s">
        <v>6779</v>
      </c>
      <c r="F2118" s="9"/>
      <c r="G2118" s="6"/>
      <c r="H2118" s="7">
        <v>180.0</v>
      </c>
      <c r="I2118" s="11">
        <v>71242.53</v>
      </c>
      <c r="K2118" s="12" t="str">
        <f t="shared" si="271"/>
        <v>KN3817</v>
      </c>
      <c r="L2118" s="2" t="s">
        <v>6780</v>
      </c>
      <c r="M2118" s="2" t="s">
        <v>24</v>
      </c>
      <c r="N2118" s="2" t="s">
        <v>60</v>
      </c>
      <c r="O2118" s="2">
        <v>1.10751038E8</v>
      </c>
      <c r="P2118" s="15"/>
      <c r="Q2118" s="8">
        <v>2026.0</v>
      </c>
      <c r="R2118" s="8" t="s">
        <v>6777</v>
      </c>
    </row>
    <row r="2119">
      <c r="A2119" s="4" t="s">
        <v>18</v>
      </c>
      <c r="B2119" s="2" t="s">
        <v>6781</v>
      </c>
      <c r="C2119" s="5">
        <v>46023.0</v>
      </c>
      <c r="D2119" s="5">
        <v>46023.0</v>
      </c>
      <c r="E2119" s="4" t="s">
        <v>6782</v>
      </c>
      <c r="F2119" s="9"/>
      <c r="G2119" s="6"/>
      <c r="H2119" s="7">
        <v>300.0</v>
      </c>
      <c r="I2119" s="11">
        <v>71542.53</v>
      </c>
      <c r="K2119" s="12" t="str">
        <f t="shared" si="271"/>
        <v>UN3668</v>
      </c>
      <c r="L2119" s="2" t="s">
        <v>6783</v>
      </c>
      <c r="M2119" s="2" t="s">
        <v>24</v>
      </c>
      <c r="N2119" s="2" t="s">
        <v>60</v>
      </c>
      <c r="O2119" s="2">
        <v>1.10751038E8</v>
      </c>
      <c r="P2119" s="15"/>
      <c r="Q2119" s="8">
        <v>2026.0</v>
      </c>
      <c r="R2119" s="8" t="s">
        <v>6777</v>
      </c>
    </row>
    <row r="2120">
      <c r="A2120" s="4" t="s">
        <v>18</v>
      </c>
      <c r="B2120" s="2" t="s">
        <v>6784</v>
      </c>
      <c r="C2120" s="5">
        <v>46023.0</v>
      </c>
      <c r="D2120" s="5">
        <v>46023.0</v>
      </c>
      <c r="E2120" s="4" t="s">
        <v>6785</v>
      </c>
      <c r="F2120" s="9"/>
      <c r="G2120" s="6"/>
      <c r="H2120" s="7">
        <v>736.0</v>
      </c>
      <c r="I2120" s="11">
        <v>72278.53</v>
      </c>
      <c r="K2120" s="12" t="str">
        <f t="shared" si="271"/>
        <v>UN3668</v>
      </c>
      <c r="L2120" s="21" t="s">
        <v>6786</v>
      </c>
      <c r="M2120" s="2" t="s">
        <v>24</v>
      </c>
      <c r="N2120" s="2" t="s">
        <v>60</v>
      </c>
      <c r="O2120" s="2">
        <v>1.10751038E8</v>
      </c>
      <c r="P2120" s="15"/>
      <c r="Q2120" s="8">
        <v>2026.0</v>
      </c>
      <c r="R2120" s="8" t="s">
        <v>6777</v>
      </c>
    </row>
    <row r="2121">
      <c r="A2121" s="4" t="s">
        <v>18</v>
      </c>
      <c r="B2121" s="2" t="s">
        <v>6787</v>
      </c>
      <c r="C2121" s="5">
        <v>46023.0</v>
      </c>
      <c r="D2121" s="5">
        <v>46023.0</v>
      </c>
      <c r="E2121" s="4" t="s">
        <v>6788</v>
      </c>
      <c r="F2121" s="9"/>
      <c r="G2121" s="6"/>
      <c r="H2121" s="7">
        <v>707.0</v>
      </c>
      <c r="I2121" s="11">
        <v>72985.53</v>
      </c>
      <c r="K2121" s="12" t="str">
        <f t="shared" si="271"/>
        <v>SC3567</v>
      </c>
      <c r="M2121" s="2" t="s">
        <v>24</v>
      </c>
      <c r="N2121" s="2" t="s">
        <v>60</v>
      </c>
      <c r="O2121" s="2">
        <v>1.10751038E8</v>
      </c>
      <c r="P2121" s="15" t="str">
        <f>IFERROR(__xludf.DUMMYFUNCTION("CONCATENATE(B2121,"", "", to_text(D2121),"", "", E2121,"", "", H2121)"),"TSV-2601-0005, 1-Jan-2026, UPI/CR/696622869946/Mr JAGDI/MAHB/9999916/SC3567, 707")</f>
        <v>TSV-2601-0005, 1-Jan-2026, UPI/CR/696622869946/Mr JAGDI/MAHB/9999916/SC3567, 707</v>
      </c>
      <c r="Q2121" s="8">
        <v>2026.0</v>
      </c>
      <c r="R2121" s="8" t="s">
        <v>6777</v>
      </c>
    </row>
    <row r="2122">
      <c r="A2122" s="4" t="s">
        <v>18</v>
      </c>
      <c r="B2122" s="2" t="s">
        <v>6789</v>
      </c>
      <c r="C2122" s="5">
        <v>46023.0</v>
      </c>
      <c r="D2122" s="5">
        <v>46023.0</v>
      </c>
      <c r="E2122" s="4" t="s">
        <v>6790</v>
      </c>
      <c r="F2122" s="9"/>
      <c r="G2122" s="6"/>
      <c r="H2122" s="7">
        <v>300.0</v>
      </c>
      <c r="I2122" s="11">
        <v>73285.53</v>
      </c>
      <c r="K2122" s="12" t="str">
        <f t="shared" si="271"/>
        <v>UN3668</v>
      </c>
      <c r="L2122" s="21" t="s">
        <v>6783</v>
      </c>
      <c r="M2122" s="2" t="s">
        <v>24</v>
      </c>
      <c r="N2122" s="2" t="s">
        <v>60</v>
      </c>
      <c r="O2122" s="2">
        <v>1.10751038E8</v>
      </c>
      <c r="P2122" s="15"/>
      <c r="Q2122" s="8">
        <v>2026.0</v>
      </c>
      <c r="R2122" s="8" t="s">
        <v>6777</v>
      </c>
    </row>
    <row r="2123">
      <c r="A2123" s="4" t="s">
        <v>18</v>
      </c>
      <c r="B2123" s="2" t="s">
        <v>6791</v>
      </c>
      <c r="C2123" s="5">
        <v>46023.0</v>
      </c>
      <c r="D2123" s="5">
        <v>46023.0</v>
      </c>
      <c r="E2123" s="4" t="s">
        <v>6792</v>
      </c>
      <c r="F2123" s="9"/>
      <c r="G2123" s="6"/>
      <c r="H2123" s="7">
        <v>700.0</v>
      </c>
      <c r="I2123" s="11">
        <v>73985.53</v>
      </c>
      <c r="K2123" s="12" t="str">
        <f t="shared" si="271"/>
        <v>SC3567</v>
      </c>
      <c r="M2123" s="2" t="s">
        <v>24</v>
      </c>
      <c r="N2123" s="2" t="s">
        <v>60</v>
      </c>
      <c r="O2123" s="2">
        <v>1.10751038E8</v>
      </c>
      <c r="P2123" s="15" t="str">
        <f>IFERROR(__xludf.DUMMYFUNCTION("CONCATENATE(B2123,"", "", to_text(D2123),"", "", E2123,"", "", H2123)"),"TSV-2601-0007, 1-Jan-2026, UPI/CR/116528781341/ALDRED G/HDFC/ald777@/SC3567, 700")</f>
        <v>TSV-2601-0007, 1-Jan-2026, UPI/CR/116528781341/ALDRED G/HDFC/ald777@/SC3567, 700</v>
      </c>
      <c r="Q2123" s="8">
        <v>2026.0</v>
      </c>
      <c r="R2123" s="8" t="s">
        <v>6777</v>
      </c>
    </row>
    <row r="2124">
      <c r="A2124" s="4" t="s">
        <v>18</v>
      </c>
      <c r="B2124" s="2" t="s">
        <v>6793</v>
      </c>
      <c r="C2124" s="5">
        <v>46024.0</v>
      </c>
      <c r="D2124" s="5">
        <v>46024.0</v>
      </c>
      <c r="E2124" s="4" t="s">
        <v>6794</v>
      </c>
      <c r="F2124" s="9"/>
      <c r="G2124" s="6"/>
      <c r="H2124" s="7">
        <v>300.0</v>
      </c>
      <c r="I2124" s="11">
        <v>74285.53</v>
      </c>
      <c r="K2124" s="12" t="str">
        <f t="shared" si="271"/>
        <v>SL1610</v>
      </c>
      <c r="L2124" s="2" t="s">
        <v>6795</v>
      </c>
      <c r="M2124" s="2" t="s">
        <v>24</v>
      </c>
      <c r="N2124" s="2" t="s">
        <v>60</v>
      </c>
      <c r="O2124" s="2">
        <v>1.10751038E8</v>
      </c>
      <c r="P2124" s="15"/>
      <c r="Q2124" s="8">
        <v>2026.0</v>
      </c>
      <c r="R2124" s="8" t="s">
        <v>6777</v>
      </c>
    </row>
    <row r="2125">
      <c r="A2125" s="4" t="s">
        <v>18</v>
      </c>
      <c r="B2125" s="2" t="s">
        <v>6796</v>
      </c>
      <c r="C2125" s="5">
        <v>46024.0</v>
      </c>
      <c r="D2125" s="5">
        <v>46024.0</v>
      </c>
      <c r="E2125" s="4" t="s">
        <v>6797</v>
      </c>
      <c r="F2125" s="9"/>
      <c r="G2125" s="11">
        <v>10000.0</v>
      </c>
      <c r="H2125" s="27"/>
      <c r="I2125" s="11">
        <v>64285.53</v>
      </c>
      <c r="J2125" s="2" t="s">
        <v>6798</v>
      </c>
      <c r="K2125" s="2" t="s">
        <v>23</v>
      </c>
      <c r="M2125" s="2" t="s">
        <v>114</v>
      </c>
      <c r="N2125" s="2" t="s">
        <v>169</v>
      </c>
      <c r="O2125" s="2">
        <v>1.10751038E8</v>
      </c>
      <c r="Q2125" s="8">
        <v>2026.0</v>
      </c>
      <c r="R2125" s="8" t="s">
        <v>6777</v>
      </c>
    </row>
    <row r="2126">
      <c r="A2126" s="4" t="s">
        <v>18</v>
      </c>
      <c r="B2126" s="2" t="s">
        <v>6799</v>
      </c>
      <c r="C2126" s="5">
        <v>46024.0</v>
      </c>
      <c r="D2126" s="5">
        <v>46024.0</v>
      </c>
      <c r="E2126" s="4" t="s">
        <v>6800</v>
      </c>
      <c r="F2126" s="9"/>
      <c r="G2126" s="6"/>
      <c r="H2126" s="7">
        <v>396.0</v>
      </c>
      <c r="I2126" s="11">
        <v>64681.53</v>
      </c>
      <c r="K2126" s="12" t="str">
        <f t="shared" ref="K2126:K2129" si="272">RIGHT(E2126,6)</f>
        <v>UN3668</v>
      </c>
      <c r="L2126" s="21" t="s">
        <v>6801</v>
      </c>
      <c r="M2126" s="2" t="s">
        <v>24</v>
      </c>
      <c r="N2126" s="2" t="s">
        <v>60</v>
      </c>
      <c r="O2126" s="2">
        <v>1.10751038E8</v>
      </c>
      <c r="P2126" s="15"/>
      <c r="Q2126" s="8">
        <v>2026.0</v>
      </c>
      <c r="R2126" s="8" t="s">
        <v>6777</v>
      </c>
    </row>
    <row r="2127">
      <c r="A2127" s="4" t="s">
        <v>18</v>
      </c>
      <c r="B2127" s="2" t="s">
        <v>6802</v>
      </c>
      <c r="C2127" s="5">
        <v>46024.0</v>
      </c>
      <c r="D2127" s="5">
        <v>46024.0</v>
      </c>
      <c r="E2127" s="4" t="s">
        <v>6803</v>
      </c>
      <c r="F2127" s="9"/>
      <c r="G2127" s="6"/>
      <c r="H2127" s="7">
        <v>550.0</v>
      </c>
      <c r="I2127" s="11">
        <v>65231.53</v>
      </c>
      <c r="K2127" s="12" t="str">
        <f t="shared" si="272"/>
        <v>KN3817</v>
      </c>
      <c r="M2127" s="2" t="s">
        <v>24</v>
      </c>
      <c r="N2127" s="2" t="s">
        <v>60</v>
      </c>
      <c r="O2127" s="2">
        <v>1.10751038E8</v>
      </c>
      <c r="P2127" s="15" t="str">
        <f>IFERROR(__xludf.DUMMYFUNCTION("CONCATENATE(B2127,"", "", to_text(D2127),"", "", E2127,"", "", H2127)"),"TSV-2601-0011, 2-Jan-2026, UPI/CR/206871179952/PRAGATI /ICIC/6394457/KN3817, 550")</f>
        <v>TSV-2601-0011, 2-Jan-2026, UPI/CR/206871179952/PRAGATI /ICIC/6394457/KN3817, 550</v>
      </c>
      <c r="Q2127" s="8">
        <v>2026.0</v>
      </c>
      <c r="R2127" s="8" t="s">
        <v>6777</v>
      </c>
    </row>
    <row r="2128">
      <c r="A2128" s="4" t="s">
        <v>18</v>
      </c>
      <c r="B2128" s="2" t="s">
        <v>6804</v>
      </c>
      <c r="C2128" s="5">
        <v>46024.0</v>
      </c>
      <c r="D2128" s="5">
        <v>46024.0</v>
      </c>
      <c r="E2128" s="4" t="s">
        <v>6805</v>
      </c>
      <c r="F2128" s="9"/>
      <c r="G2128" s="6"/>
      <c r="H2128" s="7">
        <v>336.0</v>
      </c>
      <c r="I2128" s="11">
        <v>65567.53</v>
      </c>
      <c r="K2128" s="12" t="str">
        <f t="shared" si="272"/>
        <v>KN3817</v>
      </c>
      <c r="M2128" s="2" t="s">
        <v>24</v>
      </c>
      <c r="N2128" s="2" t="s">
        <v>60</v>
      </c>
      <c r="O2128" s="2">
        <v>1.10751038E8</v>
      </c>
      <c r="P2128" s="15" t="str">
        <f>IFERROR(__xludf.DUMMYFUNCTION("CONCATENATE(B2128,"", "", to_text(D2128),"", "", E2128,"", "", H2128)"),"TSV-2601-0012, 2-Jan-2026, UPI/CR/696654145470/MRIDUL K/HDFC/8697447/KN3817, 336")</f>
        <v>TSV-2601-0012, 2-Jan-2026, UPI/CR/696654145470/MRIDUL K/HDFC/8697447/KN3817, 336</v>
      </c>
      <c r="Q2128" s="8">
        <v>2026.0</v>
      </c>
      <c r="R2128" s="8" t="s">
        <v>6777</v>
      </c>
    </row>
    <row r="2129">
      <c r="A2129" s="4" t="s">
        <v>18</v>
      </c>
      <c r="B2129" s="2" t="s">
        <v>6806</v>
      </c>
      <c r="C2129" s="5">
        <v>46024.0</v>
      </c>
      <c r="D2129" s="5">
        <v>46024.0</v>
      </c>
      <c r="E2129" s="4" t="s">
        <v>6807</v>
      </c>
      <c r="F2129" s="9"/>
      <c r="G2129" s="6"/>
      <c r="H2129" s="11">
        <v>1904.0</v>
      </c>
      <c r="I2129" s="11">
        <v>67471.53</v>
      </c>
      <c r="K2129" s="12" t="str">
        <f t="shared" si="272"/>
        <v>UN3668</v>
      </c>
      <c r="L2129" s="21" t="s">
        <v>6808</v>
      </c>
      <c r="M2129" s="2" t="s">
        <v>24</v>
      </c>
      <c r="N2129" s="2" t="s">
        <v>60</v>
      </c>
      <c r="O2129" s="2">
        <v>1.10751038E8</v>
      </c>
      <c r="P2129" s="15"/>
      <c r="Q2129" s="8">
        <v>2026.0</v>
      </c>
      <c r="R2129" s="8" t="s">
        <v>6777</v>
      </c>
    </row>
    <row r="2130">
      <c r="A2130" s="4" t="s">
        <v>18</v>
      </c>
      <c r="B2130" s="2" t="s">
        <v>6809</v>
      </c>
      <c r="C2130" s="5">
        <v>46024.0</v>
      </c>
      <c r="D2130" s="5">
        <v>46024.0</v>
      </c>
      <c r="E2130" s="4" t="s">
        <v>6810</v>
      </c>
      <c r="F2130" s="9"/>
      <c r="G2130" s="6"/>
      <c r="H2130" s="11">
        <v>1360.0</v>
      </c>
      <c r="I2130" s="11">
        <v>68831.53</v>
      </c>
      <c r="K2130" s="2" t="s">
        <v>127</v>
      </c>
      <c r="L2130" s="2" t="s">
        <v>6811</v>
      </c>
      <c r="M2130" s="2" t="s">
        <v>24</v>
      </c>
      <c r="N2130" s="2" t="s">
        <v>60</v>
      </c>
      <c r="O2130" s="2">
        <v>1.10751038E8</v>
      </c>
      <c r="Q2130" s="8">
        <v>2026.0</v>
      </c>
      <c r="R2130" s="8" t="s">
        <v>6777</v>
      </c>
    </row>
    <row r="2131">
      <c r="A2131" s="4" t="s">
        <v>18</v>
      </c>
      <c r="B2131" s="2" t="s">
        <v>6812</v>
      </c>
      <c r="C2131" s="5">
        <v>46024.0</v>
      </c>
      <c r="D2131" s="5">
        <v>46024.0</v>
      </c>
      <c r="E2131" s="4" t="s">
        <v>6813</v>
      </c>
      <c r="F2131" s="9"/>
      <c r="G2131" s="6"/>
      <c r="H2131" s="7">
        <v>598.0</v>
      </c>
      <c r="I2131" s="11">
        <v>69429.53</v>
      </c>
      <c r="K2131" s="12" t="str">
        <f t="shared" ref="K2131:K2135" si="273">RIGHT(E2131,6)</f>
        <v>SL1610</v>
      </c>
      <c r="L2131" s="2" t="s">
        <v>6814</v>
      </c>
      <c r="M2131" s="2" t="s">
        <v>24</v>
      </c>
      <c r="N2131" s="2" t="s">
        <v>60</v>
      </c>
      <c r="O2131" s="2">
        <v>1.10751038E8</v>
      </c>
      <c r="P2131" s="15"/>
      <c r="Q2131" s="8">
        <v>2026.0</v>
      </c>
      <c r="R2131" s="8" t="s">
        <v>6777</v>
      </c>
    </row>
    <row r="2132">
      <c r="A2132" s="4" t="s">
        <v>18</v>
      </c>
      <c r="B2132" s="2" t="s">
        <v>6815</v>
      </c>
      <c r="C2132" s="5">
        <v>46024.0</v>
      </c>
      <c r="D2132" s="5">
        <v>46024.0</v>
      </c>
      <c r="E2132" s="4" t="s">
        <v>6816</v>
      </c>
      <c r="F2132" s="9"/>
      <c r="G2132" s="6"/>
      <c r="H2132" s="7">
        <v>700.0</v>
      </c>
      <c r="I2132" s="11">
        <v>70129.53</v>
      </c>
      <c r="K2132" s="12" t="str">
        <f t="shared" si="273"/>
        <v>UN3668</v>
      </c>
      <c r="L2132" s="21" t="s">
        <v>6817</v>
      </c>
      <c r="M2132" s="2" t="s">
        <v>24</v>
      </c>
      <c r="N2132" s="2" t="s">
        <v>60</v>
      </c>
      <c r="O2132" s="2">
        <v>1.10751038E8</v>
      </c>
      <c r="P2132" s="15"/>
      <c r="Q2132" s="8">
        <v>2026.0</v>
      </c>
      <c r="R2132" s="8" t="s">
        <v>6777</v>
      </c>
    </row>
    <row r="2133">
      <c r="A2133" s="4" t="s">
        <v>18</v>
      </c>
      <c r="B2133" s="2" t="s">
        <v>6818</v>
      </c>
      <c r="C2133" s="5">
        <v>46024.0</v>
      </c>
      <c r="D2133" s="5">
        <v>46024.0</v>
      </c>
      <c r="E2133" s="4" t="s">
        <v>6819</v>
      </c>
      <c r="F2133" s="9"/>
      <c r="G2133" s="6"/>
      <c r="H2133" s="11">
        <v>3064.0</v>
      </c>
      <c r="I2133" s="11">
        <v>73193.53</v>
      </c>
      <c r="K2133" s="12" t="str">
        <f t="shared" si="273"/>
        <v>UN3668</v>
      </c>
      <c r="L2133" s="21" t="s">
        <v>6820</v>
      </c>
      <c r="M2133" s="2" t="s">
        <v>24</v>
      </c>
      <c r="N2133" s="2" t="s">
        <v>60</v>
      </c>
      <c r="O2133" s="2">
        <v>1.10751038E8</v>
      </c>
      <c r="P2133" s="15"/>
      <c r="Q2133" s="8">
        <v>2026.0</v>
      </c>
      <c r="R2133" s="8" t="s">
        <v>6777</v>
      </c>
    </row>
    <row r="2134">
      <c r="A2134" s="4" t="s">
        <v>18</v>
      </c>
      <c r="B2134" s="2" t="s">
        <v>6821</v>
      </c>
      <c r="C2134" s="5">
        <v>46024.0</v>
      </c>
      <c r="D2134" s="5">
        <v>46024.0</v>
      </c>
      <c r="E2134" s="4" t="s">
        <v>6822</v>
      </c>
      <c r="F2134" s="9"/>
      <c r="G2134" s="6"/>
      <c r="H2134" s="11">
        <v>1480.0</v>
      </c>
      <c r="I2134" s="11">
        <v>74673.53</v>
      </c>
      <c r="K2134" s="12" t="str">
        <f t="shared" si="273"/>
        <v>UN3668</v>
      </c>
      <c r="L2134" s="21" t="s">
        <v>6823</v>
      </c>
      <c r="M2134" s="2" t="s">
        <v>24</v>
      </c>
      <c r="N2134" s="2" t="s">
        <v>60</v>
      </c>
      <c r="O2134" s="2">
        <v>1.10751038E8</v>
      </c>
      <c r="P2134" s="15"/>
      <c r="Q2134" s="8">
        <v>2026.0</v>
      </c>
      <c r="R2134" s="8" t="s">
        <v>6777</v>
      </c>
    </row>
    <row r="2135">
      <c r="A2135" s="4" t="s">
        <v>18</v>
      </c>
      <c r="B2135" s="2" t="s">
        <v>6824</v>
      </c>
      <c r="C2135" s="5">
        <v>46024.0</v>
      </c>
      <c r="D2135" s="5">
        <v>46024.0</v>
      </c>
      <c r="E2135" s="4" t="s">
        <v>6825</v>
      </c>
      <c r="F2135" s="9"/>
      <c r="G2135" s="6"/>
      <c r="H2135" s="7">
        <v>412.0</v>
      </c>
      <c r="I2135" s="11">
        <v>75085.53</v>
      </c>
      <c r="K2135" s="12" t="str">
        <f t="shared" si="273"/>
        <v>SL1610</v>
      </c>
      <c r="L2135" s="2" t="s">
        <v>6826</v>
      </c>
      <c r="M2135" s="2" t="s">
        <v>24</v>
      </c>
      <c r="N2135" s="2" t="s">
        <v>60</v>
      </c>
      <c r="O2135" s="2">
        <v>1.10751038E8</v>
      </c>
      <c r="P2135" s="15"/>
      <c r="Q2135" s="8">
        <v>2026.0</v>
      </c>
      <c r="R2135" s="8" t="s">
        <v>6777</v>
      </c>
    </row>
    <row r="2136">
      <c r="A2136" s="4" t="s">
        <v>18</v>
      </c>
      <c r="B2136" s="2" t="s">
        <v>6827</v>
      </c>
      <c r="C2136" s="5">
        <v>46024.0</v>
      </c>
      <c r="D2136" s="5">
        <v>46024.0</v>
      </c>
      <c r="E2136" s="4" t="s">
        <v>6828</v>
      </c>
      <c r="F2136" s="9"/>
      <c r="G2136" s="11">
        <v>1389.0</v>
      </c>
      <c r="H2136" s="27"/>
      <c r="I2136" s="11">
        <v>73696.53</v>
      </c>
      <c r="K2136" s="2" t="s">
        <v>127</v>
      </c>
      <c r="M2136" s="2" t="s">
        <v>114</v>
      </c>
      <c r="N2136" s="2" t="s">
        <v>2883</v>
      </c>
      <c r="O2136" s="2">
        <v>1.10751038E8</v>
      </c>
      <c r="Q2136" s="8">
        <v>2026.0</v>
      </c>
      <c r="R2136" s="8" t="s">
        <v>6777</v>
      </c>
    </row>
    <row r="2137">
      <c r="A2137" s="4" t="s">
        <v>18</v>
      </c>
      <c r="B2137" s="2" t="s">
        <v>6829</v>
      </c>
      <c r="C2137" s="5">
        <v>46024.0</v>
      </c>
      <c r="D2137" s="5">
        <v>46024.0</v>
      </c>
      <c r="E2137" s="4" t="s">
        <v>6830</v>
      </c>
      <c r="F2137" s="9"/>
      <c r="G2137" s="6"/>
      <c r="H2137" s="7">
        <v>409.0</v>
      </c>
      <c r="I2137" s="11">
        <v>74105.53</v>
      </c>
      <c r="K2137" s="12" t="str">
        <f t="shared" ref="K2137:K2138" si="274">RIGHT(E2137,6)</f>
        <v>SC3567</v>
      </c>
      <c r="M2137" s="2" t="s">
        <v>24</v>
      </c>
      <c r="N2137" s="2" t="s">
        <v>60</v>
      </c>
      <c r="O2137" s="2">
        <v>1.10751038E8</v>
      </c>
      <c r="P2137" s="15" t="str">
        <f>IFERROR(__xludf.DUMMYFUNCTION("CONCATENATE(B2137,"", "", to_text(D2137),"", "", E2137,"", "", H2137)"),"TSV-2601-0021, 2-Jan-2026, UPI/CR/636820605336/VAIBHAV /HDFC/9792733/SC3567, 409")</f>
        <v>TSV-2601-0021, 2-Jan-2026, UPI/CR/636820605336/VAIBHAV /HDFC/9792733/SC3567, 409</v>
      </c>
      <c r="Q2137" s="8">
        <v>2026.0</v>
      </c>
      <c r="R2137" s="8" t="s">
        <v>6777</v>
      </c>
    </row>
    <row r="2138">
      <c r="A2138" s="4" t="s">
        <v>18</v>
      </c>
      <c r="B2138" s="2" t="s">
        <v>6831</v>
      </c>
      <c r="C2138" s="5">
        <v>46024.0</v>
      </c>
      <c r="D2138" s="5">
        <v>46024.0</v>
      </c>
      <c r="E2138" s="4" t="s">
        <v>6832</v>
      </c>
      <c r="F2138" s="9"/>
      <c r="G2138" s="6"/>
      <c r="H2138" s="7">
        <v>370.0</v>
      </c>
      <c r="I2138" s="11">
        <v>74475.53</v>
      </c>
      <c r="K2138" s="12" t="str">
        <f t="shared" si="274"/>
        <v>UN3668</v>
      </c>
      <c r="L2138" s="21" t="s">
        <v>6833</v>
      </c>
      <c r="M2138" s="2" t="s">
        <v>24</v>
      </c>
      <c r="N2138" s="2" t="s">
        <v>60</v>
      </c>
      <c r="O2138" s="2">
        <v>1.10751038E8</v>
      </c>
      <c r="P2138" s="15"/>
      <c r="Q2138" s="8">
        <v>2026.0</v>
      </c>
      <c r="R2138" s="8" t="s">
        <v>6777</v>
      </c>
    </row>
    <row r="2139">
      <c r="A2139" s="4" t="s">
        <v>18</v>
      </c>
      <c r="B2139" s="2" t="s">
        <v>6834</v>
      </c>
      <c r="C2139" s="5">
        <v>46025.0</v>
      </c>
      <c r="D2139" s="5">
        <v>46025.0</v>
      </c>
      <c r="E2139" s="4" t="s">
        <v>6835</v>
      </c>
      <c r="F2139" s="9"/>
      <c r="G2139" s="7">
        <v>401.0</v>
      </c>
      <c r="H2139" s="27"/>
      <c r="I2139" s="11">
        <v>74074.53</v>
      </c>
      <c r="K2139" s="2" t="s">
        <v>127</v>
      </c>
      <c r="M2139" s="2" t="s">
        <v>114</v>
      </c>
      <c r="N2139" s="2" t="s">
        <v>478</v>
      </c>
      <c r="O2139" s="2">
        <v>1.10751038E8</v>
      </c>
      <c r="Q2139" s="8">
        <v>2026.0</v>
      </c>
      <c r="R2139" s="8" t="s">
        <v>6777</v>
      </c>
    </row>
    <row r="2140">
      <c r="A2140" s="4" t="s">
        <v>18</v>
      </c>
      <c r="B2140" s="2" t="s">
        <v>6836</v>
      </c>
      <c r="C2140" s="5">
        <v>46025.0</v>
      </c>
      <c r="D2140" s="5">
        <v>46025.0</v>
      </c>
      <c r="E2140" s="4" t="s">
        <v>6837</v>
      </c>
      <c r="F2140" s="9"/>
      <c r="G2140" s="6"/>
      <c r="H2140" s="11">
        <v>2000.0</v>
      </c>
      <c r="I2140" s="11">
        <v>76074.53</v>
      </c>
      <c r="K2140" s="12" t="str">
        <f t="shared" ref="K2140:K2144" si="275">RIGHT(E2140,6)</f>
        <v>SL1610</v>
      </c>
      <c r="L2140" s="2" t="s">
        <v>6838</v>
      </c>
      <c r="M2140" s="2" t="s">
        <v>24</v>
      </c>
      <c r="N2140" s="2" t="s">
        <v>60</v>
      </c>
      <c r="O2140" s="2">
        <v>1.10751038E8</v>
      </c>
      <c r="P2140" s="15"/>
      <c r="Q2140" s="8">
        <v>2026.0</v>
      </c>
      <c r="R2140" s="8" t="s">
        <v>6777</v>
      </c>
    </row>
    <row r="2141">
      <c r="A2141" s="4" t="s">
        <v>18</v>
      </c>
      <c r="B2141" s="2" t="s">
        <v>6839</v>
      </c>
      <c r="C2141" s="5">
        <v>46025.0</v>
      </c>
      <c r="D2141" s="5">
        <v>46025.0</v>
      </c>
      <c r="E2141" s="4" t="s">
        <v>6840</v>
      </c>
      <c r="F2141" s="9"/>
      <c r="G2141" s="6"/>
      <c r="H2141" s="7">
        <v>250.0</v>
      </c>
      <c r="I2141" s="11">
        <v>76324.53</v>
      </c>
      <c r="K2141" s="12" t="str">
        <f t="shared" si="275"/>
        <v>KN3817</v>
      </c>
      <c r="M2141" s="2" t="s">
        <v>24</v>
      </c>
      <c r="N2141" s="2" t="s">
        <v>60</v>
      </c>
      <c r="O2141" s="2">
        <v>1.10751038E8</v>
      </c>
      <c r="P2141" s="15" t="str">
        <f>IFERROR(__xludf.DUMMYFUNCTION("CONCATENATE(B2141,"", "", to_text(D2141),"", "", E2141,"", "", H2141)"),"TSV-2601-0025, 3-Jan-2026, UPI/CR/600384372465/PARUL S/SBIN/12parul/KN3817, 250")</f>
        <v>TSV-2601-0025, 3-Jan-2026, UPI/CR/600384372465/PARUL S/SBIN/12parul/KN3817, 250</v>
      </c>
      <c r="Q2141" s="8">
        <v>2026.0</v>
      </c>
      <c r="R2141" s="8" t="s">
        <v>6777</v>
      </c>
    </row>
    <row r="2142">
      <c r="A2142" s="4" t="s">
        <v>18</v>
      </c>
      <c r="B2142" s="2" t="s">
        <v>6841</v>
      </c>
      <c r="C2142" s="5">
        <v>46025.0</v>
      </c>
      <c r="D2142" s="5">
        <v>46025.0</v>
      </c>
      <c r="E2142" s="4" t="s">
        <v>6842</v>
      </c>
      <c r="F2142" s="9"/>
      <c r="G2142" s="6"/>
      <c r="H2142" s="7">
        <v>890.0</v>
      </c>
      <c r="I2142" s="11">
        <v>77214.53</v>
      </c>
      <c r="K2142" s="12" t="str">
        <f t="shared" si="275"/>
        <v>KN3817</v>
      </c>
      <c r="M2142" s="2" t="s">
        <v>24</v>
      </c>
      <c r="N2142" s="2" t="s">
        <v>60</v>
      </c>
      <c r="O2142" s="2">
        <v>1.10751038E8</v>
      </c>
      <c r="P2142" s="15" t="str">
        <f>IFERROR(__xludf.DUMMYFUNCTION("CONCATENATE(B2142,"", "", to_text(D2142),"", "", E2142,"", "", H2142)"),"TSV-2601-0026, 3-Jan-2026, UPI/CR/116607229508/KIRAN KR/SBIN/kiran90/KN3817, 890")</f>
        <v>TSV-2601-0026, 3-Jan-2026, UPI/CR/116607229508/KIRAN KR/SBIN/kiran90/KN3817, 890</v>
      </c>
      <c r="Q2142" s="8">
        <v>2026.0</v>
      </c>
      <c r="R2142" s="8" t="s">
        <v>6777</v>
      </c>
    </row>
    <row r="2143">
      <c r="A2143" s="4" t="s">
        <v>18</v>
      </c>
      <c r="B2143" s="2" t="s">
        <v>6843</v>
      </c>
      <c r="C2143" s="5">
        <v>46025.0</v>
      </c>
      <c r="D2143" s="5">
        <v>46025.0</v>
      </c>
      <c r="E2143" s="4" t="s">
        <v>6844</v>
      </c>
      <c r="F2143" s="9"/>
      <c r="G2143" s="6"/>
      <c r="H2143" s="7">
        <v>777.0</v>
      </c>
      <c r="I2143" s="11">
        <v>77991.53</v>
      </c>
      <c r="K2143" s="12" t="str">
        <f t="shared" si="275"/>
        <v>SL1610</v>
      </c>
      <c r="L2143" s="2" t="s">
        <v>6845</v>
      </c>
      <c r="M2143" s="2" t="s">
        <v>24</v>
      </c>
      <c r="N2143" s="2" t="s">
        <v>60</v>
      </c>
      <c r="O2143" s="2">
        <v>1.10751038E8</v>
      </c>
      <c r="P2143" s="15"/>
      <c r="Q2143" s="8">
        <v>2026.0</v>
      </c>
      <c r="R2143" s="8" t="s">
        <v>6777</v>
      </c>
    </row>
    <row r="2144">
      <c r="A2144" s="4" t="s">
        <v>18</v>
      </c>
      <c r="B2144" s="2" t="s">
        <v>6846</v>
      </c>
      <c r="C2144" s="5">
        <v>46025.0</v>
      </c>
      <c r="D2144" s="5">
        <v>46025.0</v>
      </c>
      <c r="E2144" s="4" t="s">
        <v>6847</v>
      </c>
      <c r="F2144" s="9"/>
      <c r="G2144" s="6"/>
      <c r="H2144" s="7">
        <v>901.0</v>
      </c>
      <c r="I2144" s="11">
        <v>78892.53</v>
      </c>
      <c r="K2144" s="12" t="str">
        <f t="shared" si="275"/>
        <v>SC3567</v>
      </c>
      <c r="M2144" s="2" t="s">
        <v>24</v>
      </c>
      <c r="N2144" s="2" t="s">
        <v>60</v>
      </c>
      <c r="O2144" s="2">
        <v>1.10751038E8</v>
      </c>
      <c r="P2144" s="15" t="str">
        <f>IFERROR(__xludf.DUMMYFUNCTION("CONCATENATE(B2144,"", "", to_text(D2144),"", "", E2144,"", "", H2144)"),"TSV-2601-0028, 3-Jan-2026, UPI/CR/636928350187/NEHA KHA/UBIN/neha.kh/SC3567, 901")</f>
        <v>TSV-2601-0028, 3-Jan-2026, UPI/CR/636928350187/NEHA KHA/UBIN/neha.kh/SC3567, 901</v>
      </c>
      <c r="Q2144" s="8">
        <v>2026.0</v>
      </c>
      <c r="R2144" s="8" t="s">
        <v>6777</v>
      </c>
    </row>
    <row r="2145">
      <c r="A2145" s="4" t="s">
        <v>18</v>
      </c>
      <c r="B2145" s="2" t="s">
        <v>6848</v>
      </c>
      <c r="C2145" s="5">
        <v>46025.0</v>
      </c>
      <c r="D2145" s="5">
        <v>46025.0</v>
      </c>
      <c r="E2145" s="4" t="s">
        <v>6849</v>
      </c>
      <c r="F2145" s="9"/>
      <c r="G2145" s="6"/>
      <c r="H2145" s="11">
        <v>1696.0</v>
      </c>
      <c r="I2145" s="11">
        <v>80588.53</v>
      </c>
      <c r="K2145" s="2" t="s">
        <v>113</v>
      </c>
      <c r="L2145" s="2" t="s">
        <v>6850</v>
      </c>
      <c r="M2145" s="2" t="s">
        <v>24</v>
      </c>
      <c r="N2145" s="2" t="s">
        <v>60</v>
      </c>
      <c r="O2145" s="2">
        <v>1.10751038E8</v>
      </c>
      <c r="Q2145" s="8">
        <v>2026.0</v>
      </c>
      <c r="R2145" s="8" t="s">
        <v>6777</v>
      </c>
    </row>
    <row r="2146">
      <c r="A2146" s="4" t="s">
        <v>18</v>
      </c>
      <c r="B2146" s="2" t="s">
        <v>6851</v>
      </c>
      <c r="C2146" s="5">
        <v>46025.0</v>
      </c>
      <c r="D2146" s="5">
        <v>46025.0</v>
      </c>
      <c r="E2146" s="4" t="s">
        <v>6852</v>
      </c>
      <c r="F2146" s="9"/>
      <c r="G2146" s="6"/>
      <c r="H2146" s="11">
        <v>1060.0</v>
      </c>
      <c r="I2146" s="11">
        <v>81648.53</v>
      </c>
      <c r="K2146" s="12" t="str">
        <f t="shared" ref="K2146:K2147" si="276">RIGHT(E2146,6)</f>
        <v>SC3567</v>
      </c>
      <c r="M2146" s="2" t="s">
        <v>24</v>
      </c>
      <c r="N2146" s="2" t="s">
        <v>60</v>
      </c>
      <c r="O2146" s="2">
        <v>1.10751038E8</v>
      </c>
      <c r="P2146" s="15" t="str">
        <f>IFERROR(__xludf.DUMMYFUNCTION("CONCATENATE(B2146,"", "", to_text(D2146),"", "", E2146,"", "", H2146)"),"TSV-2601-0030, 3-Jan-2026, UPI/CR/636909962944/SANDEEP /UTIB/sandiv9/SC3567, 1060")</f>
        <v>TSV-2601-0030, 3-Jan-2026, UPI/CR/636909962944/SANDEEP /UTIB/sandiv9/SC3567, 1060</v>
      </c>
      <c r="Q2146" s="8">
        <v>2026.0</v>
      </c>
      <c r="R2146" s="8" t="s">
        <v>6777</v>
      </c>
    </row>
    <row r="2147">
      <c r="A2147" s="4" t="s">
        <v>18</v>
      </c>
      <c r="B2147" s="2" t="s">
        <v>6853</v>
      </c>
      <c r="C2147" s="5">
        <v>46025.0</v>
      </c>
      <c r="D2147" s="5">
        <v>46025.0</v>
      </c>
      <c r="E2147" s="4" t="s">
        <v>6854</v>
      </c>
      <c r="F2147" s="9"/>
      <c r="G2147" s="6"/>
      <c r="H2147" s="7">
        <v>448.0</v>
      </c>
      <c r="I2147" s="11">
        <v>82096.53</v>
      </c>
      <c r="K2147" s="12" t="str">
        <f t="shared" si="276"/>
        <v>SC3567</v>
      </c>
      <c r="M2147" s="2" t="s">
        <v>24</v>
      </c>
      <c r="N2147" s="2" t="s">
        <v>60</v>
      </c>
      <c r="O2147" s="2">
        <v>1.10751038E8</v>
      </c>
      <c r="P2147" s="15" t="str">
        <f>IFERROR(__xludf.DUMMYFUNCTION("CONCATENATE(B2147,"", "", to_text(D2147),"", "", E2147,"", "", H2147)"),"TSV-2601-0031, 3-Jan-2026, UPI/CR/394857824658/PANKAJ K/IBKL/9771433/SC3567, 448")</f>
        <v>TSV-2601-0031, 3-Jan-2026, UPI/CR/394857824658/PANKAJ K/IBKL/9771433/SC3567, 448</v>
      </c>
      <c r="Q2147" s="8">
        <v>2026.0</v>
      </c>
      <c r="R2147" s="8" t="s">
        <v>6777</v>
      </c>
    </row>
    <row r="2148">
      <c r="A2148" s="4" t="s">
        <v>18</v>
      </c>
      <c r="B2148" s="2" t="s">
        <v>6855</v>
      </c>
      <c r="C2148" s="5">
        <v>46025.0</v>
      </c>
      <c r="D2148" s="5">
        <v>46025.0</v>
      </c>
      <c r="E2148" s="4" t="s">
        <v>6856</v>
      </c>
      <c r="F2148" s="9"/>
      <c r="G2148" s="11">
        <v>16675.0</v>
      </c>
      <c r="H2148" s="27"/>
      <c r="I2148" s="11">
        <v>65421.53</v>
      </c>
      <c r="K2148" s="2" t="s">
        <v>127</v>
      </c>
      <c r="M2148" s="2" t="s">
        <v>114</v>
      </c>
      <c r="N2148" s="2" t="s">
        <v>478</v>
      </c>
      <c r="O2148" s="2">
        <v>1.10751038E8</v>
      </c>
      <c r="Q2148" s="8">
        <v>2026.0</v>
      </c>
      <c r="R2148" s="8" t="s">
        <v>6777</v>
      </c>
    </row>
    <row r="2149">
      <c r="A2149" s="4" t="s">
        <v>18</v>
      </c>
      <c r="B2149" s="2" t="s">
        <v>6857</v>
      </c>
      <c r="C2149" s="5">
        <v>46025.0</v>
      </c>
      <c r="D2149" s="5">
        <v>46025.0</v>
      </c>
      <c r="E2149" s="4" t="s">
        <v>6858</v>
      </c>
      <c r="F2149" s="9"/>
      <c r="G2149" s="6"/>
      <c r="H2149" s="7">
        <v>565.0</v>
      </c>
      <c r="I2149" s="11">
        <v>65986.53</v>
      </c>
      <c r="K2149" s="12" t="str">
        <f t="shared" ref="K2149:K2151" si="277">RIGHT(E2149,6)</f>
        <v>UN3668</v>
      </c>
      <c r="L2149" s="21" t="s">
        <v>6859</v>
      </c>
      <c r="M2149" s="2" t="s">
        <v>24</v>
      </c>
      <c r="N2149" s="2" t="s">
        <v>60</v>
      </c>
      <c r="O2149" s="2">
        <v>1.10751038E8</v>
      </c>
      <c r="P2149" s="15"/>
      <c r="Q2149" s="8">
        <v>2026.0</v>
      </c>
      <c r="R2149" s="8" t="s">
        <v>6777</v>
      </c>
    </row>
    <row r="2150">
      <c r="A2150" s="4" t="s">
        <v>18</v>
      </c>
      <c r="B2150" s="2" t="s">
        <v>6860</v>
      </c>
      <c r="C2150" s="5">
        <v>46025.0</v>
      </c>
      <c r="D2150" s="5">
        <v>46025.0</v>
      </c>
      <c r="E2150" s="4" t="s">
        <v>6861</v>
      </c>
      <c r="F2150" s="9"/>
      <c r="G2150" s="6"/>
      <c r="H2150" s="11">
        <v>2096.0</v>
      </c>
      <c r="I2150" s="11">
        <v>68082.53</v>
      </c>
      <c r="K2150" s="12" t="str">
        <f t="shared" si="277"/>
        <v>SC3567</v>
      </c>
      <c r="M2150" s="2" t="s">
        <v>24</v>
      </c>
      <c r="N2150" s="2" t="s">
        <v>60</v>
      </c>
      <c r="O2150" s="2">
        <v>1.10751038E8</v>
      </c>
      <c r="P2150" s="15" t="str">
        <f>IFERROR(__xludf.DUMMYFUNCTION("CONCATENATE(B2150,"", "", to_text(D2150),"", "", E2150,"", "", H2150)"),"TSV-2601-0034, 3-Jan-2026, UPI/CR/600331124620/REUBEN N/UTIB/9810624/SC3567, 2096")</f>
        <v>TSV-2601-0034, 3-Jan-2026, UPI/CR/600331124620/REUBEN N/UTIB/9810624/SC3567, 2096</v>
      </c>
      <c r="Q2150" s="8">
        <v>2026.0</v>
      </c>
      <c r="R2150" s="8" t="s">
        <v>6777</v>
      </c>
    </row>
    <row r="2151">
      <c r="A2151" s="4" t="s">
        <v>18</v>
      </c>
      <c r="B2151" s="2" t="s">
        <v>6862</v>
      </c>
      <c r="C2151" s="5">
        <v>46025.0</v>
      </c>
      <c r="D2151" s="5">
        <v>46025.0</v>
      </c>
      <c r="E2151" s="4" t="s">
        <v>6863</v>
      </c>
      <c r="F2151" s="9"/>
      <c r="G2151" s="6"/>
      <c r="H2151" s="7">
        <v>282.26</v>
      </c>
      <c r="I2151" s="11">
        <v>68364.79</v>
      </c>
      <c r="K2151" s="12" t="str">
        <f t="shared" si="277"/>
        <v>SL1610</v>
      </c>
      <c r="L2151" s="2" t="s">
        <v>6864</v>
      </c>
      <c r="M2151" s="2" t="s">
        <v>24</v>
      </c>
      <c r="N2151" s="2" t="s">
        <v>60</v>
      </c>
      <c r="O2151" s="2">
        <v>1.10751038E8</v>
      </c>
      <c r="P2151" s="15"/>
      <c r="Q2151" s="8">
        <v>2026.0</v>
      </c>
      <c r="R2151" s="8" t="s">
        <v>6777</v>
      </c>
    </row>
    <row r="2152">
      <c r="A2152" s="4" t="s">
        <v>18</v>
      </c>
      <c r="B2152" s="2" t="s">
        <v>6865</v>
      </c>
      <c r="C2152" s="5">
        <v>46025.0</v>
      </c>
      <c r="D2152" s="5">
        <v>46025.0</v>
      </c>
      <c r="E2152" s="4" t="s">
        <v>6866</v>
      </c>
      <c r="F2152" s="9"/>
      <c r="G2152" s="11">
        <v>3000.0</v>
      </c>
      <c r="H2152" s="27"/>
      <c r="I2152" s="11">
        <v>65364.79</v>
      </c>
      <c r="J2152" s="2" t="s">
        <v>3799</v>
      </c>
      <c r="K2152" s="2" t="s">
        <v>113</v>
      </c>
      <c r="M2152" s="2" t="s">
        <v>114</v>
      </c>
      <c r="N2152" s="2" t="s">
        <v>169</v>
      </c>
      <c r="O2152" s="2">
        <v>1.10751038E8</v>
      </c>
      <c r="Q2152" s="8">
        <v>2026.0</v>
      </c>
      <c r="R2152" s="8" t="s">
        <v>6777</v>
      </c>
    </row>
    <row r="2153">
      <c r="A2153" s="4" t="s">
        <v>18</v>
      </c>
      <c r="B2153" s="2" t="s">
        <v>6867</v>
      </c>
      <c r="C2153" s="5">
        <v>46025.0</v>
      </c>
      <c r="D2153" s="5">
        <v>46025.0</v>
      </c>
      <c r="E2153" s="4" t="s">
        <v>6868</v>
      </c>
      <c r="F2153" s="9"/>
      <c r="G2153" s="6"/>
      <c r="H2153" s="7">
        <v>625.0</v>
      </c>
      <c r="I2153" s="11">
        <v>65989.79</v>
      </c>
      <c r="K2153" s="12" t="str">
        <f>RIGHT(E2153,6)</f>
        <v>UN3668</v>
      </c>
      <c r="L2153" s="21" t="s">
        <v>6869</v>
      </c>
      <c r="M2153" s="2" t="s">
        <v>24</v>
      </c>
      <c r="N2153" s="2" t="s">
        <v>60</v>
      </c>
      <c r="O2153" s="2">
        <v>1.10751038E8</v>
      </c>
      <c r="P2153" s="15"/>
      <c r="Q2153" s="8">
        <v>2026.0</v>
      </c>
      <c r="R2153" s="8" t="s">
        <v>6777</v>
      </c>
    </row>
    <row r="2154">
      <c r="A2154" s="4" t="s">
        <v>18</v>
      </c>
      <c r="B2154" s="2" t="s">
        <v>6870</v>
      </c>
      <c r="C2154" s="5">
        <v>46025.0</v>
      </c>
      <c r="D2154" s="5">
        <v>46025.0</v>
      </c>
      <c r="E2154" s="4" t="s">
        <v>6871</v>
      </c>
      <c r="F2154" s="9"/>
      <c r="G2154" s="11">
        <v>1578.0</v>
      </c>
      <c r="H2154" s="27"/>
      <c r="I2154" s="11">
        <v>64411.79</v>
      </c>
      <c r="J2154" s="2" t="s">
        <v>6872</v>
      </c>
      <c r="K2154" s="2" t="s">
        <v>113</v>
      </c>
      <c r="M2154" s="2" t="s">
        <v>114</v>
      </c>
      <c r="N2154" s="2" t="s">
        <v>2883</v>
      </c>
      <c r="O2154" s="2">
        <v>1.10751038E8</v>
      </c>
      <c r="Q2154" s="8">
        <v>2026.0</v>
      </c>
      <c r="R2154" s="8" t="s">
        <v>6777</v>
      </c>
    </row>
    <row r="2155">
      <c r="A2155" s="4" t="s">
        <v>18</v>
      </c>
      <c r="B2155" s="2" t="s">
        <v>6873</v>
      </c>
      <c r="C2155" s="5">
        <v>46025.0</v>
      </c>
      <c r="D2155" s="5">
        <v>46025.0</v>
      </c>
      <c r="E2155" s="4" t="s">
        <v>6874</v>
      </c>
      <c r="F2155" s="9"/>
      <c r="G2155" s="6"/>
      <c r="H2155" s="11">
        <v>2876.0</v>
      </c>
      <c r="I2155" s="11">
        <v>67287.79</v>
      </c>
      <c r="K2155" s="12" t="str">
        <f>RIGHT(E2155,6)</f>
        <v>SC3567</v>
      </c>
      <c r="M2155" s="2" t="s">
        <v>24</v>
      </c>
      <c r="N2155" s="2" t="s">
        <v>60</v>
      </c>
      <c r="O2155" s="2">
        <v>1.10751038E8</v>
      </c>
      <c r="P2155" s="15" t="str">
        <f>IFERROR(__xludf.DUMMYFUNCTION("CONCATENATE(B2155,"", "", to_text(D2155),"", "", E2155,"", "", H2155)"),"TSV-2601-0039, 3-Jan-2026, UPI/CR/600371606443/Miss RIY/MAHB/ragour2/SC3567, 2876")</f>
        <v>TSV-2601-0039, 3-Jan-2026, UPI/CR/600371606443/Miss RIY/MAHB/ragour2/SC3567, 2876</v>
      </c>
      <c r="Q2155" s="8">
        <v>2026.0</v>
      </c>
      <c r="R2155" s="8" t="s">
        <v>6777</v>
      </c>
    </row>
    <row r="2156">
      <c r="A2156" s="4" t="s">
        <v>18</v>
      </c>
      <c r="B2156" s="2" t="s">
        <v>6875</v>
      </c>
      <c r="C2156" s="5">
        <v>46025.0</v>
      </c>
      <c r="D2156" s="5">
        <v>46025.0</v>
      </c>
      <c r="E2156" s="4" t="s">
        <v>6876</v>
      </c>
      <c r="F2156" s="9"/>
      <c r="G2156" s="11">
        <v>1500.0</v>
      </c>
      <c r="H2156" s="27"/>
      <c r="I2156" s="11">
        <v>65787.79</v>
      </c>
      <c r="J2156" s="2" t="s">
        <v>6877</v>
      </c>
      <c r="K2156" s="2" t="s">
        <v>113</v>
      </c>
      <c r="M2156" s="2" t="s">
        <v>114</v>
      </c>
      <c r="N2156" s="2" t="s">
        <v>385</v>
      </c>
      <c r="O2156" s="2">
        <v>1.10751038E8</v>
      </c>
      <c r="Q2156" s="8">
        <v>2026.0</v>
      </c>
      <c r="R2156" s="8" t="s">
        <v>6777</v>
      </c>
    </row>
    <row r="2157">
      <c r="A2157" s="4" t="s">
        <v>18</v>
      </c>
      <c r="B2157" s="2" t="s">
        <v>6878</v>
      </c>
      <c r="C2157" s="5">
        <v>46026.0</v>
      </c>
      <c r="D2157" s="5">
        <v>46026.0</v>
      </c>
      <c r="E2157" s="4" t="s">
        <v>6879</v>
      </c>
      <c r="F2157" s="9"/>
      <c r="G2157" s="6"/>
      <c r="H2157" s="7">
        <v>608.0</v>
      </c>
      <c r="I2157" s="11">
        <v>66395.79</v>
      </c>
      <c r="K2157" s="12" t="str">
        <f t="shared" ref="K2157:K2164" si="278">RIGHT(E2157,6)</f>
        <v>KN3817</v>
      </c>
      <c r="M2157" s="2" t="s">
        <v>24</v>
      </c>
      <c r="N2157" s="2" t="s">
        <v>60</v>
      </c>
      <c r="O2157" s="2">
        <v>1.10751038E8</v>
      </c>
      <c r="P2157" s="15" t="str">
        <f>IFERROR(__xludf.DUMMYFUNCTION("CONCATENATE(B2157,"", "", to_text(D2157),"", "", E2157,"", "", H2157)"),"TSV-2601-0041, 4-Jan-2026, UPI/CR/439824333609/RAJA KUM/IBKL/6289399/KN3817, 608")</f>
        <v>TSV-2601-0041, 4-Jan-2026, UPI/CR/439824333609/RAJA KUM/IBKL/6289399/KN3817, 608</v>
      </c>
      <c r="Q2157" s="8">
        <v>2026.0</v>
      </c>
      <c r="R2157" s="8" t="s">
        <v>6777</v>
      </c>
    </row>
    <row r="2158">
      <c r="A2158" s="4" t="s">
        <v>18</v>
      </c>
      <c r="B2158" s="2" t="s">
        <v>6880</v>
      </c>
      <c r="C2158" s="5">
        <v>46026.0</v>
      </c>
      <c r="D2158" s="5">
        <v>46026.0</v>
      </c>
      <c r="E2158" s="4" t="s">
        <v>6881</v>
      </c>
      <c r="F2158" s="9"/>
      <c r="G2158" s="6"/>
      <c r="H2158" s="11">
        <v>1500.0</v>
      </c>
      <c r="I2158" s="11">
        <v>67895.79</v>
      </c>
      <c r="K2158" s="12" t="str">
        <f t="shared" si="278"/>
        <v>KN3817</v>
      </c>
      <c r="M2158" s="2" t="s">
        <v>24</v>
      </c>
      <c r="N2158" s="2" t="s">
        <v>60</v>
      </c>
      <c r="O2158" s="2">
        <v>1.10751038E8</v>
      </c>
      <c r="P2158" s="15" t="str">
        <f>IFERROR(__xludf.DUMMYFUNCTION("CONCATENATE(B2158,"", "", to_text(D2158),"", "", E2158,"", "", H2158)"),"TSV-2601-0042, 4-Jan-2026, UPI/CR/384008066183/LOKESH S/HDFC/8383008/KN3817, 1500")</f>
        <v>TSV-2601-0042, 4-Jan-2026, UPI/CR/384008066183/LOKESH S/HDFC/8383008/KN3817, 1500</v>
      </c>
      <c r="Q2158" s="8">
        <v>2026.0</v>
      </c>
      <c r="R2158" s="8" t="s">
        <v>6777</v>
      </c>
    </row>
    <row r="2159">
      <c r="A2159" s="4" t="s">
        <v>18</v>
      </c>
      <c r="B2159" s="2" t="s">
        <v>6882</v>
      </c>
      <c r="C2159" s="5">
        <v>46026.0</v>
      </c>
      <c r="D2159" s="5">
        <v>46026.0</v>
      </c>
      <c r="E2159" s="4" t="s">
        <v>6883</v>
      </c>
      <c r="F2159" s="9"/>
      <c r="G2159" s="6"/>
      <c r="H2159" s="7">
        <v>240.0</v>
      </c>
      <c r="I2159" s="11">
        <v>68135.79</v>
      </c>
      <c r="K2159" s="12" t="str">
        <f t="shared" si="278"/>
        <v>KN3817</v>
      </c>
      <c r="M2159" s="2" t="s">
        <v>24</v>
      </c>
      <c r="N2159" s="2" t="s">
        <v>60</v>
      </c>
      <c r="O2159" s="2">
        <v>1.10751038E8</v>
      </c>
      <c r="P2159" s="15" t="str">
        <f>IFERROR(__xludf.DUMMYFUNCTION("CONCATENATE(B2159,"", "", to_text(D2159),"", "", E2159,"", "", H2159)"),"TSV-2601-0043, 4-Jan-2026, UPI/CR/600401972242/GAUTAM N/UBIN/9810046/KN3817, 240")</f>
        <v>TSV-2601-0043, 4-Jan-2026, UPI/CR/600401972242/GAUTAM N/UBIN/9810046/KN3817, 240</v>
      </c>
      <c r="Q2159" s="8">
        <v>2026.0</v>
      </c>
      <c r="R2159" s="8" t="s">
        <v>6777</v>
      </c>
    </row>
    <row r="2160">
      <c r="A2160" s="4" t="s">
        <v>18</v>
      </c>
      <c r="B2160" s="2" t="s">
        <v>6884</v>
      </c>
      <c r="C2160" s="5">
        <v>46026.0</v>
      </c>
      <c r="D2160" s="5">
        <v>46026.0</v>
      </c>
      <c r="E2160" s="4" t="s">
        <v>6885</v>
      </c>
      <c r="F2160" s="9"/>
      <c r="G2160" s="6"/>
      <c r="H2160" s="11">
        <v>1648.0</v>
      </c>
      <c r="I2160" s="11">
        <v>69783.79</v>
      </c>
      <c r="K2160" s="12" t="str">
        <f t="shared" si="278"/>
        <v>SL1610</v>
      </c>
      <c r="L2160" s="2" t="s">
        <v>6886</v>
      </c>
      <c r="M2160" s="2" t="s">
        <v>24</v>
      </c>
      <c r="N2160" s="2" t="s">
        <v>60</v>
      </c>
      <c r="O2160" s="2">
        <v>1.10751038E8</v>
      </c>
      <c r="P2160" s="15"/>
      <c r="Q2160" s="8">
        <v>2026.0</v>
      </c>
      <c r="R2160" s="8" t="s">
        <v>6777</v>
      </c>
    </row>
    <row r="2161">
      <c r="A2161" s="4" t="s">
        <v>18</v>
      </c>
      <c r="B2161" s="2" t="s">
        <v>6887</v>
      </c>
      <c r="C2161" s="5">
        <v>46026.0</v>
      </c>
      <c r="D2161" s="5">
        <v>46026.0</v>
      </c>
      <c r="E2161" s="4" t="s">
        <v>6888</v>
      </c>
      <c r="F2161" s="9"/>
      <c r="G2161" s="6"/>
      <c r="H2161" s="11">
        <v>2104.0</v>
      </c>
      <c r="I2161" s="11">
        <v>71887.79</v>
      </c>
      <c r="K2161" s="12" t="str">
        <f t="shared" si="278"/>
        <v>UN3668</v>
      </c>
      <c r="L2161" s="21" t="s">
        <v>6889</v>
      </c>
      <c r="M2161" s="2" t="s">
        <v>24</v>
      </c>
      <c r="N2161" s="2" t="s">
        <v>60</v>
      </c>
      <c r="O2161" s="2">
        <v>1.10751038E8</v>
      </c>
      <c r="P2161" s="15"/>
      <c r="Q2161" s="8">
        <v>2026.0</v>
      </c>
      <c r="R2161" s="8" t="s">
        <v>6777</v>
      </c>
    </row>
    <row r="2162">
      <c r="A2162" s="4" t="s">
        <v>18</v>
      </c>
      <c r="B2162" s="2" t="s">
        <v>6890</v>
      </c>
      <c r="C2162" s="5">
        <v>46026.0</v>
      </c>
      <c r="D2162" s="5">
        <v>46026.0</v>
      </c>
      <c r="E2162" s="4" t="s">
        <v>6891</v>
      </c>
      <c r="F2162" s="9"/>
      <c r="G2162" s="6"/>
      <c r="H2162" s="7">
        <v>424.0</v>
      </c>
      <c r="I2162" s="11">
        <v>72311.79</v>
      </c>
      <c r="K2162" s="12" t="str">
        <f t="shared" si="278"/>
        <v>UN3668</v>
      </c>
      <c r="L2162" s="21" t="s">
        <v>6892</v>
      </c>
      <c r="M2162" s="2" t="s">
        <v>24</v>
      </c>
      <c r="N2162" s="2" t="s">
        <v>60</v>
      </c>
      <c r="O2162" s="2">
        <v>1.10751038E8</v>
      </c>
      <c r="P2162" s="15"/>
      <c r="Q2162" s="8">
        <v>2026.0</v>
      </c>
      <c r="R2162" s="8" t="s">
        <v>6777</v>
      </c>
    </row>
    <row r="2163">
      <c r="A2163" s="4" t="s">
        <v>18</v>
      </c>
      <c r="B2163" s="2" t="s">
        <v>6893</v>
      </c>
      <c r="C2163" s="5">
        <v>46026.0</v>
      </c>
      <c r="D2163" s="5">
        <v>46026.0</v>
      </c>
      <c r="E2163" s="4" t="s">
        <v>6894</v>
      </c>
      <c r="F2163" s="9"/>
      <c r="G2163" s="6"/>
      <c r="H2163" s="7">
        <v>878.0</v>
      </c>
      <c r="I2163" s="11">
        <v>73189.79</v>
      </c>
      <c r="K2163" s="12" t="str">
        <f t="shared" si="278"/>
        <v>SL1610</v>
      </c>
      <c r="L2163" s="2" t="s">
        <v>6895</v>
      </c>
      <c r="M2163" s="2" t="s">
        <v>24</v>
      </c>
      <c r="N2163" s="2" t="s">
        <v>60</v>
      </c>
      <c r="O2163" s="2">
        <v>1.10751038E8</v>
      </c>
      <c r="P2163" s="15"/>
      <c r="Q2163" s="8">
        <v>2026.0</v>
      </c>
      <c r="R2163" s="8" t="s">
        <v>6777</v>
      </c>
    </row>
    <row r="2164">
      <c r="A2164" s="4" t="s">
        <v>18</v>
      </c>
      <c r="B2164" s="2" t="s">
        <v>6896</v>
      </c>
      <c r="C2164" s="5">
        <v>46026.0</v>
      </c>
      <c r="D2164" s="5">
        <v>46026.0</v>
      </c>
      <c r="E2164" s="4" t="s">
        <v>6897</v>
      </c>
      <c r="F2164" s="9"/>
      <c r="G2164" s="6"/>
      <c r="H2164" s="7">
        <v>412.0</v>
      </c>
      <c r="I2164" s="11">
        <v>73601.79</v>
      </c>
      <c r="K2164" s="12" t="str">
        <f t="shared" si="278"/>
        <v>SL1610</v>
      </c>
      <c r="L2164" s="2" t="s">
        <v>6898</v>
      </c>
      <c r="M2164" s="2" t="s">
        <v>24</v>
      </c>
      <c r="N2164" s="2" t="s">
        <v>60</v>
      </c>
      <c r="O2164" s="2">
        <v>1.10751038E8</v>
      </c>
      <c r="P2164" s="15"/>
      <c r="Q2164" s="8">
        <v>2026.0</v>
      </c>
      <c r="R2164" s="8" t="s">
        <v>6777</v>
      </c>
    </row>
    <row r="2165">
      <c r="A2165" s="4" t="s">
        <v>18</v>
      </c>
      <c r="B2165" s="2" t="s">
        <v>6899</v>
      </c>
      <c r="C2165" s="5">
        <v>46026.0</v>
      </c>
      <c r="D2165" s="5">
        <v>46026.0</v>
      </c>
      <c r="E2165" s="4" t="s">
        <v>6900</v>
      </c>
      <c r="F2165" s="9"/>
      <c r="G2165" s="6"/>
      <c r="H2165" s="11">
        <v>1499.0</v>
      </c>
      <c r="I2165" s="11">
        <v>75100.79</v>
      </c>
      <c r="K2165" s="2" t="s">
        <v>113</v>
      </c>
      <c r="L2165" s="2" t="s">
        <v>6901</v>
      </c>
      <c r="M2165" s="2" t="s">
        <v>24</v>
      </c>
      <c r="N2165" s="2" t="s">
        <v>60</v>
      </c>
      <c r="O2165" s="2">
        <v>1.10751038E8</v>
      </c>
      <c r="Q2165" s="8">
        <v>2026.0</v>
      </c>
      <c r="R2165" s="8" t="s">
        <v>6777</v>
      </c>
    </row>
    <row r="2166">
      <c r="A2166" s="4" t="s">
        <v>18</v>
      </c>
      <c r="B2166" s="2" t="s">
        <v>6902</v>
      </c>
      <c r="C2166" s="5">
        <v>46026.0</v>
      </c>
      <c r="D2166" s="5">
        <v>46026.0</v>
      </c>
      <c r="E2166" s="4" t="s">
        <v>6903</v>
      </c>
      <c r="F2166" s="9"/>
      <c r="G2166" s="6"/>
      <c r="H2166" s="7">
        <v>921.0</v>
      </c>
      <c r="I2166" s="11">
        <v>76021.79</v>
      </c>
      <c r="K2166" s="12" t="str">
        <f t="shared" ref="K2166:K2169" si="279">RIGHT(E2166,6)</f>
        <v>KN3817</v>
      </c>
      <c r="M2166" s="2" t="s">
        <v>24</v>
      </c>
      <c r="N2166" s="2" t="s">
        <v>60</v>
      </c>
      <c r="O2166" s="2">
        <v>1.10751038E8</v>
      </c>
      <c r="P2166" s="15" t="str">
        <f>IFERROR(__xludf.DUMMYFUNCTION("CONCATENATE(B2166,"", "", to_text(D2166),"", "", E2166,"", "", H2166)"),"TSV-2601-0050, 4-Jan-2026, UPI/CR/696794519956/YOGESH K/BARB/slowpok/KN3817, 921")</f>
        <v>TSV-2601-0050, 4-Jan-2026, UPI/CR/696794519956/YOGESH K/BARB/slowpok/KN3817, 921</v>
      </c>
      <c r="Q2166" s="8">
        <v>2026.0</v>
      </c>
      <c r="R2166" s="8" t="s">
        <v>6777</v>
      </c>
    </row>
    <row r="2167">
      <c r="A2167" s="4" t="s">
        <v>18</v>
      </c>
      <c r="B2167" s="2" t="s">
        <v>6904</v>
      </c>
      <c r="C2167" s="5">
        <v>46026.0</v>
      </c>
      <c r="D2167" s="5">
        <v>46026.0</v>
      </c>
      <c r="E2167" s="4" t="s">
        <v>6905</v>
      </c>
      <c r="F2167" s="9"/>
      <c r="G2167" s="6"/>
      <c r="H2167" s="7">
        <v>223.72</v>
      </c>
      <c r="I2167" s="11">
        <v>76245.51</v>
      </c>
      <c r="K2167" s="12" t="str">
        <f t="shared" si="279"/>
        <v>SL1610</v>
      </c>
      <c r="L2167" s="2" t="s">
        <v>6906</v>
      </c>
      <c r="M2167" s="2" t="s">
        <v>24</v>
      </c>
      <c r="N2167" s="2" t="s">
        <v>60</v>
      </c>
      <c r="O2167" s="2">
        <v>1.10751038E8</v>
      </c>
      <c r="P2167" s="15"/>
      <c r="Q2167" s="8">
        <v>2026.0</v>
      </c>
      <c r="R2167" s="8" t="s">
        <v>6777</v>
      </c>
    </row>
    <row r="2168">
      <c r="A2168" s="4" t="s">
        <v>18</v>
      </c>
      <c r="B2168" s="2" t="s">
        <v>6907</v>
      </c>
      <c r="C2168" s="5">
        <v>46026.0</v>
      </c>
      <c r="D2168" s="5">
        <v>46026.0</v>
      </c>
      <c r="E2168" s="4" t="s">
        <v>6908</v>
      </c>
      <c r="F2168" s="9"/>
      <c r="G2168" s="6"/>
      <c r="H2168" s="7">
        <v>413.0</v>
      </c>
      <c r="I2168" s="11">
        <v>76658.51</v>
      </c>
      <c r="K2168" s="12" t="str">
        <f t="shared" si="279"/>
        <v>UN3668</v>
      </c>
      <c r="L2168" s="21" t="s">
        <v>6909</v>
      </c>
      <c r="M2168" s="2" t="s">
        <v>24</v>
      </c>
      <c r="N2168" s="2" t="s">
        <v>60</v>
      </c>
      <c r="O2168" s="2">
        <v>1.10751038E8</v>
      </c>
      <c r="P2168" s="15"/>
      <c r="Q2168" s="8">
        <v>2026.0</v>
      </c>
      <c r="R2168" s="8" t="s">
        <v>6777</v>
      </c>
    </row>
    <row r="2169">
      <c r="A2169" s="4" t="s">
        <v>18</v>
      </c>
      <c r="B2169" s="2" t="s">
        <v>6910</v>
      </c>
      <c r="C2169" s="5">
        <v>46026.0</v>
      </c>
      <c r="D2169" s="5">
        <v>46026.0</v>
      </c>
      <c r="E2169" s="4" t="s">
        <v>6911</v>
      </c>
      <c r="F2169" s="9"/>
      <c r="G2169" s="6"/>
      <c r="H2169" s="7">
        <v>353.0</v>
      </c>
      <c r="I2169" s="11">
        <v>77011.51</v>
      </c>
      <c r="K2169" s="12" t="str">
        <f t="shared" si="279"/>
        <v>SC3567</v>
      </c>
      <c r="M2169" s="2" t="s">
        <v>24</v>
      </c>
      <c r="N2169" s="2" t="s">
        <v>60</v>
      </c>
      <c r="O2169" s="2">
        <v>1.10751038E8</v>
      </c>
      <c r="P2169" s="15" t="str">
        <f>IFERROR(__xludf.DUMMYFUNCTION("CONCATENATE(B2169,"", "", to_text(D2169),"", "", E2169,"", "", H2169)"),"TSV-2601-0053, 4-Jan-2026, UPI/CR/448495234917/SAURABH /SBIN/9933677/SC3567, 353")</f>
        <v>TSV-2601-0053, 4-Jan-2026, UPI/CR/448495234917/SAURABH /SBIN/9933677/SC3567, 353</v>
      </c>
      <c r="Q2169" s="8">
        <v>2026.0</v>
      </c>
      <c r="R2169" s="8" t="s">
        <v>6777</v>
      </c>
    </row>
    <row r="2170">
      <c r="A2170" s="4" t="s">
        <v>18</v>
      </c>
      <c r="B2170" s="2" t="s">
        <v>6912</v>
      </c>
      <c r="C2170" s="5">
        <v>46026.0</v>
      </c>
      <c r="D2170" s="5">
        <v>46026.0</v>
      </c>
      <c r="E2170" s="4" t="s">
        <v>6913</v>
      </c>
      <c r="F2170" s="9"/>
      <c r="G2170" s="11">
        <v>1000.0</v>
      </c>
      <c r="H2170" s="27"/>
      <c r="I2170" s="11">
        <v>76011.51</v>
      </c>
      <c r="J2170" s="2" t="s">
        <v>3060</v>
      </c>
      <c r="K2170" s="2" t="s">
        <v>123</v>
      </c>
      <c r="M2170" s="2" t="s">
        <v>114</v>
      </c>
      <c r="N2170" s="2" t="s">
        <v>1835</v>
      </c>
      <c r="O2170" s="2">
        <v>1.10751038E8</v>
      </c>
      <c r="Q2170" s="8">
        <v>2026.0</v>
      </c>
      <c r="R2170" s="8" t="s">
        <v>6777</v>
      </c>
    </row>
    <row r="2171">
      <c r="A2171" s="4" t="s">
        <v>18</v>
      </c>
      <c r="B2171" s="2" t="s">
        <v>6914</v>
      </c>
      <c r="C2171" s="5">
        <v>46027.0</v>
      </c>
      <c r="D2171" s="5">
        <v>46027.0</v>
      </c>
      <c r="E2171" s="4" t="s">
        <v>6915</v>
      </c>
      <c r="F2171" s="9"/>
      <c r="G2171" s="6"/>
      <c r="H2171" s="11">
        <v>2000.0</v>
      </c>
      <c r="I2171" s="11">
        <v>78011.51</v>
      </c>
      <c r="K2171" s="12" t="str">
        <f t="shared" ref="K2171:K2175" si="280">RIGHT(E2171,6)</f>
        <v>SL1610</v>
      </c>
      <c r="L2171" s="2" t="s">
        <v>6916</v>
      </c>
      <c r="M2171" s="2" t="s">
        <v>24</v>
      </c>
      <c r="N2171" s="2" t="s">
        <v>60</v>
      </c>
      <c r="O2171" s="2">
        <v>1.10751038E8</v>
      </c>
      <c r="P2171" s="15"/>
      <c r="Q2171" s="8">
        <v>2026.0</v>
      </c>
      <c r="R2171" s="8" t="s">
        <v>6777</v>
      </c>
    </row>
    <row r="2172">
      <c r="A2172" s="4" t="s">
        <v>18</v>
      </c>
      <c r="B2172" s="2" t="s">
        <v>6917</v>
      </c>
      <c r="C2172" s="5">
        <v>46027.0</v>
      </c>
      <c r="D2172" s="5">
        <v>46027.0</v>
      </c>
      <c r="E2172" s="4" t="s">
        <v>6918</v>
      </c>
      <c r="F2172" s="9"/>
      <c r="G2172" s="6"/>
      <c r="H2172" s="7">
        <v>146.0</v>
      </c>
      <c r="I2172" s="11">
        <v>78157.51</v>
      </c>
      <c r="K2172" s="12" t="str">
        <f t="shared" si="280"/>
        <v>SL1610</v>
      </c>
      <c r="L2172" s="2" t="s">
        <v>6916</v>
      </c>
      <c r="M2172" s="2" t="s">
        <v>24</v>
      </c>
      <c r="N2172" s="2" t="s">
        <v>60</v>
      </c>
      <c r="O2172" s="2">
        <v>1.10751038E8</v>
      </c>
      <c r="P2172" s="15"/>
      <c r="Q2172" s="8">
        <v>2026.0</v>
      </c>
      <c r="R2172" s="8" t="s">
        <v>6777</v>
      </c>
    </row>
    <row r="2173">
      <c r="A2173" s="4" t="s">
        <v>18</v>
      </c>
      <c r="B2173" s="2" t="s">
        <v>6919</v>
      </c>
      <c r="C2173" s="5">
        <v>46027.0</v>
      </c>
      <c r="D2173" s="5">
        <v>46027.0</v>
      </c>
      <c r="E2173" s="4" t="s">
        <v>6920</v>
      </c>
      <c r="F2173" s="9"/>
      <c r="G2173" s="6"/>
      <c r="H2173" s="7">
        <v>350.0</v>
      </c>
      <c r="I2173" s="11">
        <v>78507.51</v>
      </c>
      <c r="K2173" s="12" t="str">
        <f t="shared" si="280"/>
        <v>UN3668</v>
      </c>
      <c r="L2173" s="21" t="s">
        <v>6921</v>
      </c>
      <c r="M2173" s="2" t="s">
        <v>24</v>
      </c>
      <c r="N2173" s="2" t="s">
        <v>60</v>
      </c>
      <c r="O2173" s="2">
        <v>1.10751038E8</v>
      </c>
      <c r="P2173" s="15"/>
      <c r="Q2173" s="8">
        <v>2026.0</v>
      </c>
      <c r="R2173" s="8" t="s">
        <v>6777</v>
      </c>
    </row>
    <row r="2174">
      <c r="A2174" s="4" t="s">
        <v>18</v>
      </c>
      <c r="B2174" s="2" t="s">
        <v>6922</v>
      </c>
      <c r="C2174" s="5">
        <v>46027.0</v>
      </c>
      <c r="D2174" s="5">
        <v>46027.0</v>
      </c>
      <c r="E2174" s="4" t="s">
        <v>6923</v>
      </c>
      <c r="F2174" s="9"/>
      <c r="G2174" s="6"/>
      <c r="H2174" s="7">
        <v>270.0</v>
      </c>
      <c r="I2174" s="11">
        <v>78777.51</v>
      </c>
      <c r="K2174" s="12" t="str">
        <f t="shared" si="280"/>
        <v>SL1610</v>
      </c>
      <c r="L2174" s="2" t="s">
        <v>6924</v>
      </c>
      <c r="M2174" s="2" t="s">
        <v>24</v>
      </c>
      <c r="N2174" s="2" t="s">
        <v>60</v>
      </c>
      <c r="O2174" s="2">
        <v>1.10751038E8</v>
      </c>
      <c r="P2174" s="15"/>
      <c r="Q2174" s="8">
        <v>2026.0</v>
      </c>
      <c r="R2174" s="8" t="s">
        <v>6777</v>
      </c>
    </row>
    <row r="2175">
      <c r="A2175" s="4" t="s">
        <v>18</v>
      </c>
      <c r="B2175" s="2" t="s">
        <v>6925</v>
      </c>
      <c r="C2175" s="5">
        <v>46027.0</v>
      </c>
      <c r="D2175" s="5">
        <v>46027.0</v>
      </c>
      <c r="E2175" s="4" t="s">
        <v>6926</v>
      </c>
      <c r="F2175" s="9"/>
      <c r="G2175" s="6"/>
      <c r="H2175" s="11">
        <v>1440.0</v>
      </c>
      <c r="I2175" s="11">
        <v>80217.51</v>
      </c>
      <c r="K2175" s="12" t="str">
        <f t="shared" si="280"/>
        <v>UN3668</v>
      </c>
      <c r="L2175" s="21" t="s">
        <v>6927</v>
      </c>
      <c r="M2175" s="2" t="s">
        <v>24</v>
      </c>
      <c r="N2175" s="2" t="s">
        <v>60</v>
      </c>
      <c r="O2175" s="2">
        <v>1.10751038E8</v>
      </c>
      <c r="P2175" s="15"/>
      <c r="Q2175" s="8">
        <v>2026.0</v>
      </c>
      <c r="R2175" s="8" t="s">
        <v>6777</v>
      </c>
    </row>
    <row r="2176">
      <c r="A2176" s="4" t="s">
        <v>18</v>
      </c>
      <c r="B2176" s="2" t="s">
        <v>6928</v>
      </c>
      <c r="C2176" s="5">
        <v>46027.0</v>
      </c>
      <c r="D2176" s="5">
        <v>46027.0</v>
      </c>
      <c r="E2176" s="4" t="s">
        <v>6929</v>
      </c>
      <c r="F2176" s="9"/>
      <c r="G2176" s="11">
        <v>4000.0</v>
      </c>
      <c r="H2176" s="27"/>
      <c r="I2176" s="11">
        <v>76217.51</v>
      </c>
      <c r="K2176" s="2" t="s">
        <v>23</v>
      </c>
      <c r="M2176" s="2" t="s">
        <v>114</v>
      </c>
      <c r="N2176" s="2" t="s">
        <v>1835</v>
      </c>
      <c r="O2176" s="2">
        <v>1.10751038E8</v>
      </c>
      <c r="Q2176" s="8">
        <v>2026.0</v>
      </c>
      <c r="R2176" s="8" t="s">
        <v>6777</v>
      </c>
    </row>
    <row r="2177">
      <c r="A2177" s="4" t="s">
        <v>18</v>
      </c>
      <c r="B2177" s="2" t="s">
        <v>6930</v>
      </c>
      <c r="C2177" s="5">
        <v>46027.0</v>
      </c>
      <c r="D2177" s="5">
        <v>46027.0</v>
      </c>
      <c r="E2177" s="4" t="s">
        <v>6931</v>
      </c>
      <c r="F2177" s="9"/>
      <c r="G2177" s="6"/>
      <c r="H2177" s="7">
        <v>200.0</v>
      </c>
      <c r="I2177" s="11">
        <v>76417.51</v>
      </c>
      <c r="K2177" s="12" t="str">
        <f t="shared" ref="K2177:K2182" si="281">RIGHT(E2177,6)</f>
        <v>KN3817</v>
      </c>
      <c r="M2177" s="2" t="s">
        <v>24</v>
      </c>
      <c r="N2177" s="2" t="s">
        <v>60</v>
      </c>
      <c r="O2177" s="2">
        <v>1.10751038E8</v>
      </c>
      <c r="P2177" s="15" t="str">
        <f>IFERROR(__xludf.DUMMYFUNCTION("CONCATENATE(B2177,"", "", to_text(D2177),"", "", E2177,"", "", H2177)"),"TSV-2601-0061, 5-Jan-2026, UPI/CR/696844548534/NAMITA R/CNRB/9312180/KN3817, 200")</f>
        <v>TSV-2601-0061, 5-Jan-2026, UPI/CR/696844548534/NAMITA R/CNRB/9312180/KN3817, 200</v>
      </c>
      <c r="Q2177" s="8">
        <v>2026.0</v>
      </c>
      <c r="R2177" s="8" t="s">
        <v>6777</v>
      </c>
    </row>
    <row r="2178">
      <c r="A2178" s="4" t="s">
        <v>18</v>
      </c>
      <c r="B2178" s="2" t="s">
        <v>6932</v>
      </c>
      <c r="C2178" s="5">
        <v>46027.0</v>
      </c>
      <c r="D2178" s="5">
        <v>46027.0</v>
      </c>
      <c r="E2178" s="4" t="s">
        <v>6933</v>
      </c>
      <c r="F2178" s="9"/>
      <c r="G2178" s="6"/>
      <c r="H2178" s="7">
        <v>840.0</v>
      </c>
      <c r="I2178" s="11">
        <v>77257.51</v>
      </c>
      <c r="K2178" s="12" t="str">
        <f t="shared" si="281"/>
        <v>KN3817</v>
      </c>
      <c r="M2178" s="2" t="s">
        <v>24</v>
      </c>
      <c r="N2178" s="2" t="s">
        <v>60</v>
      </c>
      <c r="O2178" s="2">
        <v>1.10751038E8</v>
      </c>
      <c r="P2178" s="15" t="str">
        <f>IFERROR(__xludf.DUMMYFUNCTION("CONCATENATE(B2178,"", "", to_text(D2178),"", "", E2178,"", "", H2178)"),"TSV-2601-0062, 5-Jan-2026, UPI/CR/116720748032/PARNIKA /HDFC/rastogi/KN3817, 840")</f>
        <v>TSV-2601-0062, 5-Jan-2026, UPI/CR/116720748032/PARNIKA /HDFC/rastogi/KN3817, 840</v>
      </c>
      <c r="Q2178" s="8">
        <v>2026.0</v>
      </c>
      <c r="R2178" s="8" t="s">
        <v>6777</v>
      </c>
    </row>
    <row r="2179">
      <c r="A2179" s="4" t="s">
        <v>18</v>
      </c>
      <c r="B2179" s="2" t="s">
        <v>6934</v>
      </c>
      <c r="C2179" s="5">
        <v>46027.0</v>
      </c>
      <c r="D2179" s="5">
        <v>46027.0</v>
      </c>
      <c r="E2179" s="4" t="s">
        <v>6935</v>
      </c>
      <c r="F2179" s="9"/>
      <c r="G2179" s="6"/>
      <c r="H2179" s="7">
        <v>400.0</v>
      </c>
      <c r="I2179" s="11">
        <v>77657.51</v>
      </c>
      <c r="K2179" s="12" t="str">
        <f t="shared" si="281"/>
        <v>UN3668</v>
      </c>
      <c r="L2179" s="21" t="s">
        <v>6936</v>
      </c>
      <c r="M2179" s="2" t="s">
        <v>24</v>
      </c>
      <c r="N2179" s="2" t="s">
        <v>60</v>
      </c>
      <c r="O2179" s="2">
        <v>1.10751038E8</v>
      </c>
      <c r="P2179" s="15"/>
      <c r="Q2179" s="8">
        <v>2026.0</v>
      </c>
      <c r="R2179" s="8" t="s">
        <v>6777</v>
      </c>
    </row>
    <row r="2180">
      <c r="A2180" s="4" t="s">
        <v>18</v>
      </c>
      <c r="B2180" s="2" t="s">
        <v>6937</v>
      </c>
      <c r="C2180" s="5">
        <v>46027.0</v>
      </c>
      <c r="D2180" s="5">
        <v>46027.0</v>
      </c>
      <c r="E2180" s="4" t="s">
        <v>6938</v>
      </c>
      <c r="F2180" s="9"/>
      <c r="G2180" s="6"/>
      <c r="H2180" s="7">
        <v>299.0</v>
      </c>
      <c r="I2180" s="11">
        <v>77956.51</v>
      </c>
      <c r="K2180" s="12" t="str">
        <f t="shared" si="281"/>
        <v>SC3567</v>
      </c>
      <c r="M2180" s="2" t="s">
        <v>24</v>
      </c>
      <c r="N2180" s="2" t="s">
        <v>60</v>
      </c>
      <c r="O2180" s="2">
        <v>1.10751038E8</v>
      </c>
      <c r="P2180" s="15" t="str">
        <f>IFERROR(__xludf.DUMMYFUNCTION("CONCATENATE(B2180,"", "", to_text(D2180),"", "", E2180,"", "", H2180)"),"TSV-2601-0064, 5-Jan-2026, UPI/CR/600542555462/PAWAN KU/UBIN/pawanvi/SC3567, 299")</f>
        <v>TSV-2601-0064, 5-Jan-2026, UPI/CR/600542555462/PAWAN KU/UBIN/pawanvi/SC3567, 299</v>
      </c>
      <c r="Q2180" s="8">
        <v>2026.0</v>
      </c>
      <c r="R2180" s="8" t="s">
        <v>6777</v>
      </c>
    </row>
    <row r="2181">
      <c r="A2181" s="4" t="s">
        <v>18</v>
      </c>
      <c r="B2181" s="2" t="s">
        <v>6939</v>
      </c>
      <c r="C2181" s="5">
        <v>46027.0</v>
      </c>
      <c r="D2181" s="5">
        <v>46027.0</v>
      </c>
      <c r="E2181" s="4" t="s">
        <v>6940</v>
      </c>
      <c r="F2181" s="9"/>
      <c r="G2181" s="6"/>
      <c r="H2181" s="7">
        <v>440.0</v>
      </c>
      <c r="I2181" s="11">
        <v>78396.51</v>
      </c>
      <c r="K2181" s="12" t="str">
        <f t="shared" si="281"/>
        <v>UN3668</v>
      </c>
      <c r="L2181" s="21" t="s">
        <v>6941</v>
      </c>
      <c r="M2181" s="2" t="s">
        <v>24</v>
      </c>
      <c r="N2181" s="2" t="s">
        <v>60</v>
      </c>
      <c r="O2181" s="2">
        <v>1.10751038E8</v>
      </c>
      <c r="P2181" s="15"/>
      <c r="Q2181" s="8">
        <v>2026.0</v>
      </c>
      <c r="R2181" s="8" t="s">
        <v>6777</v>
      </c>
    </row>
    <row r="2182">
      <c r="A2182" s="4" t="s">
        <v>18</v>
      </c>
      <c r="B2182" s="2" t="s">
        <v>6942</v>
      </c>
      <c r="C2182" s="5">
        <v>46027.0</v>
      </c>
      <c r="D2182" s="5">
        <v>46027.0</v>
      </c>
      <c r="E2182" s="4" t="s">
        <v>6943</v>
      </c>
      <c r="F2182" s="9"/>
      <c r="G2182" s="6"/>
      <c r="H2182" s="7">
        <v>600.0</v>
      </c>
      <c r="I2182" s="11">
        <v>78996.51</v>
      </c>
      <c r="K2182" s="12" t="str">
        <f t="shared" si="281"/>
        <v>KN3817</v>
      </c>
      <c r="M2182" s="2" t="s">
        <v>24</v>
      </c>
      <c r="N2182" s="2" t="s">
        <v>60</v>
      </c>
      <c r="O2182" s="2">
        <v>1.10751038E8</v>
      </c>
      <c r="P2182" s="15" t="str">
        <f>IFERROR(__xludf.DUMMYFUNCTION("CONCATENATE(B2182,"", "", to_text(D2182),"", "", E2182,"", "", H2182)"),"TSV-2601-0066, 5-Jan-2026, UPI/CR/600571683229/GITANJAL/PUNB/9818869/KN3817, 600")</f>
        <v>TSV-2601-0066, 5-Jan-2026, UPI/CR/600571683229/GITANJAL/PUNB/9818869/KN3817, 600</v>
      </c>
      <c r="Q2182" s="8">
        <v>2026.0</v>
      </c>
      <c r="R2182" s="8" t="s">
        <v>6777</v>
      </c>
    </row>
    <row r="2183">
      <c r="A2183" s="4" t="s">
        <v>18</v>
      </c>
      <c r="B2183" s="2" t="s">
        <v>6944</v>
      </c>
      <c r="C2183" s="5">
        <v>46028.0</v>
      </c>
      <c r="D2183" s="5">
        <v>46028.0</v>
      </c>
      <c r="E2183" s="4" t="s">
        <v>6945</v>
      </c>
      <c r="F2183" s="9"/>
      <c r="G2183" s="6"/>
      <c r="H2183" s="11">
        <v>1442.0</v>
      </c>
      <c r="I2183" s="11">
        <v>80438.51</v>
      </c>
      <c r="K2183" s="2" t="s">
        <v>113</v>
      </c>
      <c r="L2183" s="2" t="s">
        <v>6946</v>
      </c>
      <c r="M2183" s="2" t="s">
        <v>24</v>
      </c>
      <c r="N2183" s="2" t="s">
        <v>60</v>
      </c>
      <c r="O2183" s="2">
        <v>1.10751038E8</v>
      </c>
      <c r="P2183" s="15"/>
      <c r="Q2183" s="8">
        <v>2026.0</v>
      </c>
      <c r="R2183" s="8" t="s">
        <v>6777</v>
      </c>
    </row>
    <row r="2184">
      <c r="A2184" s="4" t="s">
        <v>18</v>
      </c>
      <c r="B2184" s="2" t="s">
        <v>6947</v>
      </c>
      <c r="C2184" s="5">
        <v>46028.0</v>
      </c>
      <c r="D2184" s="5">
        <v>46028.0</v>
      </c>
      <c r="E2184" s="4" t="s">
        <v>6948</v>
      </c>
      <c r="F2184" s="9"/>
      <c r="G2184" s="6"/>
      <c r="H2184" s="7">
        <v>450.0</v>
      </c>
      <c r="I2184" s="11">
        <v>80888.51</v>
      </c>
      <c r="K2184" s="12" t="str">
        <f t="shared" ref="K2184:K2188" si="282">RIGHT(E2184,6)</f>
        <v>SC3567</v>
      </c>
      <c r="M2184" s="2" t="s">
        <v>24</v>
      </c>
      <c r="N2184" s="2" t="s">
        <v>60</v>
      </c>
      <c r="O2184" s="2">
        <v>1.10751038E8</v>
      </c>
      <c r="P2184" s="15" t="str">
        <f>IFERROR(__xludf.DUMMYFUNCTION("CONCATENATE(B2184,"", "", to_text(D2184),"", "", E2184,"", "", H2184)"),"TSV-2601-0068, 6-Jan-2026, UPI/CR/369291732588/MUKESH /YESB/8448489/SC3567, 450")</f>
        <v>TSV-2601-0068, 6-Jan-2026, UPI/CR/369291732588/MUKESH /YESB/8448489/SC3567, 450</v>
      </c>
      <c r="Q2184" s="8">
        <v>2026.0</v>
      </c>
      <c r="R2184" s="8" t="s">
        <v>6777</v>
      </c>
    </row>
    <row r="2185">
      <c r="A2185" s="4" t="s">
        <v>18</v>
      </c>
      <c r="B2185" s="2" t="s">
        <v>6949</v>
      </c>
      <c r="C2185" s="5">
        <v>46028.0</v>
      </c>
      <c r="D2185" s="5">
        <v>46028.0</v>
      </c>
      <c r="E2185" s="4" t="s">
        <v>6950</v>
      </c>
      <c r="F2185" s="9"/>
      <c r="G2185" s="6"/>
      <c r="H2185" s="11">
        <v>1628.0</v>
      </c>
      <c r="I2185" s="11">
        <v>82516.51</v>
      </c>
      <c r="K2185" s="12" t="str">
        <f t="shared" si="282"/>
        <v>SL1610</v>
      </c>
      <c r="L2185" s="2" t="s">
        <v>6951</v>
      </c>
      <c r="M2185" s="2" t="s">
        <v>24</v>
      </c>
      <c r="N2185" s="2" t="s">
        <v>60</v>
      </c>
      <c r="O2185" s="2">
        <v>1.10751038E8</v>
      </c>
      <c r="P2185" s="15"/>
      <c r="Q2185" s="8">
        <v>2026.0</v>
      </c>
      <c r="R2185" s="8" t="s">
        <v>6777</v>
      </c>
    </row>
    <row r="2186">
      <c r="A2186" s="4" t="s">
        <v>18</v>
      </c>
      <c r="B2186" s="2" t="s">
        <v>6952</v>
      </c>
      <c r="C2186" s="5">
        <v>46028.0</v>
      </c>
      <c r="D2186" s="5">
        <v>46028.0</v>
      </c>
      <c r="E2186" s="4" t="s">
        <v>6953</v>
      </c>
      <c r="F2186" s="9"/>
      <c r="G2186" s="6"/>
      <c r="H2186" s="7">
        <v>970.0</v>
      </c>
      <c r="I2186" s="11">
        <v>83486.51</v>
      </c>
      <c r="K2186" s="12" t="str">
        <f t="shared" si="282"/>
        <v>UN3668</v>
      </c>
      <c r="L2186" s="21" t="s">
        <v>6954</v>
      </c>
      <c r="M2186" s="2" t="s">
        <v>24</v>
      </c>
      <c r="N2186" s="2" t="s">
        <v>60</v>
      </c>
      <c r="O2186" s="2">
        <v>1.10751038E8</v>
      </c>
      <c r="P2186" s="15"/>
      <c r="Q2186" s="8">
        <v>2026.0</v>
      </c>
      <c r="R2186" s="8" t="s">
        <v>6777</v>
      </c>
    </row>
    <row r="2187">
      <c r="A2187" s="4" t="s">
        <v>18</v>
      </c>
      <c r="B2187" s="2" t="s">
        <v>6955</v>
      </c>
      <c r="C2187" s="5">
        <v>46028.0</v>
      </c>
      <c r="D2187" s="5">
        <v>46028.0</v>
      </c>
      <c r="E2187" s="4" t="s">
        <v>6956</v>
      </c>
      <c r="F2187" s="9"/>
      <c r="G2187" s="6"/>
      <c r="H2187" s="7">
        <v>392.0</v>
      </c>
      <c r="I2187" s="11">
        <v>83878.51</v>
      </c>
      <c r="K2187" s="12" t="str">
        <f t="shared" si="282"/>
        <v>UN3668</v>
      </c>
      <c r="L2187" s="21" t="s">
        <v>6957</v>
      </c>
      <c r="M2187" s="2" t="s">
        <v>24</v>
      </c>
      <c r="N2187" s="2" t="s">
        <v>60</v>
      </c>
      <c r="O2187" s="2">
        <v>1.10751038E8</v>
      </c>
      <c r="P2187" s="15"/>
      <c r="Q2187" s="8">
        <v>2026.0</v>
      </c>
      <c r="R2187" s="8" t="s">
        <v>6777</v>
      </c>
    </row>
    <row r="2188">
      <c r="A2188" s="4" t="s">
        <v>18</v>
      </c>
      <c r="B2188" s="2" t="s">
        <v>6958</v>
      </c>
      <c r="C2188" s="5">
        <v>46028.0</v>
      </c>
      <c r="D2188" s="5">
        <v>46028.0</v>
      </c>
      <c r="E2188" s="4" t="s">
        <v>6959</v>
      </c>
      <c r="F2188" s="9"/>
      <c r="G2188" s="6"/>
      <c r="H2188" s="11">
        <v>1032.0</v>
      </c>
      <c r="I2188" s="11">
        <v>84910.51</v>
      </c>
      <c r="K2188" s="12" t="str">
        <f t="shared" si="282"/>
        <v>UN3668</v>
      </c>
      <c r="L2188" s="21" t="s">
        <v>6960</v>
      </c>
      <c r="M2188" s="2" t="s">
        <v>24</v>
      </c>
      <c r="N2188" s="2" t="s">
        <v>60</v>
      </c>
      <c r="O2188" s="2">
        <v>1.10751038E8</v>
      </c>
      <c r="P2188" s="15"/>
      <c r="Q2188" s="8">
        <v>2026.0</v>
      </c>
      <c r="R2188" s="8" t="s">
        <v>6777</v>
      </c>
    </row>
    <row r="2189">
      <c r="A2189" s="4" t="s">
        <v>18</v>
      </c>
      <c r="B2189" s="2" t="s">
        <v>6961</v>
      </c>
      <c r="C2189" s="5">
        <v>46028.0</v>
      </c>
      <c r="D2189" s="5">
        <v>46028.0</v>
      </c>
      <c r="E2189" s="4" t="s">
        <v>6962</v>
      </c>
      <c r="F2189" s="9"/>
      <c r="G2189" s="6"/>
      <c r="H2189" s="7" t="s">
        <v>6963</v>
      </c>
      <c r="I2189" s="11" t="s">
        <v>6964</v>
      </c>
      <c r="J2189" s="2" t="s">
        <v>6965</v>
      </c>
      <c r="K2189" s="2" t="s">
        <v>23</v>
      </c>
      <c r="L2189" s="2" t="s">
        <v>6965</v>
      </c>
      <c r="M2189" s="2" t="s">
        <v>24</v>
      </c>
      <c r="N2189" s="2" t="s">
        <v>60</v>
      </c>
      <c r="O2189" s="2">
        <v>1.10751038E8</v>
      </c>
      <c r="Q2189" s="8">
        <v>2026.0</v>
      </c>
      <c r="R2189" s="8" t="s">
        <v>6777</v>
      </c>
    </row>
    <row r="2190">
      <c r="A2190" s="4" t="s">
        <v>18</v>
      </c>
      <c r="B2190" s="2" t="s">
        <v>6966</v>
      </c>
      <c r="C2190" s="5">
        <v>46028.0</v>
      </c>
      <c r="D2190" s="5">
        <v>46028.0</v>
      </c>
      <c r="E2190" s="4" t="s">
        <v>6967</v>
      </c>
      <c r="F2190" s="9"/>
      <c r="G2190" s="6"/>
      <c r="H2190" s="7">
        <v>400.0</v>
      </c>
      <c r="I2190" s="11" t="s">
        <v>6968</v>
      </c>
      <c r="K2190" s="12" t="str">
        <f>RIGHT(E2190,6)</f>
        <v>SL1610</v>
      </c>
      <c r="L2190" s="2" t="s">
        <v>6969</v>
      </c>
      <c r="M2190" s="2" t="s">
        <v>24</v>
      </c>
      <c r="N2190" s="2" t="s">
        <v>60</v>
      </c>
      <c r="O2190" s="2">
        <v>1.10751038E8</v>
      </c>
      <c r="P2190" s="15"/>
      <c r="Q2190" s="8">
        <v>2026.0</v>
      </c>
      <c r="R2190" s="8" t="s">
        <v>6777</v>
      </c>
    </row>
    <row r="2191">
      <c r="A2191" s="4" t="s">
        <v>18</v>
      </c>
      <c r="B2191" s="2" t="s">
        <v>6970</v>
      </c>
      <c r="C2191" s="5">
        <v>46028.0</v>
      </c>
      <c r="D2191" s="5">
        <v>46028.0</v>
      </c>
      <c r="E2191" s="4" t="s">
        <v>6971</v>
      </c>
      <c r="F2191" s="9"/>
      <c r="G2191" s="7">
        <v>82.0</v>
      </c>
      <c r="H2191" s="27"/>
      <c r="I2191" s="11" t="s">
        <v>6972</v>
      </c>
      <c r="K2191" s="2" t="s">
        <v>119</v>
      </c>
      <c r="M2191" s="2" t="s">
        <v>114</v>
      </c>
      <c r="N2191" s="2" t="s">
        <v>1835</v>
      </c>
      <c r="O2191" s="2">
        <v>1.10751038E8</v>
      </c>
      <c r="Q2191" s="8">
        <v>2026.0</v>
      </c>
      <c r="R2191" s="8" t="s">
        <v>6777</v>
      </c>
    </row>
    <row r="2192">
      <c r="A2192" s="4" t="s">
        <v>18</v>
      </c>
      <c r="B2192" s="2" t="s">
        <v>6973</v>
      </c>
      <c r="C2192" s="5">
        <v>46028.0</v>
      </c>
      <c r="D2192" s="5">
        <v>46028.0</v>
      </c>
      <c r="E2192" s="4" t="s">
        <v>6974</v>
      </c>
      <c r="F2192" s="9"/>
      <c r="G2192" s="6"/>
      <c r="H2192" s="7">
        <v>367.0</v>
      </c>
      <c r="I2192" s="11" t="s">
        <v>6975</v>
      </c>
      <c r="K2192" s="12" t="str">
        <f>RIGHT(E2192,6)</f>
        <v>SL1610</v>
      </c>
      <c r="L2192" s="2" t="s">
        <v>6976</v>
      </c>
      <c r="M2192" s="2" t="s">
        <v>24</v>
      </c>
      <c r="N2192" s="2" t="s">
        <v>60</v>
      </c>
      <c r="O2192" s="2">
        <v>1.10751038E8</v>
      </c>
      <c r="P2192" s="15"/>
      <c r="Q2192" s="8">
        <v>2026.0</v>
      </c>
      <c r="R2192" s="8" t="s">
        <v>6777</v>
      </c>
    </row>
    <row r="2193">
      <c r="A2193" s="4" t="s">
        <v>18</v>
      </c>
      <c r="B2193" s="2" t="s">
        <v>6977</v>
      </c>
      <c r="C2193" s="5">
        <v>46028.0</v>
      </c>
      <c r="D2193" s="5">
        <v>46028.0</v>
      </c>
      <c r="E2193" s="4" t="s">
        <v>6978</v>
      </c>
      <c r="F2193" s="9"/>
      <c r="G2193" s="6"/>
      <c r="H2193" s="7">
        <v>300.0</v>
      </c>
      <c r="I2193" s="11" t="s">
        <v>6979</v>
      </c>
      <c r="K2193" s="2" t="s">
        <v>113</v>
      </c>
      <c r="L2193" s="2" t="s">
        <v>6976</v>
      </c>
      <c r="M2193" s="2" t="s">
        <v>24</v>
      </c>
      <c r="N2193" s="2" t="s">
        <v>60</v>
      </c>
      <c r="O2193" s="2">
        <v>1.10751038E8</v>
      </c>
      <c r="P2193" s="15"/>
      <c r="Q2193" s="8">
        <v>2026.0</v>
      </c>
      <c r="R2193" s="8" t="s">
        <v>6777</v>
      </c>
    </row>
    <row r="2194">
      <c r="A2194" s="4" t="s">
        <v>18</v>
      </c>
      <c r="B2194" s="2" t="s">
        <v>6980</v>
      </c>
      <c r="C2194" s="5">
        <v>46028.0</v>
      </c>
      <c r="D2194" s="5">
        <v>46028.0</v>
      </c>
      <c r="E2194" s="4" t="s">
        <v>6981</v>
      </c>
      <c r="F2194" s="9"/>
      <c r="G2194" s="6"/>
      <c r="H2194" s="11">
        <v>2724.0</v>
      </c>
      <c r="I2194" s="11" t="s">
        <v>6982</v>
      </c>
      <c r="K2194" s="2" t="s">
        <v>113</v>
      </c>
      <c r="L2194" s="2" t="s">
        <v>6983</v>
      </c>
      <c r="M2194" s="2" t="s">
        <v>24</v>
      </c>
      <c r="N2194" s="2" t="s">
        <v>60</v>
      </c>
      <c r="O2194" s="2">
        <v>1.10751038E8</v>
      </c>
      <c r="Q2194" s="8">
        <v>2026.0</v>
      </c>
      <c r="R2194" s="8" t="s">
        <v>6777</v>
      </c>
    </row>
    <row r="2195">
      <c r="A2195" s="4" t="s">
        <v>18</v>
      </c>
      <c r="B2195" s="2" t="s">
        <v>6984</v>
      </c>
      <c r="C2195" s="5">
        <v>46028.0</v>
      </c>
      <c r="D2195" s="5">
        <v>46028.0</v>
      </c>
      <c r="E2195" s="4" t="s">
        <v>6985</v>
      </c>
      <c r="F2195" s="9"/>
      <c r="G2195" s="6"/>
      <c r="H2195" s="11">
        <v>2000.0</v>
      </c>
      <c r="I2195" s="11" t="s">
        <v>6986</v>
      </c>
      <c r="K2195" s="12" t="str">
        <f>RIGHT(E2195,6)</f>
        <v>SL1610</v>
      </c>
      <c r="L2195" s="2" t="s">
        <v>6987</v>
      </c>
      <c r="M2195" s="2" t="s">
        <v>24</v>
      </c>
      <c r="N2195" s="2" t="s">
        <v>60</v>
      </c>
      <c r="O2195" s="2">
        <v>1.10751038E8</v>
      </c>
      <c r="P2195" s="15"/>
      <c r="Q2195" s="8">
        <v>2026.0</v>
      </c>
      <c r="R2195" s="8" t="s">
        <v>6777</v>
      </c>
    </row>
    <row r="2196">
      <c r="A2196" s="4" t="s">
        <v>18</v>
      </c>
      <c r="B2196" s="2" t="s">
        <v>6988</v>
      </c>
      <c r="C2196" s="5">
        <v>46028.0</v>
      </c>
      <c r="D2196" s="5">
        <v>46028.0</v>
      </c>
      <c r="E2196" s="4" t="s">
        <v>6989</v>
      </c>
      <c r="F2196" s="9"/>
      <c r="G2196" s="6"/>
      <c r="H2196" s="11">
        <v>2145.0</v>
      </c>
      <c r="I2196" s="11" t="s">
        <v>6990</v>
      </c>
      <c r="K2196" s="2" t="s">
        <v>113</v>
      </c>
      <c r="L2196" s="2" t="s">
        <v>6987</v>
      </c>
      <c r="M2196" s="2" t="s">
        <v>24</v>
      </c>
      <c r="N2196" s="2" t="s">
        <v>60</v>
      </c>
      <c r="O2196" s="2">
        <v>1.10751038E8</v>
      </c>
      <c r="Q2196" s="8">
        <v>2026.0</v>
      </c>
      <c r="R2196" s="8" t="s">
        <v>6777</v>
      </c>
    </row>
    <row r="2197">
      <c r="A2197" s="4" t="s">
        <v>18</v>
      </c>
      <c r="B2197" s="2" t="s">
        <v>6991</v>
      </c>
      <c r="C2197" s="5">
        <v>46028.0</v>
      </c>
      <c r="D2197" s="5">
        <v>46028.0</v>
      </c>
      <c r="E2197" s="4" t="s">
        <v>6992</v>
      </c>
      <c r="F2197" s="9"/>
      <c r="G2197" s="11">
        <v>1500.0</v>
      </c>
      <c r="H2197" s="27"/>
      <c r="I2197" s="11" t="s">
        <v>6993</v>
      </c>
      <c r="J2197" s="2" t="s">
        <v>6994</v>
      </c>
      <c r="K2197" s="2" t="s">
        <v>123</v>
      </c>
      <c r="M2197" s="2" t="s">
        <v>114</v>
      </c>
      <c r="N2197" s="2" t="s">
        <v>385</v>
      </c>
      <c r="O2197" s="2">
        <v>1.10751038E8</v>
      </c>
      <c r="Q2197" s="8">
        <v>2026.0</v>
      </c>
      <c r="R2197" s="8" t="s">
        <v>6777</v>
      </c>
    </row>
    <row r="2198">
      <c r="A2198" s="4" t="s">
        <v>18</v>
      </c>
      <c r="B2198" s="2" t="s">
        <v>6995</v>
      </c>
      <c r="C2198" s="5">
        <v>46029.0</v>
      </c>
      <c r="D2198" s="5">
        <v>46029.0</v>
      </c>
      <c r="E2198" s="4" t="s">
        <v>6996</v>
      </c>
      <c r="F2198" s="9"/>
      <c r="G2198" s="6"/>
      <c r="H2198" s="11">
        <v>1056.0</v>
      </c>
      <c r="I2198" s="11" t="s">
        <v>6997</v>
      </c>
      <c r="K2198" s="12" t="str">
        <f t="shared" ref="K2198:K2213" si="283">RIGHT(E2198,6)</f>
        <v>SC3567</v>
      </c>
      <c r="M2198" s="2" t="s">
        <v>24</v>
      </c>
      <c r="N2198" s="2" t="s">
        <v>60</v>
      </c>
      <c r="O2198" s="2">
        <v>1.10751038E8</v>
      </c>
      <c r="P2198" s="15" t="str">
        <f>IFERROR(__xludf.DUMMYFUNCTION("CONCATENATE(B2198,"", "", to_text(D2198),"", "", E2198,"", "", H2198)"),"TSV-2601-0082, 7-Jan-2026, UPI/CR/637326375042/ESHA JA/IOBA/9813517/SC3567, 1056")</f>
        <v>TSV-2601-0082, 7-Jan-2026, UPI/CR/637326375042/ESHA JA/IOBA/9813517/SC3567, 1056</v>
      </c>
      <c r="Q2198" s="8">
        <v>2026.0</v>
      </c>
      <c r="R2198" s="8" t="s">
        <v>6777</v>
      </c>
    </row>
    <row r="2199">
      <c r="A2199" s="4" t="s">
        <v>18</v>
      </c>
      <c r="B2199" s="2" t="s">
        <v>6998</v>
      </c>
      <c r="C2199" s="5">
        <v>46029.0</v>
      </c>
      <c r="D2199" s="5">
        <v>46029.0</v>
      </c>
      <c r="E2199" s="4" t="s">
        <v>6999</v>
      </c>
      <c r="F2199" s="9"/>
      <c r="G2199" s="6"/>
      <c r="H2199" s="7">
        <v>500.0</v>
      </c>
      <c r="I2199" s="11" t="s">
        <v>7000</v>
      </c>
      <c r="K2199" s="12" t="str">
        <f t="shared" si="283"/>
        <v>KN3817</v>
      </c>
      <c r="M2199" s="2" t="s">
        <v>24</v>
      </c>
      <c r="N2199" s="2" t="s">
        <v>60</v>
      </c>
      <c r="O2199" s="2">
        <v>1.10751038E8</v>
      </c>
      <c r="P2199" s="15" t="str">
        <f>IFERROR(__xludf.DUMMYFUNCTION("CONCATENATE(B2199,"", "", to_text(D2199),"", "", E2199,"", "", H2199)"),"TSV-2601-0083, 7-Jan-2026, UPI/CR/696948473820/ARCHIT B/HDFC/8447340/KN3817, 500")</f>
        <v>TSV-2601-0083, 7-Jan-2026, UPI/CR/696948473820/ARCHIT B/HDFC/8447340/KN3817, 500</v>
      </c>
      <c r="Q2199" s="8">
        <v>2026.0</v>
      </c>
      <c r="R2199" s="8" t="s">
        <v>6777</v>
      </c>
    </row>
    <row r="2200">
      <c r="A2200" s="4" t="s">
        <v>18</v>
      </c>
      <c r="B2200" s="2" t="s">
        <v>7001</v>
      </c>
      <c r="C2200" s="5">
        <v>46029.0</v>
      </c>
      <c r="D2200" s="5">
        <v>46029.0</v>
      </c>
      <c r="E2200" s="4" t="s">
        <v>7002</v>
      </c>
      <c r="F2200" s="9"/>
      <c r="G2200" s="6"/>
      <c r="H2200" s="11">
        <v>1503.0</v>
      </c>
      <c r="I2200" s="11" t="s">
        <v>7003</v>
      </c>
      <c r="K2200" s="12" t="str">
        <f t="shared" si="283"/>
        <v>SC3567</v>
      </c>
      <c r="M2200" s="2" t="s">
        <v>24</v>
      </c>
      <c r="N2200" s="2" t="s">
        <v>60</v>
      </c>
      <c r="O2200" s="2">
        <v>1.10751038E8</v>
      </c>
      <c r="P2200" s="15" t="str">
        <f>IFERROR(__xludf.DUMMYFUNCTION("CONCATENATE(B2200,"", "", to_text(D2200),"", "", E2200,"", "", H2200)"),"TSV-2601-0084, 7-Jan-2026, UPI/CR/116809155525/BROTIN K/SBIN/brotink/SC3567, 1503")</f>
        <v>TSV-2601-0084, 7-Jan-2026, UPI/CR/116809155525/BROTIN K/SBIN/brotink/SC3567, 1503</v>
      </c>
      <c r="Q2200" s="8">
        <v>2026.0</v>
      </c>
      <c r="R2200" s="8" t="s">
        <v>6777</v>
      </c>
    </row>
    <row r="2201">
      <c r="A2201" s="4" t="s">
        <v>18</v>
      </c>
      <c r="B2201" s="2" t="s">
        <v>7004</v>
      </c>
      <c r="C2201" s="5">
        <v>46029.0</v>
      </c>
      <c r="D2201" s="5">
        <v>46029.0</v>
      </c>
      <c r="E2201" s="4" t="s">
        <v>7005</v>
      </c>
      <c r="F2201" s="9"/>
      <c r="G2201" s="6"/>
      <c r="H2201" s="11">
        <v>1060.0</v>
      </c>
      <c r="I2201" s="11" t="s">
        <v>7006</v>
      </c>
      <c r="K2201" s="12" t="str">
        <f t="shared" si="283"/>
        <v>SL1610</v>
      </c>
      <c r="L2201" s="2" t="s">
        <v>7007</v>
      </c>
      <c r="M2201" s="2" t="s">
        <v>24</v>
      </c>
      <c r="N2201" s="2" t="s">
        <v>60</v>
      </c>
      <c r="O2201" s="2">
        <v>1.10751038E8</v>
      </c>
      <c r="P2201" s="15"/>
      <c r="Q2201" s="8">
        <v>2026.0</v>
      </c>
      <c r="R2201" s="8" t="s">
        <v>6777</v>
      </c>
    </row>
    <row r="2202">
      <c r="A2202" s="4" t="s">
        <v>18</v>
      </c>
      <c r="B2202" s="2" t="s">
        <v>7008</v>
      </c>
      <c r="C2202" s="5">
        <v>46029.0</v>
      </c>
      <c r="D2202" s="5">
        <v>46029.0</v>
      </c>
      <c r="E2202" s="4" t="s">
        <v>7009</v>
      </c>
      <c r="F2202" s="9"/>
      <c r="G2202" s="6"/>
      <c r="H2202" s="7">
        <v>304.0</v>
      </c>
      <c r="I2202" s="11" t="s">
        <v>7010</v>
      </c>
      <c r="K2202" s="12" t="str">
        <f t="shared" si="283"/>
        <v>UN3668</v>
      </c>
      <c r="L2202" s="21" t="s">
        <v>7011</v>
      </c>
      <c r="M2202" s="2" t="s">
        <v>24</v>
      </c>
      <c r="N2202" s="2" t="s">
        <v>60</v>
      </c>
      <c r="O2202" s="2">
        <v>1.10751038E8</v>
      </c>
      <c r="P2202" s="15"/>
      <c r="Q2202" s="8">
        <v>2026.0</v>
      </c>
      <c r="R2202" s="8" t="s">
        <v>6777</v>
      </c>
    </row>
    <row r="2203">
      <c r="A2203" s="4" t="s">
        <v>18</v>
      </c>
      <c r="B2203" s="2" t="s">
        <v>7012</v>
      </c>
      <c r="C2203" s="5">
        <v>46029.0</v>
      </c>
      <c r="D2203" s="5">
        <v>46029.0</v>
      </c>
      <c r="E2203" s="4" t="s">
        <v>7013</v>
      </c>
      <c r="F2203" s="9"/>
      <c r="G2203" s="6"/>
      <c r="H2203" s="11">
        <v>1283.0</v>
      </c>
      <c r="I2203" s="11" t="s">
        <v>7014</v>
      </c>
      <c r="K2203" s="12" t="str">
        <f t="shared" si="283"/>
        <v>SL1610</v>
      </c>
      <c r="L2203" s="2" t="s">
        <v>7015</v>
      </c>
      <c r="M2203" s="2" t="s">
        <v>24</v>
      </c>
      <c r="N2203" s="2" t="s">
        <v>60</v>
      </c>
      <c r="O2203" s="2">
        <v>1.10751038E8</v>
      </c>
      <c r="P2203" s="15"/>
      <c r="Q2203" s="8">
        <v>2026.0</v>
      </c>
      <c r="R2203" s="8" t="s">
        <v>6777</v>
      </c>
    </row>
    <row r="2204">
      <c r="A2204" s="4" t="s">
        <v>18</v>
      </c>
      <c r="B2204" s="2" t="s">
        <v>7016</v>
      </c>
      <c r="C2204" s="5">
        <v>46029.0</v>
      </c>
      <c r="D2204" s="5">
        <v>46029.0</v>
      </c>
      <c r="E2204" s="4" t="s">
        <v>7017</v>
      </c>
      <c r="F2204" s="9"/>
      <c r="G2204" s="6"/>
      <c r="H2204" s="7">
        <v>700.0</v>
      </c>
      <c r="I2204" s="11" t="s">
        <v>7018</v>
      </c>
      <c r="K2204" s="12" t="str">
        <f t="shared" si="283"/>
        <v>UN3668</v>
      </c>
      <c r="L2204" s="21" t="s">
        <v>7019</v>
      </c>
      <c r="M2204" s="2" t="s">
        <v>24</v>
      </c>
      <c r="N2204" s="2" t="s">
        <v>60</v>
      </c>
      <c r="O2204" s="2">
        <v>1.10751038E8</v>
      </c>
      <c r="P2204" s="15"/>
      <c r="Q2204" s="8">
        <v>2026.0</v>
      </c>
      <c r="R2204" s="8" t="s">
        <v>6777</v>
      </c>
    </row>
    <row r="2205">
      <c r="A2205" s="4" t="s">
        <v>18</v>
      </c>
      <c r="B2205" s="2" t="s">
        <v>7020</v>
      </c>
      <c r="C2205" s="5">
        <v>46029.0</v>
      </c>
      <c r="D2205" s="5">
        <v>46029.0</v>
      </c>
      <c r="E2205" s="4" t="s">
        <v>7021</v>
      </c>
      <c r="F2205" s="9"/>
      <c r="G2205" s="6"/>
      <c r="H2205" s="7">
        <v>480.0</v>
      </c>
      <c r="I2205" s="11" t="s">
        <v>7022</v>
      </c>
      <c r="K2205" s="12" t="str">
        <f t="shared" si="283"/>
        <v>UN3668</v>
      </c>
      <c r="L2205" s="21" t="s">
        <v>7023</v>
      </c>
      <c r="M2205" s="2" t="s">
        <v>24</v>
      </c>
      <c r="N2205" s="2" t="s">
        <v>60</v>
      </c>
      <c r="O2205" s="2">
        <v>1.10751038E8</v>
      </c>
      <c r="P2205" s="15"/>
      <c r="Q2205" s="8">
        <v>2026.0</v>
      </c>
      <c r="R2205" s="8" t="s">
        <v>6777</v>
      </c>
    </row>
    <row r="2206">
      <c r="A2206" s="4" t="s">
        <v>18</v>
      </c>
      <c r="B2206" s="2" t="s">
        <v>7024</v>
      </c>
      <c r="C2206" s="5">
        <v>46029.0</v>
      </c>
      <c r="D2206" s="5">
        <v>46029.0</v>
      </c>
      <c r="E2206" s="4" t="s">
        <v>7025</v>
      </c>
      <c r="F2206" s="9"/>
      <c r="G2206" s="6"/>
      <c r="H2206" s="11">
        <v>1485.0</v>
      </c>
      <c r="I2206" s="11" t="s">
        <v>7026</v>
      </c>
      <c r="K2206" s="12" t="str">
        <f t="shared" si="283"/>
        <v>UN3668</v>
      </c>
      <c r="L2206" s="21" t="s">
        <v>7027</v>
      </c>
      <c r="M2206" s="2" t="s">
        <v>24</v>
      </c>
      <c r="N2206" s="2" t="s">
        <v>60</v>
      </c>
      <c r="O2206" s="2">
        <v>1.10751038E8</v>
      </c>
      <c r="P2206" s="15"/>
      <c r="Q2206" s="8">
        <v>2026.0</v>
      </c>
      <c r="R2206" s="8" t="s">
        <v>6777</v>
      </c>
    </row>
    <row r="2207">
      <c r="A2207" s="4" t="s">
        <v>18</v>
      </c>
      <c r="B2207" s="2" t="s">
        <v>7028</v>
      </c>
      <c r="C2207" s="5">
        <v>46029.0</v>
      </c>
      <c r="D2207" s="5">
        <v>46029.0</v>
      </c>
      <c r="E2207" s="4" t="s">
        <v>7029</v>
      </c>
      <c r="F2207" s="9"/>
      <c r="G2207" s="6"/>
      <c r="H2207" s="7">
        <v>911.0</v>
      </c>
      <c r="I2207" s="11" t="s">
        <v>7030</v>
      </c>
      <c r="K2207" s="12" t="str">
        <f t="shared" si="283"/>
        <v>SC3567</v>
      </c>
      <c r="M2207" s="2" t="s">
        <v>24</v>
      </c>
      <c r="N2207" s="2" t="s">
        <v>60</v>
      </c>
      <c r="O2207" s="2">
        <v>1.10751038E8</v>
      </c>
      <c r="P2207" s="15" t="str">
        <f>IFERROR(__xludf.DUMMYFUNCTION("CONCATENATE(B2207,"", "", to_text(D2207),"", "", E2207,"", "", H2207)"),"TSV-2601-0091, 7-Jan-2026, UPI/CR/637311463683/CHIRAG J/HDFC/9582841/SC3567, 911")</f>
        <v>TSV-2601-0091, 7-Jan-2026, UPI/CR/637311463683/CHIRAG J/HDFC/9582841/SC3567, 911</v>
      </c>
      <c r="Q2207" s="8">
        <v>2026.0</v>
      </c>
      <c r="R2207" s="8" t="s">
        <v>6777</v>
      </c>
    </row>
    <row r="2208">
      <c r="A2208" s="4" t="s">
        <v>18</v>
      </c>
      <c r="B2208" s="2" t="s">
        <v>7031</v>
      </c>
      <c r="C2208" s="5">
        <v>46029.0</v>
      </c>
      <c r="D2208" s="5">
        <v>46029.0</v>
      </c>
      <c r="E2208" s="4" t="s">
        <v>7032</v>
      </c>
      <c r="F2208" s="9"/>
      <c r="G2208" s="6"/>
      <c r="H2208" s="11">
        <v>3072.0</v>
      </c>
      <c r="I2208" s="11" t="s">
        <v>7033</v>
      </c>
      <c r="K2208" s="12" t="str">
        <f t="shared" si="283"/>
        <v>UN3668</v>
      </c>
      <c r="L2208" s="21" t="s">
        <v>7034</v>
      </c>
      <c r="M2208" s="2" t="s">
        <v>24</v>
      </c>
      <c r="N2208" s="2" t="s">
        <v>60</v>
      </c>
      <c r="O2208" s="2">
        <v>1.10751038E8</v>
      </c>
      <c r="P2208" s="15"/>
      <c r="Q2208" s="8">
        <v>2026.0</v>
      </c>
      <c r="R2208" s="8" t="s">
        <v>6777</v>
      </c>
    </row>
    <row r="2209">
      <c r="A2209" s="4" t="s">
        <v>18</v>
      </c>
      <c r="B2209" s="2" t="s">
        <v>7035</v>
      </c>
      <c r="C2209" s="5">
        <v>46029.0</v>
      </c>
      <c r="D2209" s="5">
        <v>46029.0</v>
      </c>
      <c r="E2209" s="4" t="s">
        <v>7036</v>
      </c>
      <c r="F2209" s="9"/>
      <c r="G2209" s="6"/>
      <c r="H2209" s="7">
        <v>20.0</v>
      </c>
      <c r="I2209" s="11" t="s">
        <v>7037</v>
      </c>
      <c r="K2209" s="12" t="str">
        <f t="shared" si="283"/>
        <v>SL1610</v>
      </c>
      <c r="L2209" s="2" t="s">
        <v>7038</v>
      </c>
      <c r="M2209" s="2" t="s">
        <v>24</v>
      </c>
      <c r="N2209" s="2" t="s">
        <v>60</v>
      </c>
      <c r="O2209" s="2">
        <v>1.10751038E8</v>
      </c>
      <c r="P2209" s="15"/>
      <c r="Q2209" s="8">
        <v>2026.0</v>
      </c>
      <c r="R2209" s="8" t="s">
        <v>6777</v>
      </c>
    </row>
    <row r="2210">
      <c r="A2210" s="4" t="s">
        <v>18</v>
      </c>
      <c r="B2210" s="2" t="s">
        <v>7039</v>
      </c>
      <c r="C2210" s="5">
        <v>46029.0</v>
      </c>
      <c r="D2210" s="5">
        <v>46029.0</v>
      </c>
      <c r="E2210" s="4" t="s">
        <v>7040</v>
      </c>
      <c r="F2210" s="9"/>
      <c r="G2210" s="6"/>
      <c r="H2210" s="7">
        <v>642.0</v>
      </c>
      <c r="I2210" s="11" t="s">
        <v>7041</v>
      </c>
      <c r="K2210" s="12" t="str">
        <f t="shared" si="283"/>
        <v>KN3817</v>
      </c>
      <c r="M2210" s="2" t="s">
        <v>24</v>
      </c>
      <c r="N2210" s="2" t="s">
        <v>60</v>
      </c>
      <c r="O2210" s="2">
        <v>1.10751038E8</v>
      </c>
      <c r="P2210" s="15" t="str">
        <f>IFERROR(__xludf.DUMMYFUNCTION("CONCATENATE(B2210,"", "", to_text(D2210),"", "", E2210,"", "", H2210)"),"TSV-2601-0094, 7-Jan-2026, UPI/CR/395096371714/DIVYA VE/HDFC/9910660/KN3817, 642")</f>
        <v>TSV-2601-0094, 7-Jan-2026, UPI/CR/395096371714/DIVYA VE/HDFC/9910660/KN3817, 642</v>
      </c>
      <c r="Q2210" s="8">
        <v>2026.0</v>
      </c>
      <c r="R2210" s="8" t="s">
        <v>6777</v>
      </c>
    </row>
    <row r="2211">
      <c r="A2211" s="4" t="s">
        <v>18</v>
      </c>
      <c r="B2211" s="2" t="s">
        <v>7042</v>
      </c>
      <c r="C2211" s="5">
        <v>46029.0</v>
      </c>
      <c r="D2211" s="5">
        <v>46029.0</v>
      </c>
      <c r="E2211" s="4" t="s">
        <v>7043</v>
      </c>
      <c r="F2211" s="9"/>
      <c r="G2211" s="6"/>
      <c r="H2211" s="11">
        <v>1402.0</v>
      </c>
      <c r="I2211" s="11" t="s">
        <v>7044</v>
      </c>
      <c r="K2211" s="12" t="str">
        <f t="shared" si="283"/>
        <v>SL1610</v>
      </c>
      <c r="M2211" s="2" t="s">
        <v>24</v>
      </c>
      <c r="N2211" s="2" t="s">
        <v>60</v>
      </c>
      <c r="O2211" s="2">
        <v>1.10751038E8</v>
      </c>
      <c r="P2211" s="15" t="str">
        <f>IFERROR(__xludf.DUMMYFUNCTION("CONCATENATE(B2211,"", "", to_text(D2211),"", "", E2211,"", "", H2211)"),"TSV-2601-0095, 7-Jan-2026, UPI/CR/116839516926/SOMYA SI/HDFC/somya01/SL1610, 1402")</f>
        <v>TSV-2601-0095, 7-Jan-2026, UPI/CR/116839516926/SOMYA SI/HDFC/somya01/SL1610, 1402</v>
      </c>
      <c r="Q2211" s="8">
        <v>2026.0</v>
      </c>
      <c r="R2211" s="8" t="s">
        <v>6777</v>
      </c>
    </row>
    <row r="2212">
      <c r="A2212" s="4" t="s">
        <v>18</v>
      </c>
      <c r="B2212" s="2" t="s">
        <v>7045</v>
      </c>
      <c r="C2212" s="5">
        <v>46029.0</v>
      </c>
      <c r="D2212" s="5">
        <v>46029.0</v>
      </c>
      <c r="E2212" s="4" t="s">
        <v>7046</v>
      </c>
      <c r="F2212" s="9"/>
      <c r="G2212" s="6"/>
      <c r="H2212" s="7">
        <v>370.0</v>
      </c>
      <c r="I2212" s="11" t="s">
        <v>7047</v>
      </c>
      <c r="K2212" s="12" t="str">
        <f t="shared" si="283"/>
        <v>UN3668</v>
      </c>
      <c r="L2212" s="21" t="s">
        <v>7048</v>
      </c>
      <c r="M2212" s="2" t="s">
        <v>24</v>
      </c>
      <c r="N2212" s="2" t="s">
        <v>60</v>
      </c>
      <c r="O2212" s="2">
        <v>1.10751038E8</v>
      </c>
      <c r="P2212" s="15"/>
      <c r="Q2212" s="8">
        <v>2026.0</v>
      </c>
      <c r="R2212" s="8" t="s">
        <v>6777</v>
      </c>
    </row>
    <row r="2213">
      <c r="A2213" s="4" t="s">
        <v>18</v>
      </c>
      <c r="B2213" s="2" t="s">
        <v>7049</v>
      </c>
      <c r="C2213" s="5">
        <v>46029.0</v>
      </c>
      <c r="D2213" s="5">
        <v>46029.0</v>
      </c>
      <c r="E2213" s="4" t="s">
        <v>7050</v>
      </c>
      <c r="F2213" s="9"/>
      <c r="G2213" s="6"/>
      <c r="H2213" s="7">
        <v>473.0</v>
      </c>
      <c r="I2213" s="11" t="s">
        <v>7051</v>
      </c>
      <c r="K2213" s="12" t="str">
        <f t="shared" si="283"/>
        <v>UN3668</v>
      </c>
      <c r="L2213" s="21" t="s">
        <v>7052</v>
      </c>
      <c r="M2213" s="2" t="s">
        <v>24</v>
      </c>
      <c r="N2213" s="2" t="s">
        <v>60</v>
      </c>
      <c r="O2213" s="2">
        <v>1.10751038E8</v>
      </c>
      <c r="P2213" s="15"/>
      <c r="Q2213" s="8">
        <v>2026.0</v>
      </c>
      <c r="R2213" s="8" t="s">
        <v>6777</v>
      </c>
    </row>
    <row r="2214">
      <c r="A2214" s="4" t="s">
        <v>18</v>
      </c>
      <c r="B2214" s="2" t="s">
        <v>7053</v>
      </c>
      <c r="C2214" s="5">
        <v>46029.0</v>
      </c>
      <c r="D2214" s="5">
        <v>46029.0</v>
      </c>
      <c r="E2214" s="4" t="s">
        <v>7054</v>
      </c>
      <c r="F2214" s="9"/>
      <c r="G2214" s="6"/>
      <c r="H2214" s="11">
        <v>35000.0</v>
      </c>
      <c r="I2214" s="11" t="s">
        <v>7055</v>
      </c>
      <c r="J2214" s="2" t="s">
        <v>7056</v>
      </c>
      <c r="K2214" s="2" t="s">
        <v>23</v>
      </c>
      <c r="L2214" s="2" t="s">
        <v>7056</v>
      </c>
      <c r="M2214" s="2" t="s">
        <v>24</v>
      </c>
      <c r="N2214" s="2" t="s">
        <v>60</v>
      </c>
      <c r="O2214" s="2">
        <v>1.10751038E8</v>
      </c>
      <c r="Q2214" s="8">
        <v>2026.0</v>
      </c>
      <c r="R2214" s="8" t="s">
        <v>6777</v>
      </c>
    </row>
    <row r="2215">
      <c r="A2215" s="4" t="s">
        <v>18</v>
      </c>
      <c r="B2215" s="2" t="s">
        <v>7057</v>
      </c>
      <c r="C2215" s="5">
        <v>46030.0</v>
      </c>
      <c r="D2215" s="5">
        <v>46030.0</v>
      </c>
      <c r="E2215" s="4" t="s">
        <v>7058</v>
      </c>
      <c r="F2215" s="9"/>
      <c r="G2215" s="11">
        <v>1416.0</v>
      </c>
      <c r="H2215" s="27"/>
      <c r="I2215" s="11" t="s">
        <v>7059</v>
      </c>
      <c r="J2215" s="2" t="s">
        <v>7060</v>
      </c>
      <c r="K2215" s="12" t="str">
        <f t="shared" ref="K2215:K2216" si="284">RIGHT(E2215,6)</f>
        <v>SC3567</v>
      </c>
      <c r="M2215" s="2" t="s">
        <v>114</v>
      </c>
      <c r="N2215" s="2" t="s">
        <v>385</v>
      </c>
      <c r="O2215" s="2">
        <v>1.10751038E8</v>
      </c>
      <c r="Q2215" s="8">
        <v>2026.0</v>
      </c>
      <c r="R2215" s="8" t="s">
        <v>6777</v>
      </c>
    </row>
    <row r="2216">
      <c r="A2216" s="4" t="s">
        <v>18</v>
      </c>
      <c r="B2216" s="2" t="s">
        <v>7061</v>
      </c>
      <c r="C2216" s="5">
        <v>46030.0</v>
      </c>
      <c r="D2216" s="5">
        <v>46030.0</v>
      </c>
      <c r="E2216" s="4" t="s">
        <v>7062</v>
      </c>
      <c r="F2216" s="9"/>
      <c r="G2216" s="6"/>
      <c r="H2216" s="7">
        <v>830.0</v>
      </c>
      <c r="I2216" s="11" t="s">
        <v>7063</v>
      </c>
      <c r="K2216" s="12" t="str">
        <f t="shared" si="284"/>
        <v>KN3817</v>
      </c>
      <c r="M2216" s="2" t="s">
        <v>24</v>
      </c>
      <c r="N2216" s="2" t="s">
        <v>60</v>
      </c>
      <c r="O2216" s="2">
        <v>1.10751038E8</v>
      </c>
      <c r="P2216" s="15" t="str">
        <f>IFERROR(__xludf.DUMMYFUNCTION("CONCATENATE(B2216,"", "", to_text(D2216),"", "", E2216,"", "", H2216)"),"TSV-2601-0100, 8-Jan-2026, UPI/CR/395120703032/Abhinav /AUBL/8470868/KN3817, 830")</f>
        <v>TSV-2601-0100, 8-Jan-2026, UPI/CR/395120703032/Abhinav /AUBL/8470868/KN3817, 830</v>
      </c>
      <c r="Q2216" s="8">
        <v>2026.0</v>
      </c>
      <c r="R2216" s="8" t="s">
        <v>6777</v>
      </c>
    </row>
    <row r="2217">
      <c r="A2217" s="4" t="s">
        <v>18</v>
      </c>
      <c r="B2217" s="2" t="s">
        <v>7064</v>
      </c>
      <c r="C2217" s="5">
        <v>46030.0</v>
      </c>
      <c r="D2217" s="5">
        <v>46030.0</v>
      </c>
      <c r="E2217" s="4" t="s">
        <v>7065</v>
      </c>
      <c r="F2217" s="9"/>
      <c r="G2217" s="7">
        <v>134.0</v>
      </c>
      <c r="H2217" s="27"/>
      <c r="I2217" s="11" t="s">
        <v>7066</v>
      </c>
      <c r="K2217" s="2" t="s">
        <v>23</v>
      </c>
      <c r="M2217" s="2" t="s">
        <v>114</v>
      </c>
      <c r="N2217" s="2" t="s">
        <v>478</v>
      </c>
      <c r="O2217" s="2">
        <v>1.10751038E8</v>
      </c>
      <c r="Q2217" s="8">
        <v>2026.0</v>
      </c>
      <c r="R2217" s="8" t="s">
        <v>6777</v>
      </c>
    </row>
    <row r="2218">
      <c r="A2218" s="4" t="s">
        <v>18</v>
      </c>
      <c r="B2218" s="2" t="s">
        <v>7067</v>
      </c>
      <c r="C2218" s="5">
        <v>46030.0</v>
      </c>
      <c r="D2218" s="5">
        <v>46030.0</v>
      </c>
      <c r="E2218" s="4" t="s">
        <v>7068</v>
      </c>
      <c r="F2218" s="9"/>
      <c r="G2218" s="6"/>
      <c r="H2218" s="7">
        <v>134.0</v>
      </c>
      <c r="I2218" s="11" t="s">
        <v>7063</v>
      </c>
      <c r="J2218" s="2" t="s">
        <v>7069</v>
      </c>
      <c r="K2218" s="2" t="s">
        <v>23</v>
      </c>
      <c r="M2218" s="2" t="s">
        <v>24</v>
      </c>
      <c r="N2218" s="2" t="s">
        <v>60</v>
      </c>
      <c r="O2218" s="2">
        <v>1.10751038E8</v>
      </c>
      <c r="P2218" s="15" t="str">
        <f>IFERROR(__xludf.DUMMYFUNCTION("CONCATENATE(B2218,"", "", to_text(D2218),"", "", E2218,"", "", H2218)"),"TSV-2601-0102, 8-Jan-2026, UPI/CR/600806392369/Blinkit/YESB/paytm-b/collect, 134")</f>
        <v>TSV-2601-0102, 8-Jan-2026, UPI/CR/600806392369/Blinkit/YESB/paytm-b/collect, 134</v>
      </c>
      <c r="Q2218" s="8">
        <v>2026.0</v>
      </c>
      <c r="R2218" s="8" t="s">
        <v>6777</v>
      </c>
    </row>
    <row r="2219">
      <c r="A2219" s="4" t="s">
        <v>18</v>
      </c>
      <c r="B2219" s="2" t="s">
        <v>7070</v>
      </c>
      <c r="C2219" s="5">
        <v>46030.0</v>
      </c>
      <c r="D2219" s="5">
        <v>46030.0</v>
      </c>
      <c r="E2219" s="4" t="s">
        <v>7071</v>
      </c>
      <c r="F2219" s="9"/>
      <c r="G2219" s="6"/>
      <c r="H2219" s="7">
        <v>583.0</v>
      </c>
      <c r="I2219" s="11" t="s">
        <v>7072</v>
      </c>
      <c r="K2219" s="12" t="str">
        <f t="shared" ref="K2219:K2220" si="285">RIGHT(E2219,6)</f>
        <v>SL1610</v>
      </c>
      <c r="L2219" s="2" t="s">
        <v>7073</v>
      </c>
      <c r="M2219" s="2" t="s">
        <v>24</v>
      </c>
      <c r="N2219" s="2" t="s">
        <v>60</v>
      </c>
      <c r="O2219" s="2">
        <v>1.10751038E8</v>
      </c>
      <c r="P2219" s="15"/>
      <c r="Q2219" s="8">
        <v>2026.0</v>
      </c>
      <c r="R2219" s="8" t="s">
        <v>6777</v>
      </c>
    </row>
    <row r="2220">
      <c r="A2220" s="4" t="s">
        <v>18</v>
      </c>
      <c r="B2220" s="2" t="s">
        <v>7074</v>
      </c>
      <c r="C2220" s="5">
        <v>46030.0</v>
      </c>
      <c r="D2220" s="5">
        <v>46030.0</v>
      </c>
      <c r="E2220" s="4" t="s">
        <v>7075</v>
      </c>
      <c r="F2220" s="9"/>
      <c r="G2220" s="6"/>
      <c r="H2220" s="7">
        <v>383.0</v>
      </c>
      <c r="I2220" s="11" t="s">
        <v>7076</v>
      </c>
      <c r="K2220" s="12" t="str">
        <f t="shared" si="285"/>
        <v>UN3668</v>
      </c>
      <c r="L2220" s="21" t="s">
        <v>7077</v>
      </c>
      <c r="M2220" s="2" t="s">
        <v>24</v>
      </c>
      <c r="N2220" s="2" t="s">
        <v>60</v>
      </c>
      <c r="O2220" s="2">
        <v>1.10751038E8</v>
      </c>
      <c r="P2220" s="15"/>
      <c r="Q2220" s="8">
        <v>2026.0</v>
      </c>
      <c r="R2220" s="8" t="s">
        <v>6777</v>
      </c>
    </row>
    <row r="2221">
      <c r="A2221" s="4" t="s">
        <v>18</v>
      </c>
      <c r="B2221" s="2" t="s">
        <v>7078</v>
      </c>
      <c r="C2221" s="5">
        <v>46030.0</v>
      </c>
      <c r="D2221" s="5">
        <v>46030.0</v>
      </c>
      <c r="E2221" s="4" t="s">
        <v>7079</v>
      </c>
      <c r="F2221" s="9"/>
      <c r="G2221" s="11">
        <v>5944.84</v>
      </c>
      <c r="H2221" s="27"/>
      <c r="I2221" s="11" t="s">
        <v>7080</v>
      </c>
      <c r="K2221" s="2" t="s">
        <v>23</v>
      </c>
      <c r="M2221" s="2" t="s">
        <v>114</v>
      </c>
      <c r="N2221" s="2" t="s">
        <v>1835</v>
      </c>
      <c r="O2221" s="2">
        <v>1.10751038E8</v>
      </c>
      <c r="Q2221" s="8">
        <v>2026.0</v>
      </c>
      <c r="R2221" s="8" t="s">
        <v>6777</v>
      </c>
    </row>
    <row r="2222">
      <c r="A2222" s="4" t="s">
        <v>18</v>
      </c>
      <c r="B2222" s="2" t="s">
        <v>7081</v>
      </c>
      <c r="C2222" s="5">
        <v>46030.0</v>
      </c>
      <c r="D2222" s="5">
        <v>46030.0</v>
      </c>
      <c r="E2222" s="4" t="s">
        <v>7082</v>
      </c>
      <c r="F2222" s="9"/>
      <c r="G2222" s="6"/>
      <c r="H2222" s="11">
        <v>1648.0</v>
      </c>
      <c r="I2222" s="11" t="s">
        <v>7083</v>
      </c>
      <c r="K2222" s="12" t="str">
        <f t="shared" ref="K2222:K2226" si="286">RIGHT(E2222,6)</f>
        <v>SL1610</v>
      </c>
      <c r="L2222" s="2" t="s">
        <v>7084</v>
      </c>
      <c r="M2222" s="2" t="s">
        <v>24</v>
      </c>
      <c r="N2222" s="2" t="s">
        <v>60</v>
      </c>
      <c r="O2222" s="2">
        <v>1.10751038E8</v>
      </c>
      <c r="P2222" s="15"/>
      <c r="Q2222" s="8">
        <v>2026.0</v>
      </c>
      <c r="R2222" s="8" t="s">
        <v>6777</v>
      </c>
    </row>
    <row r="2223">
      <c r="A2223" s="4" t="s">
        <v>18</v>
      </c>
      <c r="B2223" s="2" t="s">
        <v>7085</v>
      </c>
      <c r="C2223" s="5">
        <v>46030.0</v>
      </c>
      <c r="D2223" s="5">
        <v>46030.0</v>
      </c>
      <c r="E2223" s="4" t="s">
        <v>7086</v>
      </c>
      <c r="F2223" s="9"/>
      <c r="G2223" s="6"/>
      <c r="H2223" s="7">
        <v>585.0</v>
      </c>
      <c r="I2223" s="11" t="s">
        <v>7087</v>
      </c>
      <c r="K2223" s="12" t="str">
        <f t="shared" si="286"/>
        <v>UN3668</v>
      </c>
      <c r="L2223" s="21" t="s">
        <v>7088</v>
      </c>
      <c r="M2223" s="2" t="s">
        <v>24</v>
      </c>
      <c r="N2223" s="2" t="s">
        <v>60</v>
      </c>
      <c r="O2223" s="2">
        <v>1.10751038E8</v>
      </c>
      <c r="P2223" s="15"/>
      <c r="Q2223" s="8">
        <v>2026.0</v>
      </c>
      <c r="R2223" s="8" t="s">
        <v>6777</v>
      </c>
    </row>
    <row r="2224">
      <c r="A2224" s="4" t="s">
        <v>18</v>
      </c>
      <c r="B2224" s="2" t="s">
        <v>7089</v>
      </c>
      <c r="C2224" s="5">
        <v>46030.0</v>
      </c>
      <c r="D2224" s="5">
        <v>46030.0</v>
      </c>
      <c r="E2224" s="4" t="s">
        <v>7090</v>
      </c>
      <c r="F2224" s="9"/>
      <c r="G2224" s="6"/>
      <c r="H2224" s="11">
        <v>1100.0</v>
      </c>
      <c r="I2224" s="11" t="s">
        <v>7091</v>
      </c>
      <c r="K2224" s="12" t="str">
        <f t="shared" si="286"/>
        <v>KN3817</v>
      </c>
      <c r="M2224" s="2" t="s">
        <v>24</v>
      </c>
      <c r="N2224" s="2" t="s">
        <v>60</v>
      </c>
      <c r="O2224" s="2">
        <v>1.10751038E8</v>
      </c>
      <c r="P2224" s="15" t="str">
        <f>IFERROR(__xludf.DUMMYFUNCTION("CONCATENATE(B2224,"", "", to_text(D2224),"", "", E2224,"", "", H2224)"),"TSV-2601-0108, 8-Jan-2026, UPI/CR/263178853912/VAIBHAV/SBIN/8800274/KN3817, 1100")</f>
        <v>TSV-2601-0108, 8-Jan-2026, UPI/CR/263178853912/VAIBHAV/SBIN/8800274/KN3817, 1100</v>
      </c>
      <c r="Q2224" s="8">
        <v>2026.0</v>
      </c>
      <c r="R2224" s="8" t="s">
        <v>6777</v>
      </c>
    </row>
    <row r="2225">
      <c r="A2225" s="4" t="s">
        <v>18</v>
      </c>
      <c r="B2225" s="2" t="s">
        <v>7092</v>
      </c>
      <c r="C2225" s="5">
        <v>46030.0</v>
      </c>
      <c r="D2225" s="5">
        <v>46030.0</v>
      </c>
      <c r="E2225" s="4" t="s">
        <v>7093</v>
      </c>
      <c r="F2225" s="9"/>
      <c r="G2225" s="6"/>
      <c r="H2225" s="7">
        <v>650.0</v>
      </c>
      <c r="I2225" s="11" t="s">
        <v>7094</v>
      </c>
      <c r="K2225" s="12" t="str">
        <f t="shared" si="286"/>
        <v>SL1610</v>
      </c>
      <c r="L2225" s="2" t="s">
        <v>7095</v>
      </c>
      <c r="M2225" s="2" t="s">
        <v>24</v>
      </c>
      <c r="N2225" s="2" t="s">
        <v>60</v>
      </c>
      <c r="O2225" s="2">
        <v>1.10751038E8</v>
      </c>
      <c r="P2225" s="15"/>
      <c r="Q2225" s="8">
        <v>2026.0</v>
      </c>
      <c r="R2225" s="8" t="s">
        <v>6777</v>
      </c>
    </row>
    <row r="2226">
      <c r="A2226" s="4" t="s">
        <v>18</v>
      </c>
      <c r="B2226" s="2" t="s">
        <v>7096</v>
      </c>
      <c r="C2226" s="5">
        <v>46030.0</v>
      </c>
      <c r="D2226" s="5">
        <v>46030.0</v>
      </c>
      <c r="E2226" s="4" t="s">
        <v>7097</v>
      </c>
      <c r="F2226" s="9"/>
      <c r="G2226" s="6"/>
      <c r="H2226" s="7">
        <v>1.0</v>
      </c>
      <c r="I2226" s="11" t="s">
        <v>7098</v>
      </c>
      <c r="K2226" s="12" t="str">
        <f t="shared" si="286"/>
        <v>SC3567</v>
      </c>
      <c r="M2226" s="2" t="s">
        <v>24</v>
      </c>
      <c r="N2226" s="2" t="s">
        <v>60</v>
      </c>
      <c r="O2226" s="2">
        <v>1.10751038E8</v>
      </c>
      <c r="P2226" s="15" t="str">
        <f>IFERROR(__xludf.DUMMYFUNCTION("CONCATENATE(B2226,"", "", to_text(D2226),"", "", E2226,"", "", H2226)"),"TSV-2601-0110, 8-Jan-2026, UPI/CR/600810829266/MAYANK C/HDFC/9717328/SC3567, 1")</f>
        <v>TSV-2601-0110, 8-Jan-2026, UPI/CR/600810829266/MAYANK C/HDFC/9717328/SC3567, 1</v>
      </c>
      <c r="Q2226" s="8">
        <v>2026.0</v>
      </c>
      <c r="R2226" s="8" t="s">
        <v>6777</v>
      </c>
    </row>
    <row r="2227">
      <c r="A2227" s="4" t="s">
        <v>18</v>
      </c>
      <c r="B2227" s="2" t="s">
        <v>7099</v>
      </c>
      <c r="C2227" s="5">
        <v>46030.0</v>
      </c>
      <c r="D2227" s="5">
        <v>46030.0</v>
      </c>
      <c r="E2227" s="4" t="s">
        <v>7100</v>
      </c>
      <c r="F2227" s="9"/>
      <c r="G2227" s="6"/>
      <c r="H2227" s="11">
        <v>4800.0</v>
      </c>
      <c r="I2227" s="11" t="s">
        <v>7101</v>
      </c>
      <c r="K2227" s="2" t="s">
        <v>539</v>
      </c>
      <c r="M2227" s="2" t="s">
        <v>24</v>
      </c>
      <c r="N2227" s="2" t="s">
        <v>60</v>
      </c>
      <c r="O2227" s="2">
        <v>1.10751038E8</v>
      </c>
      <c r="P2227" s="15" t="str">
        <f>IFERROR(__xludf.DUMMYFUNCTION("CONCATENATE(B2227,"", "", to_text(D2227),"", "", E2227,"", "", H2227)"),"TSV-2601-0111, 8-Jan-2026, UPI/CR/600810841580/MAYANK C/HDFC/9717328/Sent us, 4800")</f>
        <v>TSV-2601-0111, 8-Jan-2026, UPI/CR/600810841580/MAYANK C/HDFC/9717328/Sent us, 4800</v>
      </c>
      <c r="Q2227" s="8">
        <v>2026.0</v>
      </c>
      <c r="R2227" s="8" t="s">
        <v>6777</v>
      </c>
    </row>
    <row r="2228">
      <c r="A2228" s="4" t="s">
        <v>18</v>
      </c>
      <c r="B2228" s="2" t="s">
        <v>7102</v>
      </c>
      <c r="C2228" s="5">
        <v>46030.0</v>
      </c>
      <c r="D2228" s="5">
        <v>46030.0</v>
      </c>
      <c r="E2228" s="4" t="s">
        <v>7103</v>
      </c>
      <c r="F2228" s="9"/>
      <c r="G2228" s="6"/>
      <c r="H2228" s="11">
        <v>1104.0</v>
      </c>
      <c r="I2228" s="11" t="s">
        <v>7104</v>
      </c>
      <c r="K2228" s="12" t="str">
        <f t="shared" ref="K2228:K2232" si="287">RIGHT(E2228,6)</f>
        <v>SL1610</v>
      </c>
      <c r="L2228" s="2" t="s">
        <v>7105</v>
      </c>
      <c r="M2228" s="2" t="s">
        <v>24</v>
      </c>
      <c r="N2228" s="2" t="s">
        <v>60</v>
      </c>
      <c r="O2228" s="2">
        <v>1.10751038E8</v>
      </c>
      <c r="P2228" s="15"/>
      <c r="Q2228" s="8">
        <v>2026.0</v>
      </c>
      <c r="R2228" s="8" t="s">
        <v>6777</v>
      </c>
    </row>
    <row r="2229">
      <c r="A2229" s="4" t="s">
        <v>18</v>
      </c>
      <c r="B2229" s="2" t="s">
        <v>7106</v>
      </c>
      <c r="C2229" s="5">
        <v>46030.0</v>
      </c>
      <c r="D2229" s="5">
        <v>46030.0</v>
      </c>
      <c r="E2229" s="4" t="s">
        <v>7107</v>
      </c>
      <c r="F2229" s="9"/>
      <c r="G2229" s="6"/>
      <c r="H2229" s="7">
        <v>390.0</v>
      </c>
      <c r="I2229" s="11" t="s">
        <v>7108</v>
      </c>
      <c r="K2229" s="12" t="str">
        <f t="shared" si="287"/>
        <v>UN3668</v>
      </c>
      <c r="L2229" s="21" t="s">
        <v>7109</v>
      </c>
      <c r="M2229" s="2" t="s">
        <v>24</v>
      </c>
      <c r="N2229" s="2" t="s">
        <v>60</v>
      </c>
      <c r="O2229" s="2">
        <v>1.10751038E8</v>
      </c>
      <c r="P2229" s="15"/>
      <c r="Q2229" s="8">
        <v>2026.0</v>
      </c>
      <c r="R2229" s="8" t="s">
        <v>6777</v>
      </c>
    </row>
    <row r="2230">
      <c r="A2230" s="4" t="s">
        <v>18</v>
      </c>
      <c r="B2230" s="2" t="s">
        <v>7110</v>
      </c>
      <c r="C2230" s="5">
        <v>46030.0</v>
      </c>
      <c r="D2230" s="5">
        <v>46030.0</v>
      </c>
      <c r="E2230" s="4" t="s">
        <v>7111</v>
      </c>
      <c r="F2230" s="9"/>
      <c r="G2230" s="6"/>
      <c r="H2230" s="11">
        <v>3834.0</v>
      </c>
      <c r="I2230" s="11" t="s">
        <v>7112</v>
      </c>
      <c r="K2230" s="12" t="str">
        <f t="shared" si="287"/>
        <v>SL1610</v>
      </c>
      <c r="L2230" s="2" t="s">
        <v>7113</v>
      </c>
      <c r="M2230" s="2" t="s">
        <v>24</v>
      </c>
      <c r="N2230" s="2" t="s">
        <v>60</v>
      </c>
      <c r="O2230" s="2">
        <v>1.10751038E8</v>
      </c>
      <c r="P2230" s="15"/>
      <c r="Q2230" s="8">
        <v>2026.0</v>
      </c>
      <c r="R2230" s="8" t="s">
        <v>6777</v>
      </c>
    </row>
    <row r="2231">
      <c r="A2231" s="4" t="s">
        <v>18</v>
      </c>
      <c r="B2231" s="2" t="s">
        <v>7114</v>
      </c>
      <c r="C2231" s="5">
        <v>46030.0</v>
      </c>
      <c r="D2231" s="5">
        <v>46030.0</v>
      </c>
      <c r="E2231" s="4" t="s">
        <v>7115</v>
      </c>
      <c r="F2231" s="9"/>
      <c r="G2231" s="6"/>
      <c r="H2231" s="7">
        <v>352.0</v>
      </c>
      <c r="I2231" s="11" t="s">
        <v>7116</v>
      </c>
      <c r="K2231" s="12" t="str">
        <f t="shared" si="287"/>
        <v>SC3567</v>
      </c>
      <c r="M2231" s="2" t="s">
        <v>24</v>
      </c>
      <c r="N2231" s="2" t="s">
        <v>60</v>
      </c>
      <c r="O2231" s="2">
        <v>1.10751038E8</v>
      </c>
      <c r="P2231" s="15" t="str">
        <f>IFERROR(__xludf.DUMMYFUNCTION("CONCATENATE(B2231,"", "", to_text(D2231),"", "", E2231,"", "", H2231)"),"TSV-2601-0115, 8-Jan-2026, UPI/CR/013367238724/HARI KIS/PUNB/oceanof/SC3567, 352")</f>
        <v>TSV-2601-0115, 8-Jan-2026, UPI/CR/013367238724/HARI KIS/PUNB/oceanof/SC3567, 352</v>
      </c>
      <c r="Q2231" s="8">
        <v>2026.0</v>
      </c>
      <c r="R2231" s="8" t="s">
        <v>6777</v>
      </c>
    </row>
    <row r="2232">
      <c r="A2232" s="4" t="s">
        <v>18</v>
      </c>
      <c r="B2232" s="2" t="s">
        <v>7117</v>
      </c>
      <c r="C2232" s="5">
        <v>46030.0</v>
      </c>
      <c r="D2232" s="5">
        <v>46030.0</v>
      </c>
      <c r="E2232" s="4" t="s">
        <v>7118</v>
      </c>
      <c r="F2232" s="9"/>
      <c r="G2232" s="11">
        <v>3483.0</v>
      </c>
      <c r="H2232" s="27"/>
      <c r="I2232" s="11" t="s">
        <v>7119</v>
      </c>
      <c r="J2232" s="2" t="s">
        <v>7120</v>
      </c>
      <c r="K2232" s="12" t="str">
        <f t="shared" si="287"/>
        <v>SC3567</v>
      </c>
      <c r="M2232" s="2" t="s">
        <v>114</v>
      </c>
      <c r="N2232" s="2" t="s">
        <v>169</v>
      </c>
      <c r="O2232" s="2">
        <v>1.10751038E8</v>
      </c>
      <c r="Q2232" s="8">
        <v>2026.0</v>
      </c>
      <c r="R2232" s="8" t="s">
        <v>6777</v>
      </c>
    </row>
    <row r="2233">
      <c r="A2233" s="4" t="s">
        <v>18</v>
      </c>
      <c r="B2233" s="2" t="s">
        <v>7121</v>
      </c>
      <c r="C2233" s="5">
        <v>46030.0</v>
      </c>
      <c r="D2233" s="5">
        <v>46030.0</v>
      </c>
      <c r="E2233" s="4" t="s">
        <v>7122</v>
      </c>
      <c r="F2233" s="9"/>
      <c r="G2233" s="11">
        <v>3258.0</v>
      </c>
      <c r="H2233" s="27"/>
      <c r="I2233" s="11" t="s">
        <v>7123</v>
      </c>
      <c r="J2233" s="2" t="s">
        <v>5693</v>
      </c>
      <c r="K2233" s="2" t="s">
        <v>123</v>
      </c>
      <c r="M2233" s="2" t="s">
        <v>114</v>
      </c>
      <c r="N2233" s="2" t="s">
        <v>169</v>
      </c>
      <c r="O2233" s="2">
        <v>1.10751038E8</v>
      </c>
      <c r="Q2233" s="8">
        <v>2026.0</v>
      </c>
      <c r="R2233" s="8" t="s">
        <v>6777</v>
      </c>
    </row>
    <row r="2234">
      <c r="A2234" s="4" t="s">
        <v>18</v>
      </c>
      <c r="B2234" s="2" t="s">
        <v>7124</v>
      </c>
      <c r="C2234" s="5">
        <v>46030.0</v>
      </c>
      <c r="D2234" s="5">
        <v>46030.0</v>
      </c>
      <c r="E2234" s="4" t="s">
        <v>7125</v>
      </c>
      <c r="F2234" s="9"/>
      <c r="G2234" s="11">
        <v>4650.0</v>
      </c>
      <c r="H2234" s="27"/>
      <c r="I2234" s="11" t="s">
        <v>7126</v>
      </c>
      <c r="J2234" s="2" t="s">
        <v>6059</v>
      </c>
      <c r="K2234" s="12" t="str">
        <f t="shared" ref="K2234:K2250" si="288">RIGHT(E2234,6)</f>
        <v>SL1610</v>
      </c>
      <c r="M2234" s="2" t="s">
        <v>114</v>
      </c>
      <c r="N2234" s="2" t="s">
        <v>169</v>
      </c>
      <c r="O2234" s="2">
        <v>1.10751038E8</v>
      </c>
      <c r="Q2234" s="8">
        <v>2026.0</v>
      </c>
      <c r="R2234" s="8" t="s">
        <v>6777</v>
      </c>
    </row>
    <row r="2235">
      <c r="A2235" s="4" t="s">
        <v>18</v>
      </c>
      <c r="B2235" s="2" t="s">
        <v>7127</v>
      </c>
      <c r="C2235" s="5">
        <v>46030.0</v>
      </c>
      <c r="D2235" s="5">
        <v>46030.0</v>
      </c>
      <c r="E2235" s="4" t="s">
        <v>7128</v>
      </c>
      <c r="F2235" s="9"/>
      <c r="G2235" s="11">
        <v>17000.0</v>
      </c>
      <c r="H2235" s="27"/>
      <c r="I2235" s="11" t="s">
        <v>7129</v>
      </c>
      <c r="J2235" s="2" t="s">
        <v>2352</v>
      </c>
      <c r="K2235" s="12" t="str">
        <f t="shared" si="288"/>
        <v>KN3817</v>
      </c>
      <c r="M2235" s="2" t="s">
        <v>114</v>
      </c>
      <c r="N2235" s="2" t="s">
        <v>169</v>
      </c>
      <c r="O2235" s="2">
        <v>1.10751038E8</v>
      </c>
      <c r="Q2235" s="8">
        <v>2026.0</v>
      </c>
      <c r="R2235" s="8" t="s">
        <v>6777</v>
      </c>
    </row>
    <row r="2236">
      <c r="A2236" s="4" t="s">
        <v>18</v>
      </c>
      <c r="B2236" s="2" t="s">
        <v>7130</v>
      </c>
      <c r="C2236" s="5">
        <v>46030.0</v>
      </c>
      <c r="D2236" s="5">
        <v>46030.0</v>
      </c>
      <c r="E2236" s="4" t="s">
        <v>7131</v>
      </c>
      <c r="F2236" s="9"/>
      <c r="G2236" s="11">
        <v>18683.0</v>
      </c>
      <c r="H2236" s="27"/>
      <c r="I2236" s="11" t="s">
        <v>7132</v>
      </c>
      <c r="J2236" s="2" t="s">
        <v>2406</v>
      </c>
      <c r="K2236" s="12" t="str">
        <f t="shared" si="288"/>
        <v>SL1610</v>
      </c>
      <c r="M2236" s="2" t="s">
        <v>114</v>
      </c>
      <c r="N2236" s="2" t="s">
        <v>169</v>
      </c>
      <c r="O2236" s="2">
        <v>1.10751038E8</v>
      </c>
      <c r="Q2236" s="8">
        <v>2026.0</v>
      </c>
      <c r="R2236" s="8" t="s">
        <v>6777</v>
      </c>
    </row>
    <row r="2237">
      <c r="A2237" s="4" t="s">
        <v>18</v>
      </c>
      <c r="B2237" s="2" t="s">
        <v>7133</v>
      </c>
      <c r="C2237" s="5">
        <v>46030.0</v>
      </c>
      <c r="D2237" s="5">
        <v>46030.0</v>
      </c>
      <c r="E2237" s="4" t="s">
        <v>7134</v>
      </c>
      <c r="F2237" s="9"/>
      <c r="G2237" s="11">
        <v>12000.0</v>
      </c>
      <c r="H2237" s="27"/>
      <c r="I2237" s="11" t="s">
        <v>7135</v>
      </c>
      <c r="J2237" s="2" t="s">
        <v>5690</v>
      </c>
      <c r="K2237" s="12" t="str">
        <f t="shared" si="288"/>
        <v>UN3668</v>
      </c>
      <c r="M2237" s="2" t="s">
        <v>114</v>
      </c>
      <c r="N2237" s="2" t="s">
        <v>169</v>
      </c>
      <c r="O2237" s="2">
        <v>1.10751038E8</v>
      </c>
      <c r="Q2237" s="8">
        <v>2026.0</v>
      </c>
      <c r="R2237" s="8" t="s">
        <v>6777</v>
      </c>
    </row>
    <row r="2238">
      <c r="A2238" s="4" t="s">
        <v>18</v>
      </c>
      <c r="B2238" s="2" t="s">
        <v>7136</v>
      </c>
      <c r="C2238" s="5">
        <v>46030.0</v>
      </c>
      <c r="D2238" s="5">
        <v>46030.0</v>
      </c>
      <c r="E2238" s="4" t="s">
        <v>7137</v>
      </c>
      <c r="F2238" s="9"/>
      <c r="G2238" s="11">
        <v>10000.0</v>
      </c>
      <c r="H2238" s="27"/>
      <c r="I2238" s="11" t="s">
        <v>7138</v>
      </c>
      <c r="J2238" s="2" t="s">
        <v>7139</v>
      </c>
      <c r="K2238" s="12" t="str">
        <f t="shared" si="288"/>
        <v>TSV001</v>
      </c>
      <c r="M2238" s="2" t="s">
        <v>114</v>
      </c>
      <c r="N2238" s="2" t="s">
        <v>169</v>
      </c>
      <c r="O2238" s="2">
        <v>1.10751038E8</v>
      </c>
      <c r="Q2238" s="8">
        <v>2026.0</v>
      </c>
      <c r="R2238" s="8" t="s">
        <v>6777</v>
      </c>
    </row>
    <row r="2239">
      <c r="A2239" s="4" t="s">
        <v>18</v>
      </c>
      <c r="B2239" s="2" t="s">
        <v>7140</v>
      </c>
      <c r="C2239" s="5">
        <v>46030.0</v>
      </c>
      <c r="D2239" s="5">
        <v>46030.0</v>
      </c>
      <c r="E2239" s="4" t="s">
        <v>7141</v>
      </c>
      <c r="F2239" s="9"/>
      <c r="G2239" s="11">
        <v>9000.0</v>
      </c>
      <c r="H2239" s="27"/>
      <c r="I2239" s="11" t="s">
        <v>7142</v>
      </c>
      <c r="J2239" s="2" t="s">
        <v>7143</v>
      </c>
      <c r="K2239" s="12" t="str">
        <f t="shared" si="288"/>
        <v>TSV001</v>
      </c>
      <c r="M2239" s="2" t="s">
        <v>114</v>
      </c>
      <c r="N2239" s="2" t="s">
        <v>169</v>
      </c>
      <c r="O2239" s="2">
        <v>1.10751038E8</v>
      </c>
      <c r="Q2239" s="8">
        <v>2026.0</v>
      </c>
      <c r="R2239" s="8" t="s">
        <v>6777</v>
      </c>
    </row>
    <row r="2240">
      <c r="A2240" s="4" t="s">
        <v>18</v>
      </c>
      <c r="B2240" s="2" t="s">
        <v>7144</v>
      </c>
      <c r="C2240" s="5">
        <v>46030.0</v>
      </c>
      <c r="D2240" s="5">
        <v>46030.0</v>
      </c>
      <c r="E2240" s="4" t="s">
        <v>7145</v>
      </c>
      <c r="F2240" s="9"/>
      <c r="G2240" s="11">
        <v>10000.0</v>
      </c>
      <c r="H2240" s="27"/>
      <c r="I2240" s="11" t="s">
        <v>7146</v>
      </c>
      <c r="J2240" s="2" t="s">
        <v>7147</v>
      </c>
      <c r="K2240" s="12" t="str">
        <f t="shared" si="288"/>
        <v>TSV001</v>
      </c>
      <c r="M2240" s="2" t="s">
        <v>114</v>
      </c>
      <c r="N2240" s="2" t="s">
        <v>169</v>
      </c>
      <c r="O2240" s="2">
        <v>1.10751038E8</v>
      </c>
      <c r="Q2240" s="8">
        <v>2026.0</v>
      </c>
      <c r="R2240" s="8" t="s">
        <v>6777</v>
      </c>
    </row>
    <row r="2241">
      <c r="A2241" s="4" t="s">
        <v>18</v>
      </c>
      <c r="B2241" s="2" t="s">
        <v>7148</v>
      </c>
      <c r="C2241" s="5">
        <v>46030.0</v>
      </c>
      <c r="D2241" s="5">
        <v>46030.0</v>
      </c>
      <c r="E2241" s="4" t="s">
        <v>7149</v>
      </c>
      <c r="F2241" s="9"/>
      <c r="G2241" s="11">
        <v>21000.0</v>
      </c>
      <c r="H2241" s="27"/>
      <c r="I2241" s="11" t="s">
        <v>7150</v>
      </c>
      <c r="J2241" s="2" t="s">
        <v>7151</v>
      </c>
      <c r="K2241" s="12" t="str">
        <f t="shared" si="288"/>
        <v>TSV001</v>
      </c>
      <c r="M2241" s="2" t="s">
        <v>114</v>
      </c>
      <c r="N2241" s="2" t="s">
        <v>169</v>
      </c>
      <c r="O2241" s="2">
        <v>1.10751038E8</v>
      </c>
      <c r="Q2241" s="8">
        <v>2026.0</v>
      </c>
      <c r="R2241" s="8" t="s">
        <v>6777</v>
      </c>
    </row>
    <row r="2242">
      <c r="A2242" s="4" t="s">
        <v>18</v>
      </c>
      <c r="B2242" s="2" t="s">
        <v>7152</v>
      </c>
      <c r="C2242" s="5">
        <v>46030.0</v>
      </c>
      <c r="D2242" s="5">
        <v>46030.0</v>
      </c>
      <c r="E2242" s="4" t="s">
        <v>7153</v>
      </c>
      <c r="F2242" s="9"/>
      <c r="G2242" s="11">
        <v>8400.0</v>
      </c>
      <c r="H2242" s="27"/>
      <c r="I2242" s="11" t="s">
        <v>7154</v>
      </c>
      <c r="J2242" s="2" t="s">
        <v>7155</v>
      </c>
      <c r="K2242" s="12" t="str">
        <f t="shared" si="288"/>
        <v>KN3817</v>
      </c>
      <c r="M2242" s="2" t="s">
        <v>114</v>
      </c>
      <c r="N2242" s="2" t="s">
        <v>169</v>
      </c>
      <c r="O2242" s="2">
        <v>1.10751038E8</v>
      </c>
      <c r="Q2242" s="8">
        <v>2026.0</v>
      </c>
      <c r="R2242" s="8" t="s">
        <v>6777</v>
      </c>
    </row>
    <row r="2243">
      <c r="A2243" s="4" t="s">
        <v>18</v>
      </c>
      <c r="B2243" s="2" t="s">
        <v>7156</v>
      </c>
      <c r="C2243" s="5">
        <v>46030.0</v>
      </c>
      <c r="D2243" s="5">
        <v>46030.0</v>
      </c>
      <c r="E2243" s="4" t="s">
        <v>7157</v>
      </c>
      <c r="F2243" s="9"/>
      <c r="G2243" s="11">
        <v>3800.0</v>
      </c>
      <c r="H2243" s="27"/>
      <c r="I2243" s="11" t="s">
        <v>7158</v>
      </c>
      <c r="J2243" s="2" t="s">
        <v>7159</v>
      </c>
      <c r="K2243" s="12" t="str">
        <f t="shared" si="288"/>
        <v>UN3668</v>
      </c>
      <c r="M2243" s="2" t="s">
        <v>114</v>
      </c>
      <c r="N2243" s="2" t="s">
        <v>169</v>
      </c>
      <c r="O2243" s="2">
        <v>1.10751038E8</v>
      </c>
      <c r="Q2243" s="8">
        <v>2026.0</v>
      </c>
      <c r="R2243" s="8" t="s">
        <v>6777</v>
      </c>
    </row>
    <row r="2244">
      <c r="A2244" s="4" t="s">
        <v>18</v>
      </c>
      <c r="B2244" s="2" t="s">
        <v>7160</v>
      </c>
      <c r="C2244" s="5">
        <v>46030.0</v>
      </c>
      <c r="D2244" s="5">
        <v>46030.0</v>
      </c>
      <c r="E2244" s="4" t="s">
        <v>7161</v>
      </c>
      <c r="F2244" s="9"/>
      <c r="G2244" s="11">
        <v>8867.0</v>
      </c>
      <c r="H2244" s="27"/>
      <c r="I2244" s="11" t="s">
        <v>7162</v>
      </c>
      <c r="J2244" s="2" t="s">
        <v>7163</v>
      </c>
      <c r="K2244" s="12" t="str">
        <f t="shared" si="288"/>
        <v>UN3668</v>
      </c>
      <c r="M2244" s="2" t="s">
        <v>114</v>
      </c>
      <c r="N2244" s="2" t="s">
        <v>169</v>
      </c>
      <c r="O2244" s="2">
        <v>1.10751038E8</v>
      </c>
      <c r="Q2244" s="8">
        <v>2026.0</v>
      </c>
      <c r="R2244" s="8" t="s">
        <v>6777</v>
      </c>
    </row>
    <row r="2245">
      <c r="A2245" s="4" t="s">
        <v>18</v>
      </c>
      <c r="B2245" s="2" t="s">
        <v>7164</v>
      </c>
      <c r="C2245" s="5">
        <v>46030.0</v>
      </c>
      <c r="D2245" s="5">
        <v>46030.0</v>
      </c>
      <c r="E2245" s="4" t="s">
        <v>7165</v>
      </c>
      <c r="F2245" s="9"/>
      <c r="G2245" s="11">
        <v>14850.0</v>
      </c>
      <c r="H2245" s="27"/>
      <c r="I2245" s="11" t="s">
        <v>7166</v>
      </c>
      <c r="J2245" s="2" t="s">
        <v>5747</v>
      </c>
      <c r="K2245" s="12" t="str">
        <f t="shared" si="288"/>
        <v>KN3817</v>
      </c>
      <c r="M2245" s="2" t="s">
        <v>114</v>
      </c>
      <c r="N2245" s="2" t="s">
        <v>169</v>
      </c>
      <c r="O2245" s="2">
        <v>1.10751038E8</v>
      </c>
      <c r="Q2245" s="8">
        <v>2026.0</v>
      </c>
      <c r="R2245" s="8" t="s">
        <v>6777</v>
      </c>
    </row>
    <row r="2246">
      <c r="A2246" s="4" t="s">
        <v>18</v>
      </c>
      <c r="B2246" s="2" t="s">
        <v>7167</v>
      </c>
      <c r="C2246" s="5">
        <v>46030.0</v>
      </c>
      <c r="D2246" s="5">
        <v>46030.0</v>
      </c>
      <c r="E2246" s="4" t="s">
        <v>7168</v>
      </c>
      <c r="F2246" s="9"/>
      <c r="G2246" s="11">
        <v>8275.0</v>
      </c>
      <c r="H2246" s="27"/>
      <c r="I2246" s="11" t="s">
        <v>7169</v>
      </c>
      <c r="J2246" s="2" t="s">
        <v>7170</v>
      </c>
      <c r="K2246" s="12" t="str">
        <f t="shared" si="288"/>
        <v>SC3567</v>
      </c>
      <c r="M2246" s="2" t="s">
        <v>114</v>
      </c>
      <c r="N2246" s="2" t="s">
        <v>169</v>
      </c>
      <c r="O2246" s="2">
        <v>1.10751038E8</v>
      </c>
      <c r="Q2246" s="8">
        <v>2026.0</v>
      </c>
      <c r="R2246" s="8" t="s">
        <v>6777</v>
      </c>
    </row>
    <row r="2247">
      <c r="A2247" s="4" t="s">
        <v>18</v>
      </c>
      <c r="B2247" s="2" t="s">
        <v>7171</v>
      </c>
      <c r="C2247" s="5">
        <v>46030.0</v>
      </c>
      <c r="D2247" s="5">
        <v>46030.0</v>
      </c>
      <c r="E2247" s="4" t="s">
        <v>7172</v>
      </c>
      <c r="F2247" s="9"/>
      <c r="G2247" s="11">
        <v>15400.0</v>
      </c>
      <c r="H2247" s="27"/>
      <c r="I2247" s="11">
        <v>86758.67</v>
      </c>
      <c r="J2247" s="2" t="s">
        <v>4137</v>
      </c>
      <c r="K2247" s="12" t="str">
        <f t="shared" si="288"/>
        <v>UN3668</v>
      </c>
      <c r="M2247" s="2" t="s">
        <v>114</v>
      </c>
      <c r="N2247" s="2" t="s">
        <v>169</v>
      </c>
      <c r="O2247" s="2">
        <v>1.10751038E8</v>
      </c>
      <c r="Q2247" s="8">
        <v>2026.0</v>
      </c>
      <c r="R2247" s="8" t="s">
        <v>6777</v>
      </c>
    </row>
    <row r="2248">
      <c r="A2248" s="4" t="s">
        <v>18</v>
      </c>
      <c r="B2248" s="2" t="s">
        <v>7173</v>
      </c>
      <c r="C2248" s="5">
        <v>46030.0</v>
      </c>
      <c r="D2248" s="5">
        <v>46030.0</v>
      </c>
      <c r="E2248" s="4" t="s">
        <v>7174</v>
      </c>
      <c r="F2248" s="9"/>
      <c r="G2248" s="11">
        <v>4400.0</v>
      </c>
      <c r="H2248" s="27"/>
      <c r="I2248" s="11">
        <v>82358.67</v>
      </c>
      <c r="J2248" s="2" t="s">
        <v>6089</v>
      </c>
      <c r="K2248" s="12" t="str">
        <f t="shared" si="288"/>
        <v>KN3817</v>
      </c>
      <c r="M2248" s="2" t="s">
        <v>114</v>
      </c>
      <c r="N2248" s="2" t="s">
        <v>169</v>
      </c>
      <c r="O2248" s="2">
        <v>1.10751038E8</v>
      </c>
      <c r="Q2248" s="8">
        <v>2026.0</v>
      </c>
      <c r="R2248" s="8" t="s">
        <v>6777</v>
      </c>
    </row>
    <row r="2249">
      <c r="A2249" s="4" t="s">
        <v>18</v>
      </c>
      <c r="B2249" s="2" t="s">
        <v>7175</v>
      </c>
      <c r="C2249" s="5">
        <v>46030.0</v>
      </c>
      <c r="D2249" s="5">
        <v>46030.0</v>
      </c>
      <c r="E2249" s="4" t="s">
        <v>7176</v>
      </c>
      <c r="F2249" s="9"/>
      <c r="G2249" s="11">
        <v>18850.0</v>
      </c>
      <c r="H2249" s="27"/>
      <c r="I2249" s="11">
        <v>63508.67</v>
      </c>
      <c r="J2249" s="2" t="s">
        <v>7177</v>
      </c>
      <c r="K2249" s="12" t="str">
        <f t="shared" si="288"/>
        <v>SL1610</v>
      </c>
      <c r="M2249" s="2" t="s">
        <v>114</v>
      </c>
      <c r="N2249" s="2" t="s">
        <v>169</v>
      </c>
      <c r="O2249" s="2">
        <v>1.10751038E8</v>
      </c>
      <c r="Q2249" s="8">
        <v>2026.0</v>
      </c>
      <c r="R2249" s="8" t="s">
        <v>6777</v>
      </c>
    </row>
    <row r="2250">
      <c r="A2250" s="4" t="s">
        <v>18</v>
      </c>
      <c r="B2250" s="2" t="s">
        <v>7178</v>
      </c>
      <c r="C2250" s="5">
        <v>46030.0</v>
      </c>
      <c r="D2250" s="5">
        <v>46030.0</v>
      </c>
      <c r="E2250" s="4" t="s">
        <v>7179</v>
      </c>
      <c r="F2250" s="9"/>
      <c r="G2250" s="11">
        <v>15500.0</v>
      </c>
      <c r="H2250" s="27"/>
      <c r="I2250" s="11">
        <v>48008.67</v>
      </c>
      <c r="J2250" s="2" t="s">
        <v>5696</v>
      </c>
      <c r="K2250" s="12" t="str">
        <f t="shared" si="288"/>
        <v>KN3817</v>
      </c>
      <c r="M2250" s="2" t="s">
        <v>114</v>
      </c>
      <c r="N2250" s="2" t="s">
        <v>169</v>
      </c>
      <c r="O2250" s="2">
        <v>1.10751038E8</v>
      </c>
      <c r="Q2250" s="8">
        <v>2026.0</v>
      </c>
      <c r="R2250" s="8" t="s">
        <v>6777</v>
      </c>
    </row>
    <row r="2251">
      <c r="A2251" s="4" t="s">
        <v>18</v>
      </c>
      <c r="B2251" s="2" t="s">
        <v>7180</v>
      </c>
      <c r="C2251" s="5">
        <v>46030.0</v>
      </c>
      <c r="D2251" s="5">
        <v>46030.0</v>
      </c>
      <c r="E2251" s="4" t="s">
        <v>7181</v>
      </c>
      <c r="F2251" s="9"/>
      <c r="G2251" s="11">
        <v>12833.0</v>
      </c>
      <c r="H2251" s="27"/>
      <c r="I2251" s="11">
        <v>35175.67</v>
      </c>
      <c r="J2251" s="2" t="s">
        <v>5912</v>
      </c>
      <c r="K2251" s="2" t="s">
        <v>127</v>
      </c>
      <c r="M2251" s="2" t="s">
        <v>114</v>
      </c>
      <c r="N2251" s="2" t="s">
        <v>169</v>
      </c>
      <c r="O2251" s="2">
        <v>1.10751038E8</v>
      </c>
      <c r="Q2251" s="8">
        <v>2026.0</v>
      </c>
      <c r="R2251" s="8" t="s">
        <v>6777</v>
      </c>
    </row>
    <row r="2252">
      <c r="A2252" s="4" t="s">
        <v>18</v>
      </c>
      <c r="B2252" s="2" t="s">
        <v>7182</v>
      </c>
      <c r="C2252" s="5">
        <v>46030.0</v>
      </c>
      <c r="D2252" s="5">
        <v>46030.0</v>
      </c>
      <c r="E2252" s="4" t="s">
        <v>7183</v>
      </c>
      <c r="F2252" s="9"/>
      <c r="G2252" s="6"/>
      <c r="H2252" s="11">
        <v>8867.0</v>
      </c>
      <c r="I2252" s="11">
        <v>44042.67</v>
      </c>
      <c r="K2252" s="2" t="s">
        <v>23</v>
      </c>
      <c r="M2252" s="2" t="s">
        <v>24</v>
      </c>
      <c r="N2252" s="2" t="s">
        <v>195</v>
      </c>
      <c r="O2252" s="2">
        <v>1.10751038E8</v>
      </c>
      <c r="Q2252" s="8">
        <v>2026.0</v>
      </c>
      <c r="R2252" s="8" t="s">
        <v>6777</v>
      </c>
    </row>
    <row r="2253">
      <c r="A2253" s="4" t="s">
        <v>18</v>
      </c>
      <c r="B2253" s="2" t="s">
        <v>7184</v>
      </c>
      <c r="C2253" s="5">
        <v>46030.0</v>
      </c>
      <c r="D2253" s="5">
        <v>46030.0</v>
      </c>
      <c r="E2253" s="4" t="s">
        <v>7185</v>
      </c>
      <c r="F2253" s="9"/>
      <c r="G2253" s="6"/>
      <c r="H2253" s="11">
        <v>18850.0</v>
      </c>
      <c r="I2253" s="11">
        <v>62892.67</v>
      </c>
      <c r="K2253" s="2" t="s">
        <v>23</v>
      </c>
      <c r="M2253" s="2" t="s">
        <v>24</v>
      </c>
      <c r="N2253" s="2" t="s">
        <v>195</v>
      </c>
      <c r="O2253" s="2">
        <v>1.10751038E8</v>
      </c>
      <c r="Q2253" s="8">
        <v>2026.0</v>
      </c>
      <c r="R2253" s="8" t="s">
        <v>6777</v>
      </c>
    </row>
    <row r="2254">
      <c r="A2254" s="4" t="s">
        <v>18</v>
      </c>
      <c r="B2254" s="2" t="s">
        <v>7186</v>
      </c>
      <c r="C2254" s="5">
        <v>46030.0</v>
      </c>
      <c r="D2254" s="5">
        <v>46030.0</v>
      </c>
      <c r="E2254" s="4" t="s">
        <v>7187</v>
      </c>
      <c r="F2254" s="9"/>
      <c r="G2254" s="6"/>
      <c r="H2254" s="11">
        <v>12000.0</v>
      </c>
      <c r="I2254" s="11">
        <v>74892.67</v>
      </c>
      <c r="K2254" s="2" t="s">
        <v>23</v>
      </c>
      <c r="M2254" s="2" t="s">
        <v>24</v>
      </c>
      <c r="N2254" s="2" t="s">
        <v>195</v>
      </c>
      <c r="O2254" s="2">
        <v>1.10751038E8</v>
      </c>
      <c r="Q2254" s="8">
        <v>2026.0</v>
      </c>
      <c r="R2254" s="8" t="s">
        <v>6777</v>
      </c>
    </row>
    <row r="2255">
      <c r="A2255" s="4" t="s">
        <v>18</v>
      </c>
      <c r="B2255" s="2" t="s">
        <v>7188</v>
      </c>
      <c r="C2255" s="5">
        <v>46030.0</v>
      </c>
      <c r="D2255" s="5">
        <v>46030.0</v>
      </c>
      <c r="E2255" s="4" t="s">
        <v>7189</v>
      </c>
      <c r="F2255" s="9"/>
      <c r="G2255" s="6"/>
      <c r="H2255" s="11">
        <v>3800.0</v>
      </c>
      <c r="I2255" s="11">
        <v>78692.67</v>
      </c>
      <c r="K2255" s="2" t="s">
        <v>23</v>
      </c>
      <c r="M2255" s="2" t="s">
        <v>24</v>
      </c>
      <c r="N2255" s="2" t="s">
        <v>195</v>
      </c>
      <c r="O2255" s="2">
        <v>1.10751038E8</v>
      </c>
      <c r="Q2255" s="8">
        <v>2026.0</v>
      </c>
      <c r="R2255" s="8" t="s">
        <v>6777</v>
      </c>
    </row>
    <row r="2256">
      <c r="A2256" s="4" t="s">
        <v>18</v>
      </c>
      <c r="B2256" s="2" t="s">
        <v>7190</v>
      </c>
      <c r="C2256" s="5">
        <v>46030.0</v>
      </c>
      <c r="D2256" s="5">
        <v>46030.0</v>
      </c>
      <c r="E2256" s="4" t="s">
        <v>7191</v>
      </c>
      <c r="F2256" s="9"/>
      <c r="G2256" s="6"/>
      <c r="H2256" s="11">
        <v>15500.0</v>
      </c>
      <c r="I2256" s="11">
        <v>94192.67</v>
      </c>
      <c r="K2256" s="2" t="s">
        <v>23</v>
      </c>
      <c r="M2256" s="2" t="s">
        <v>24</v>
      </c>
      <c r="N2256" s="2" t="s">
        <v>195</v>
      </c>
      <c r="O2256" s="2">
        <v>1.10751038E8</v>
      </c>
      <c r="Q2256" s="8">
        <v>2026.0</v>
      </c>
      <c r="R2256" s="8" t="s">
        <v>6777</v>
      </c>
    </row>
    <row r="2257">
      <c r="A2257" s="4" t="s">
        <v>18</v>
      </c>
      <c r="B2257" s="2" t="s">
        <v>7192</v>
      </c>
      <c r="C2257" s="5">
        <v>46030.0</v>
      </c>
      <c r="D2257" s="5">
        <v>46030.0</v>
      </c>
      <c r="E2257" s="4" t="s">
        <v>7193</v>
      </c>
      <c r="F2257" s="9"/>
      <c r="G2257" s="6"/>
      <c r="H2257" s="11">
        <v>17000.0</v>
      </c>
      <c r="I2257" s="11" t="s">
        <v>7194</v>
      </c>
      <c r="K2257" s="2" t="s">
        <v>23</v>
      </c>
      <c r="M2257" s="2" t="s">
        <v>24</v>
      </c>
      <c r="N2257" s="2" t="s">
        <v>195</v>
      </c>
      <c r="O2257" s="2">
        <v>1.10751038E8</v>
      </c>
      <c r="Q2257" s="8">
        <v>2026.0</v>
      </c>
      <c r="R2257" s="8" t="s">
        <v>6777</v>
      </c>
    </row>
    <row r="2258">
      <c r="A2258" s="4" t="s">
        <v>18</v>
      </c>
      <c r="B2258" s="2" t="s">
        <v>7195</v>
      </c>
      <c r="C2258" s="5">
        <v>46030.0</v>
      </c>
      <c r="D2258" s="5">
        <v>46030.0</v>
      </c>
      <c r="E2258" s="4" t="s">
        <v>7196</v>
      </c>
      <c r="F2258" s="9"/>
      <c r="G2258" s="7">
        <v>300.0</v>
      </c>
      <c r="H2258" s="27"/>
      <c r="I2258" s="11" t="s">
        <v>7197</v>
      </c>
      <c r="J2258" s="2" t="s">
        <v>7198</v>
      </c>
      <c r="K2258" s="2" t="s">
        <v>113</v>
      </c>
      <c r="M2258" s="2" t="s">
        <v>114</v>
      </c>
      <c r="N2258" s="2" t="s">
        <v>385</v>
      </c>
      <c r="O2258" s="2">
        <v>1.10751038E8</v>
      </c>
      <c r="Q2258" s="8">
        <v>2026.0</v>
      </c>
      <c r="R2258" s="8" t="s">
        <v>6777</v>
      </c>
    </row>
    <row r="2259">
      <c r="A2259" s="4" t="s">
        <v>18</v>
      </c>
      <c r="B2259" s="2" t="s">
        <v>7199</v>
      </c>
      <c r="C2259" s="5">
        <v>46030.0</v>
      </c>
      <c r="D2259" s="5">
        <v>46030.0</v>
      </c>
      <c r="E2259" s="4" t="s">
        <v>7200</v>
      </c>
      <c r="F2259" s="9"/>
      <c r="G2259" s="6"/>
      <c r="H2259" s="11">
        <v>8400.0</v>
      </c>
      <c r="I2259" s="11" t="s">
        <v>7201</v>
      </c>
      <c r="K2259" s="2" t="s">
        <v>23</v>
      </c>
      <c r="M2259" s="2" t="s">
        <v>24</v>
      </c>
      <c r="N2259" s="2" t="s">
        <v>195</v>
      </c>
      <c r="O2259" s="2">
        <v>1.10751038E8</v>
      </c>
      <c r="Q2259" s="8">
        <v>2026.0</v>
      </c>
      <c r="R2259" s="8" t="s">
        <v>6777</v>
      </c>
    </row>
    <row r="2260">
      <c r="A2260" s="4" t="s">
        <v>18</v>
      </c>
      <c r="B2260" s="2" t="s">
        <v>7202</v>
      </c>
      <c r="C2260" s="5">
        <v>46031.0</v>
      </c>
      <c r="D2260" s="5">
        <v>46031.0</v>
      </c>
      <c r="E2260" s="4" t="s">
        <v>7203</v>
      </c>
      <c r="F2260" s="9"/>
      <c r="G2260" s="6"/>
      <c r="H2260" s="7">
        <v>943.0</v>
      </c>
      <c r="I2260" s="11" t="s">
        <v>7204</v>
      </c>
      <c r="K2260" s="12" t="str">
        <f>RIGHT(E2260,6)</f>
        <v>SC3567</v>
      </c>
      <c r="M2260" s="2" t="s">
        <v>24</v>
      </c>
      <c r="N2260" s="2" t="s">
        <v>60</v>
      </c>
      <c r="O2260" s="2">
        <v>1.10751038E8</v>
      </c>
      <c r="P2260" s="15" t="str">
        <f>IFERROR(__xludf.DUMMYFUNCTION("CONCATENATE(B2260,"", "", to_text(D2260),"", "", E2260,"", "", H2260)"),"TSV-2601-0144, 9-Jan-2026, UPI/CR/697064597620/PRATEEKS/ICIC/8447592/SC3567, 943")</f>
        <v>TSV-2601-0144, 9-Jan-2026, UPI/CR/697064597620/PRATEEKS/ICIC/8447592/SC3567, 943</v>
      </c>
      <c r="Q2260" s="8">
        <v>2026.0</v>
      </c>
      <c r="R2260" s="8" t="s">
        <v>6777</v>
      </c>
    </row>
    <row r="2261">
      <c r="A2261" s="4" t="s">
        <v>18</v>
      </c>
      <c r="B2261" s="2" t="s">
        <v>7205</v>
      </c>
      <c r="C2261" s="5">
        <v>46031.0</v>
      </c>
      <c r="D2261" s="5">
        <v>46031.0</v>
      </c>
      <c r="E2261" s="4" t="s">
        <v>7206</v>
      </c>
      <c r="F2261" s="9"/>
      <c r="G2261" s="11">
        <v>15500.0</v>
      </c>
      <c r="H2261" s="27"/>
      <c r="I2261" s="11" t="s">
        <v>7207</v>
      </c>
      <c r="J2261" s="2" t="s">
        <v>5696</v>
      </c>
      <c r="K2261" s="2" t="s">
        <v>119</v>
      </c>
      <c r="M2261" s="2" t="s">
        <v>114</v>
      </c>
      <c r="N2261" s="2" t="s">
        <v>169</v>
      </c>
      <c r="O2261" s="2">
        <v>1.10751038E8</v>
      </c>
      <c r="Q2261" s="8">
        <v>2026.0</v>
      </c>
      <c r="R2261" s="8" t="s">
        <v>6777</v>
      </c>
    </row>
    <row r="2262">
      <c r="A2262" s="4" t="s">
        <v>18</v>
      </c>
      <c r="B2262" s="2" t="s">
        <v>7208</v>
      </c>
      <c r="C2262" s="5">
        <v>46031.0</v>
      </c>
      <c r="D2262" s="5">
        <v>46031.0</v>
      </c>
      <c r="E2262" s="4" t="s">
        <v>7209</v>
      </c>
      <c r="F2262" s="9"/>
      <c r="G2262" s="11">
        <v>8400.0</v>
      </c>
      <c r="H2262" s="27"/>
      <c r="I2262" s="11">
        <v>96335.67</v>
      </c>
      <c r="J2262" s="2" t="s">
        <v>7155</v>
      </c>
      <c r="K2262" s="2" t="s">
        <v>119</v>
      </c>
      <c r="M2262" s="2" t="s">
        <v>114</v>
      </c>
      <c r="N2262" s="2" t="s">
        <v>169</v>
      </c>
      <c r="O2262" s="2">
        <v>1.10751038E8</v>
      </c>
      <c r="Q2262" s="8">
        <v>2026.0</v>
      </c>
      <c r="R2262" s="8" t="s">
        <v>6777</v>
      </c>
    </row>
    <row r="2263">
      <c r="A2263" s="4" t="s">
        <v>18</v>
      </c>
      <c r="B2263" s="2" t="s">
        <v>7210</v>
      </c>
      <c r="C2263" s="5">
        <v>46031.0</v>
      </c>
      <c r="D2263" s="5">
        <v>46031.0</v>
      </c>
      <c r="E2263" s="4" t="s">
        <v>7211</v>
      </c>
      <c r="F2263" s="9"/>
      <c r="G2263" s="11">
        <v>12000.0</v>
      </c>
      <c r="H2263" s="27"/>
      <c r="I2263" s="11">
        <v>84335.67</v>
      </c>
      <c r="J2263" s="2" t="s">
        <v>5690</v>
      </c>
      <c r="K2263" s="2" t="s">
        <v>127</v>
      </c>
      <c r="M2263" s="2" t="s">
        <v>114</v>
      </c>
      <c r="N2263" s="2" t="s">
        <v>169</v>
      </c>
      <c r="O2263" s="2">
        <v>1.10751038E8</v>
      </c>
      <c r="Q2263" s="8">
        <v>2026.0</v>
      </c>
      <c r="R2263" s="8" t="s">
        <v>6777</v>
      </c>
    </row>
    <row r="2264">
      <c r="A2264" s="4" t="s">
        <v>18</v>
      </c>
      <c r="B2264" s="2" t="s">
        <v>7212</v>
      </c>
      <c r="C2264" s="5">
        <v>46031.0</v>
      </c>
      <c r="D2264" s="5">
        <v>46031.0</v>
      </c>
      <c r="E2264" s="4" t="s">
        <v>7213</v>
      </c>
      <c r="F2264" s="9"/>
      <c r="G2264" s="11">
        <v>8867.0</v>
      </c>
      <c r="H2264" s="27"/>
      <c r="I2264" s="11">
        <v>75468.67</v>
      </c>
      <c r="J2264" s="2" t="s">
        <v>7163</v>
      </c>
      <c r="K2264" s="2" t="s">
        <v>127</v>
      </c>
      <c r="M2264" s="2" t="s">
        <v>114</v>
      </c>
      <c r="N2264" s="2" t="s">
        <v>169</v>
      </c>
      <c r="O2264" s="2">
        <v>1.10751038E8</v>
      </c>
      <c r="Q2264" s="8">
        <v>2026.0</v>
      </c>
      <c r="R2264" s="8" t="s">
        <v>6777</v>
      </c>
    </row>
    <row r="2265">
      <c r="A2265" s="4" t="s">
        <v>18</v>
      </c>
      <c r="B2265" s="2" t="s">
        <v>7214</v>
      </c>
      <c r="C2265" s="5">
        <v>46031.0</v>
      </c>
      <c r="D2265" s="5">
        <v>46031.0</v>
      </c>
      <c r="E2265" s="4" t="s">
        <v>7215</v>
      </c>
      <c r="F2265" s="9"/>
      <c r="G2265" s="11">
        <v>3800.0</v>
      </c>
      <c r="H2265" s="27"/>
      <c r="I2265" s="11">
        <v>71668.67</v>
      </c>
      <c r="J2265" s="2" t="s">
        <v>7159</v>
      </c>
      <c r="K2265" s="2" t="s">
        <v>127</v>
      </c>
      <c r="M2265" s="2" t="s">
        <v>114</v>
      </c>
      <c r="N2265" s="2" t="s">
        <v>169</v>
      </c>
      <c r="O2265" s="2">
        <v>1.10751038E8</v>
      </c>
      <c r="Q2265" s="8">
        <v>2026.0</v>
      </c>
      <c r="R2265" s="8" t="s">
        <v>6777</v>
      </c>
    </row>
    <row r="2266">
      <c r="A2266" s="4" t="s">
        <v>18</v>
      </c>
      <c r="B2266" s="2" t="s">
        <v>7216</v>
      </c>
      <c r="C2266" s="5">
        <v>46031.0</v>
      </c>
      <c r="D2266" s="5">
        <v>46031.0</v>
      </c>
      <c r="E2266" s="4" t="s">
        <v>7217</v>
      </c>
      <c r="F2266" s="9"/>
      <c r="G2266" s="6"/>
      <c r="H2266" s="11">
        <v>1398.0</v>
      </c>
      <c r="I2266" s="11">
        <v>73066.67</v>
      </c>
      <c r="K2266" s="12" t="str">
        <f>RIGHT(E2266,6)</f>
        <v>SL1610</v>
      </c>
      <c r="M2266" s="2" t="s">
        <v>24</v>
      </c>
      <c r="N2266" s="2" t="s">
        <v>60</v>
      </c>
      <c r="O2266" s="2">
        <v>1.10751038E8</v>
      </c>
      <c r="P2266" s="15" t="str">
        <f>IFERROR(__xludf.DUMMYFUNCTION("CONCATENATE(B2266,"", "", to_text(D2266),"", "", E2266,"", "", H2266)"),"TSV-2601-0150, 9-Jan-2026, UPI/CR/395177377514/SHUBHAM /ICIC/8861503/SL1610, 1398")</f>
        <v>TSV-2601-0150, 9-Jan-2026, UPI/CR/395177377514/SHUBHAM /ICIC/8861503/SL1610, 1398</v>
      </c>
      <c r="Q2266" s="8">
        <v>2026.0</v>
      </c>
      <c r="R2266" s="8" t="s">
        <v>6777</v>
      </c>
    </row>
    <row r="2267">
      <c r="A2267" s="4" t="s">
        <v>18</v>
      </c>
      <c r="B2267" s="2" t="s">
        <v>7218</v>
      </c>
      <c r="C2267" s="5">
        <v>46031.0</v>
      </c>
      <c r="D2267" s="5">
        <v>46031.0</v>
      </c>
      <c r="E2267" s="4" t="s">
        <v>7219</v>
      </c>
      <c r="F2267" s="9"/>
      <c r="G2267" s="11">
        <v>1730.0</v>
      </c>
      <c r="H2267" s="27"/>
      <c r="I2267" s="11">
        <v>71336.67</v>
      </c>
      <c r="K2267" s="2" t="s">
        <v>113</v>
      </c>
      <c r="M2267" s="2" t="s">
        <v>114</v>
      </c>
      <c r="N2267" s="2" t="s">
        <v>1800</v>
      </c>
      <c r="O2267" s="2">
        <v>1.10751038E8</v>
      </c>
      <c r="Q2267" s="8">
        <v>2026.0</v>
      </c>
      <c r="R2267" s="8" t="s">
        <v>6777</v>
      </c>
    </row>
    <row r="2268">
      <c r="A2268" s="4" t="s">
        <v>18</v>
      </c>
      <c r="B2268" s="2" t="s">
        <v>7220</v>
      </c>
      <c r="C2268" s="5">
        <v>46031.0</v>
      </c>
      <c r="D2268" s="5">
        <v>46031.0</v>
      </c>
      <c r="E2268" s="4" t="s">
        <v>7221</v>
      </c>
      <c r="F2268" s="9"/>
      <c r="G2268" s="11">
        <v>18850.0</v>
      </c>
      <c r="H2268" s="27"/>
      <c r="I2268" s="11">
        <v>52486.67</v>
      </c>
      <c r="J2268" s="2" t="s">
        <v>7177</v>
      </c>
      <c r="K2268" s="2" t="s">
        <v>113</v>
      </c>
      <c r="M2268" s="2" t="s">
        <v>114</v>
      </c>
      <c r="N2268" s="2" t="s">
        <v>169</v>
      </c>
      <c r="O2268" s="2">
        <v>1.10751038E8</v>
      </c>
      <c r="Q2268" s="8">
        <v>2026.0</v>
      </c>
      <c r="R2268" s="8" t="s">
        <v>6777</v>
      </c>
    </row>
    <row r="2269">
      <c r="A2269" s="4" t="s">
        <v>18</v>
      </c>
      <c r="B2269" s="2" t="s">
        <v>7222</v>
      </c>
      <c r="C2269" s="5">
        <v>46031.0</v>
      </c>
      <c r="D2269" s="5">
        <v>46031.0</v>
      </c>
      <c r="E2269" s="4" t="s">
        <v>7223</v>
      </c>
      <c r="F2269" s="9"/>
      <c r="G2269" s="6"/>
      <c r="H2269" s="7">
        <v>739.0</v>
      </c>
      <c r="I2269" s="11">
        <v>53225.67</v>
      </c>
      <c r="K2269" s="12" t="str">
        <f t="shared" ref="K2269:K2271" si="289">RIGHT(E2269,6)</f>
        <v>SL1610</v>
      </c>
      <c r="M2269" s="2" t="s">
        <v>24</v>
      </c>
      <c r="N2269" s="2" t="s">
        <v>60</v>
      </c>
      <c r="O2269" s="2">
        <v>1.10751038E8</v>
      </c>
      <c r="P2269" s="15" t="str">
        <f>IFERROR(__xludf.DUMMYFUNCTION("CONCATENATE(B2269,"", "", to_text(D2269),"", "", E2269,"", "", H2269)"),"TSV-2601-0153, 9-Jan-2026, UPI/CR/116914765768/VENKATES/HDFC/mailmve/SL1610, 739")</f>
        <v>TSV-2601-0153, 9-Jan-2026, UPI/CR/116914765768/VENKATES/HDFC/mailmve/SL1610, 739</v>
      </c>
      <c r="Q2269" s="8">
        <v>2026.0</v>
      </c>
      <c r="R2269" s="8" t="s">
        <v>6777</v>
      </c>
    </row>
    <row r="2270">
      <c r="A2270" s="4" t="s">
        <v>18</v>
      </c>
      <c r="B2270" s="2" t="s">
        <v>7224</v>
      </c>
      <c r="C2270" s="5">
        <v>46031.0</v>
      </c>
      <c r="D2270" s="5">
        <v>46031.0</v>
      </c>
      <c r="E2270" s="4" t="s">
        <v>7225</v>
      </c>
      <c r="F2270" s="9"/>
      <c r="G2270" s="6"/>
      <c r="H2270" s="7">
        <v>899.0</v>
      </c>
      <c r="I2270" s="11">
        <v>54124.67</v>
      </c>
      <c r="K2270" s="12" t="str">
        <f t="shared" si="289"/>
        <v>SL1610</v>
      </c>
      <c r="M2270" s="2" t="s">
        <v>24</v>
      </c>
      <c r="N2270" s="2" t="s">
        <v>60</v>
      </c>
      <c r="O2270" s="2">
        <v>1.10751038E8</v>
      </c>
      <c r="P2270" s="15" t="str">
        <f>IFERROR(__xludf.DUMMYFUNCTION("CONCATENATE(B2270,"", "", to_text(D2270),"", "", E2270,"", "", H2270)"),"TSV-2601-0154, 9-Jan-2026, UPI/CR/108947032365/GITU MON/ICIC/geetu12/SL1610, 899")</f>
        <v>TSV-2601-0154, 9-Jan-2026, UPI/CR/108947032365/GITU MON/ICIC/geetu12/SL1610, 899</v>
      </c>
      <c r="Q2270" s="8">
        <v>2026.0</v>
      </c>
      <c r="R2270" s="8" t="s">
        <v>6777</v>
      </c>
    </row>
    <row r="2271">
      <c r="A2271" s="4" t="s">
        <v>18</v>
      </c>
      <c r="B2271" s="2" t="s">
        <v>7226</v>
      </c>
      <c r="C2271" s="5">
        <v>46031.0</v>
      </c>
      <c r="D2271" s="5">
        <v>46031.0</v>
      </c>
      <c r="E2271" s="4" t="s">
        <v>7227</v>
      </c>
      <c r="F2271" s="9"/>
      <c r="G2271" s="6"/>
      <c r="H2271" s="7">
        <v>350.0</v>
      </c>
      <c r="I2271" s="11">
        <v>54474.67</v>
      </c>
      <c r="K2271" s="12" t="str">
        <f t="shared" si="289"/>
        <v>SC3567</v>
      </c>
      <c r="M2271" s="2" t="s">
        <v>24</v>
      </c>
      <c r="N2271" s="2" t="s">
        <v>60</v>
      </c>
      <c r="O2271" s="2">
        <v>1.10751038E8</v>
      </c>
      <c r="P2271" s="15" t="str">
        <f>IFERROR(__xludf.DUMMYFUNCTION("CONCATENATE(B2271,"", "", to_text(D2271),"", "", E2271,"", "", H2271)"),"TSV-2601-0155, 9-Jan-2026, UPI/CR/637511323072/SANDEEP /UTIB/sandiv9/SC3567, 350")</f>
        <v>TSV-2601-0155, 9-Jan-2026, UPI/CR/637511323072/SANDEEP /UTIB/sandiv9/SC3567, 350</v>
      </c>
      <c r="Q2271" s="8">
        <v>2026.0</v>
      </c>
      <c r="R2271" s="8" t="s">
        <v>6777</v>
      </c>
    </row>
    <row r="2272">
      <c r="A2272" s="4" t="s">
        <v>18</v>
      </c>
      <c r="B2272" s="2" t="s">
        <v>7228</v>
      </c>
      <c r="C2272" s="5">
        <v>46031.0</v>
      </c>
      <c r="D2272" s="5">
        <v>46031.0</v>
      </c>
      <c r="E2272" s="4" t="s">
        <v>7229</v>
      </c>
      <c r="F2272" s="9"/>
      <c r="G2272" s="6"/>
      <c r="H2272" s="7">
        <v>765.0</v>
      </c>
      <c r="I2272" s="11">
        <v>55239.67</v>
      </c>
      <c r="K2272" s="2" t="s">
        <v>113</v>
      </c>
      <c r="L2272" s="2" t="s">
        <v>7230</v>
      </c>
      <c r="M2272" s="2" t="s">
        <v>24</v>
      </c>
      <c r="N2272" s="2" t="s">
        <v>60</v>
      </c>
      <c r="O2272" s="2">
        <v>1.10751038E8</v>
      </c>
      <c r="Q2272" s="8">
        <v>2026.0</v>
      </c>
      <c r="R2272" s="8" t="s">
        <v>6777</v>
      </c>
    </row>
    <row r="2273">
      <c r="A2273" s="4" t="s">
        <v>18</v>
      </c>
      <c r="B2273" s="2" t="s">
        <v>7231</v>
      </c>
      <c r="C2273" s="5">
        <v>46031.0</v>
      </c>
      <c r="D2273" s="5">
        <v>46031.0</v>
      </c>
      <c r="E2273" s="4" t="s">
        <v>7232</v>
      </c>
      <c r="F2273" s="9"/>
      <c r="G2273" s="6"/>
      <c r="H2273" s="7">
        <v>508.0</v>
      </c>
      <c r="I2273" s="11">
        <v>55747.67</v>
      </c>
      <c r="K2273" s="12" t="str">
        <f>RIGHT(E2273,6)</f>
        <v>SL1610</v>
      </c>
      <c r="M2273" s="2" t="s">
        <v>24</v>
      </c>
      <c r="N2273" s="2" t="s">
        <v>60</v>
      </c>
      <c r="O2273" s="2">
        <v>1.10751038E8</v>
      </c>
      <c r="P2273" s="15" t="str">
        <f>IFERROR(__xludf.DUMMYFUNCTION("CONCATENATE(B2273,"", "", to_text(D2273),"", "", E2273,"", "", H2273)"),"TSV-2601-0157, 9-Jan-2026, UPI/CR/216036844865/GARIMA G/HDFC/gusaing/SL1610, 508")</f>
        <v>TSV-2601-0157, 9-Jan-2026, UPI/CR/216036844865/GARIMA G/HDFC/gusaing/SL1610, 508</v>
      </c>
      <c r="Q2273" s="8">
        <v>2026.0</v>
      </c>
      <c r="R2273" s="8" t="s">
        <v>6777</v>
      </c>
    </row>
    <row r="2274">
      <c r="A2274" s="4" t="s">
        <v>18</v>
      </c>
      <c r="B2274" s="2" t="s">
        <v>7233</v>
      </c>
      <c r="C2274" s="5">
        <v>46031.0</v>
      </c>
      <c r="D2274" s="5">
        <v>46031.0</v>
      </c>
      <c r="E2274" s="4" t="s">
        <v>7234</v>
      </c>
      <c r="F2274" s="9"/>
      <c r="G2274" s="7">
        <v>366.0</v>
      </c>
      <c r="H2274" s="27"/>
      <c r="I2274" s="11">
        <v>55381.67</v>
      </c>
      <c r="K2274" s="2" t="s">
        <v>127</v>
      </c>
      <c r="M2274" s="2" t="s">
        <v>114</v>
      </c>
      <c r="N2274" s="2" t="s">
        <v>478</v>
      </c>
      <c r="O2274" s="2">
        <v>1.10751038E8</v>
      </c>
      <c r="Q2274" s="8">
        <v>2026.0</v>
      </c>
      <c r="R2274" s="8" t="s">
        <v>6777</v>
      </c>
    </row>
    <row r="2275">
      <c r="A2275" s="4" t="s">
        <v>18</v>
      </c>
      <c r="B2275" s="2" t="s">
        <v>7235</v>
      </c>
      <c r="C2275" s="5">
        <v>46031.0</v>
      </c>
      <c r="D2275" s="5">
        <v>46031.0</v>
      </c>
      <c r="E2275" s="4" t="s">
        <v>7236</v>
      </c>
      <c r="F2275" s="9"/>
      <c r="G2275" s="6"/>
      <c r="H2275" s="7">
        <v>450.0</v>
      </c>
      <c r="I2275" s="11">
        <v>55831.67</v>
      </c>
      <c r="K2275" s="12" t="str">
        <f t="shared" ref="K2275:K2277" si="290">RIGHT(E2275,6)</f>
        <v>KN3817</v>
      </c>
      <c r="M2275" s="2" t="s">
        <v>24</v>
      </c>
      <c r="N2275" s="2" t="s">
        <v>60</v>
      </c>
      <c r="O2275" s="2">
        <v>1.10751038E8</v>
      </c>
      <c r="P2275" s="15" t="str">
        <f>IFERROR(__xludf.DUMMYFUNCTION("CONCATENATE(B2275,"", "", to_text(D2275),"", "", E2275,"", "", H2275)"),"TSV-2601-0159, 9-Jan-2026, UPI/CR/579681032883/SHAGUN P/SBIN/9452295/KN3817, 450")</f>
        <v>TSV-2601-0159, 9-Jan-2026, UPI/CR/579681032883/SHAGUN P/SBIN/9452295/KN3817, 450</v>
      </c>
      <c r="Q2275" s="8">
        <v>2026.0</v>
      </c>
      <c r="R2275" s="8" t="s">
        <v>6777</v>
      </c>
    </row>
    <row r="2276">
      <c r="A2276" s="4" t="s">
        <v>18</v>
      </c>
      <c r="B2276" s="2" t="s">
        <v>7237</v>
      </c>
      <c r="C2276" s="5">
        <v>46031.0</v>
      </c>
      <c r="D2276" s="5">
        <v>46031.0</v>
      </c>
      <c r="E2276" s="4" t="s">
        <v>7238</v>
      </c>
      <c r="F2276" s="9"/>
      <c r="G2276" s="6"/>
      <c r="H2276" s="11">
        <v>1753.0</v>
      </c>
      <c r="I2276" s="11">
        <v>57584.67</v>
      </c>
      <c r="K2276" s="12" t="str">
        <f t="shared" si="290"/>
        <v>SL1610</v>
      </c>
      <c r="M2276" s="2" t="s">
        <v>24</v>
      </c>
      <c r="N2276" s="2" t="s">
        <v>60</v>
      </c>
      <c r="O2276" s="2">
        <v>1.10751038E8</v>
      </c>
      <c r="P2276" s="15" t="str">
        <f>IFERROR(__xludf.DUMMYFUNCTION("CONCATENATE(B2276,"", "", to_text(D2276),"", "", E2276,"", "", H2276)"),"TSV-2601-0160, 9-Jan-2026, UPI/CR/864740633373/VIJAY Y/KKBK/9818867/SL1610, 1753")</f>
        <v>TSV-2601-0160, 9-Jan-2026, UPI/CR/864740633373/VIJAY Y/KKBK/9818867/SL1610, 1753</v>
      </c>
      <c r="Q2276" s="8">
        <v>2026.0</v>
      </c>
      <c r="R2276" s="8" t="s">
        <v>6777</v>
      </c>
    </row>
    <row r="2277">
      <c r="A2277" s="4" t="s">
        <v>18</v>
      </c>
      <c r="B2277" s="2" t="s">
        <v>7239</v>
      </c>
      <c r="C2277" s="5">
        <v>46031.0</v>
      </c>
      <c r="D2277" s="5">
        <v>46031.0</v>
      </c>
      <c r="E2277" s="4" t="s">
        <v>7240</v>
      </c>
      <c r="F2277" s="9"/>
      <c r="G2277" s="6"/>
      <c r="H2277" s="7">
        <v>430.0</v>
      </c>
      <c r="I2277" s="11">
        <v>58014.67</v>
      </c>
      <c r="K2277" s="12" t="str">
        <f t="shared" si="290"/>
        <v>UN3668</v>
      </c>
      <c r="M2277" s="2" t="s">
        <v>24</v>
      </c>
      <c r="N2277" s="2" t="s">
        <v>60</v>
      </c>
      <c r="O2277" s="2">
        <v>1.10751038E8</v>
      </c>
      <c r="P2277" s="15" t="str">
        <f>IFERROR(__xludf.DUMMYFUNCTION("CONCATENATE(B2277,"", "", to_text(D2277),"", "", E2277,"", "", H2277)"),"TSV-2601-0161, 9-Jan-2026, UPI/CR/697102401784/KASHISH/PSIB/8368522/UN3668, 430")</f>
        <v>TSV-2601-0161, 9-Jan-2026, UPI/CR/697102401784/KASHISH/PSIB/8368522/UN3668, 430</v>
      </c>
      <c r="Q2277" s="8">
        <v>2026.0</v>
      </c>
      <c r="R2277" s="8" t="s">
        <v>6777</v>
      </c>
    </row>
    <row r="2278">
      <c r="A2278" s="4" t="s">
        <v>18</v>
      </c>
      <c r="B2278" s="2" t="s">
        <v>7241</v>
      </c>
      <c r="C2278" s="5">
        <v>46031.0</v>
      </c>
      <c r="D2278" s="5">
        <v>46031.0</v>
      </c>
      <c r="E2278" s="4" t="s">
        <v>7242</v>
      </c>
      <c r="F2278" s="9"/>
      <c r="G2278" s="11">
        <v>1440.0</v>
      </c>
      <c r="H2278" s="27"/>
      <c r="I2278" s="11">
        <v>56574.67</v>
      </c>
      <c r="K2278" s="2" t="s">
        <v>127</v>
      </c>
      <c r="M2278" s="2" t="s">
        <v>114</v>
      </c>
      <c r="N2278" s="2" t="s">
        <v>2883</v>
      </c>
      <c r="O2278" s="2">
        <v>1.10751038E8</v>
      </c>
      <c r="Q2278" s="8">
        <v>2026.0</v>
      </c>
      <c r="R2278" s="8" t="s">
        <v>6777</v>
      </c>
    </row>
    <row r="2279">
      <c r="A2279" s="4" t="s">
        <v>18</v>
      </c>
      <c r="B2279" s="2" t="s">
        <v>7243</v>
      </c>
      <c r="C2279" s="5">
        <v>46031.0</v>
      </c>
      <c r="D2279" s="5">
        <v>46031.0</v>
      </c>
      <c r="E2279" s="4" t="s">
        <v>7244</v>
      </c>
      <c r="F2279" s="9"/>
      <c r="G2279" s="11">
        <v>17000.0</v>
      </c>
      <c r="H2279" s="27"/>
      <c r="I2279" s="11">
        <v>39574.67</v>
      </c>
      <c r="J2279" s="2" t="s">
        <v>2352</v>
      </c>
      <c r="K2279" s="12" t="str">
        <f t="shared" ref="K2279:K2283" si="291">RIGHT(E2279,6)</f>
        <v>KN3817</v>
      </c>
      <c r="M2279" s="2" t="s">
        <v>114</v>
      </c>
      <c r="N2279" s="2" t="s">
        <v>169</v>
      </c>
      <c r="O2279" s="2">
        <v>1.10751038E8</v>
      </c>
      <c r="Q2279" s="8">
        <v>2026.0</v>
      </c>
      <c r="R2279" s="8" t="s">
        <v>6777</v>
      </c>
    </row>
    <row r="2280">
      <c r="A2280" s="4" t="s">
        <v>18</v>
      </c>
      <c r="B2280" s="2" t="s">
        <v>7245</v>
      </c>
      <c r="C2280" s="5">
        <v>46031.0</v>
      </c>
      <c r="D2280" s="5">
        <v>46031.0</v>
      </c>
      <c r="E2280" s="4" t="s">
        <v>7246</v>
      </c>
      <c r="F2280" s="9"/>
      <c r="G2280" s="11">
        <v>1800.0</v>
      </c>
      <c r="H2280" s="27"/>
      <c r="I2280" s="11">
        <v>37774.67</v>
      </c>
      <c r="J2280" s="2" t="s">
        <v>7247</v>
      </c>
      <c r="K2280" s="12" t="str">
        <f t="shared" si="291"/>
        <v>KN3817</v>
      </c>
      <c r="M2280" s="2" t="s">
        <v>114</v>
      </c>
      <c r="N2280" s="2" t="s">
        <v>169</v>
      </c>
      <c r="O2280" s="2">
        <v>1.10751038E8</v>
      </c>
      <c r="Q2280" s="8">
        <v>2026.0</v>
      </c>
      <c r="R2280" s="8" t="s">
        <v>6777</v>
      </c>
    </row>
    <row r="2281">
      <c r="A2281" s="4" t="s">
        <v>18</v>
      </c>
      <c r="B2281" s="2" t="s">
        <v>7248</v>
      </c>
      <c r="C2281" s="5">
        <v>46031.0</v>
      </c>
      <c r="D2281" s="5">
        <v>46031.0</v>
      </c>
      <c r="E2281" s="4" t="s">
        <v>7249</v>
      </c>
      <c r="F2281" s="9"/>
      <c r="G2281" s="11">
        <v>1667.0</v>
      </c>
      <c r="H2281" s="27"/>
      <c r="I2281" s="11">
        <v>36107.67</v>
      </c>
      <c r="J2281" s="2" t="s">
        <v>7250</v>
      </c>
      <c r="K2281" s="12" t="str">
        <f t="shared" si="291"/>
        <v>SL1610</v>
      </c>
      <c r="M2281" s="2" t="s">
        <v>114</v>
      </c>
      <c r="N2281" s="2" t="s">
        <v>169</v>
      </c>
      <c r="O2281" s="2">
        <v>1.10751038E8</v>
      </c>
      <c r="Q2281" s="8">
        <v>2026.0</v>
      </c>
      <c r="R2281" s="8" t="s">
        <v>6777</v>
      </c>
    </row>
    <row r="2282">
      <c r="A2282" s="4" t="s">
        <v>18</v>
      </c>
      <c r="B2282" s="2" t="s">
        <v>7251</v>
      </c>
      <c r="C2282" s="5">
        <v>46031.0</v>
      </c>
      <c r="D2282" s="5">
        <v>46031.0</v>
      </c>
      <c r="E2282" s="4" t="s">
        <v>7252</v>
      </c>
      <c r="F2282" s="9"/>
      <c r="G2282" s="11">
        <v>1000.0</v>
      </c>
      <c r="H2282" s="27"/>
      <c r="I2282" s="11">
        <v>35107.67</v>
      </c>
      <c r="J2282" s="2" t="s">
        <v>7253</v>
      </c>
      <c r="K2282" s="12" t="str">
        <f t="shared" si="291"/>
        <v>SC3567</v>
      </c>
      <c r="M2282" s="2" t="s">
        <v>114</v>
      </c>
      <c r="N2282" s="2" t="s">
        <v>169</v>
      </c>
      <c r="O2282" s="2">
        <v>1.10751038E8</v>
      </c>
      <c r="Q2282" s="8">
        <v>2026.0</v>
      </c>
      <c r="R2282" s="8" t="s">
        <v>6777</v>
      </c>
    </row>
    <row r="2283">
      <c r="A2283" s="4" t="s">
        <v>18</v>
      </c>
      <c r="B2283" s="2" t="s">
        <v>7254</v>
      </c>
      <c r="C2283" s="5">
        <v>46031.0</v>
      </c>
      <c r="D2283" s="5">
        <v>46031.0</v>
      </c>
      <c r="E2283" s="4" t="s">
        <v>7255</v>
      </c>
      <c r="F2283" s="9"/>
      <c r="G2283" s="11">
        <v>1000.0</v>
      </c>
      <c r="H2283" s="27"/>
      <c r="I2283" s="11">
        <v>34107.67</v>
      </c>
      <c r="J2283" s="2" t="s">
        <v>7256</v>
      </c>
      <c r="K2283" s="12" t="str">
        <f t="shared" si="291"/>
        <v>UN3668</v>
      </c>
      <c r="M2283" s="2" t="s">
        <v>114</v>
      </c>
      <c r="N2283" s="2" t="s">
        <v>169</v>
      </c>
      <c r="O2283" s="2">
        <v>1.10751038E8</v>
      </c>
      <c r="Q2283" s="8">
        <v>2026.0</v>
      </c>
      <c r="R2283" s="8" t="s">
        <v>6777</v>
      </c>
    </row>
    <row r="2284">
      <c r="A2284" s="4" t="s">
        <v>18</v>
      </c>
      <c r="B2284" s="2" t="s">
        <v>7257</v>
      </c>
      <c r="C2284" s="5">
        <v>46031.0</v>
      </c>
      <c r="D2284" s="5">
        <v>46031.0</v>
      </c>
      <c r="E2284" s="4" t="s">
        <v>7258</v>
      </c>
      <c r="F2284" s="9"/>
      <c r="G2284" s="6"/>
      <c r="H2284" s="11">
        <v>17000.0</v>
      </c>
      <c r="I2284" s="11">
        <v>51107.67</v>
      </c>
      <c r="K2284" s="2" t="s">
        <v>23</v>
      </c>
      <c r="M2284" s="2" t="s">
        <v>24</v>
      </c>
      <c r="N2284" s="2" t="s">
        <v>195</v>
      </c>
      <c r="O2284" s="2">
        <v>1.10751038E8</v>
      </c>
      <c r="Q2284" s="8">
        <v>2026.0</v>
      </c>
      <c r="R2284" s="8" t="s">
        <v>6777</v>
      </c>
    </row>
    <row r="2285">
      <c r="A2285" s="4" t="s">
        <v>18</v>
      </c>
      <c r="B2285" s="2" t="s">
        <v>7259</v>
      </c>
      <c r="C2285" s="5">
        <v>46032.0</v>
      </c>
      <c r="D2285" s="5">
        <v>46032.0</v>
      </c>
      <c r="E2285" s="4" t="s">
        <v>7260</v>
      </c>
      <c r="F2285" s="9"/>
      <c r="G2285" s="11">
        <v>17000.0</v>
      </c>
      <c r="H2285" s="27"/>
      <c r="I2285" s="11">
        <v>34107.67</v>
      </c>
      <c r="J2285" s="2" t="s">
        <v>2352</v>
      </c>
      <c r="K2285" s="2" t="s">
        <v>119</v>
      </c>
      <c r="M2285" s="2" t="s">
        <v>114</v>
      </c>
      <c r="N2285" s="2" t="s">
        <v>169</v>
      </c>
      <c r="O2285" s="2">
        <v>1.10751038E8</v>
      </c>
      <c r="Q2285" s="8">
        <v>2026.0</v>
      </c>
      <c r="R2285" s="8" t="s">
        <v>6777</v>
      </c>
    </row>
    <row r="2286">
      <c r="A2286" s="4" t="s">
        <v>18</v>
      </c>
      <c r="B2286" s="2" t="s">
        <v>7261</v>
      </c>
      <c r="C2286" s="5">
        <v>46032.0</v>
      </c>
      <c r="D2286" s="5">
        <v>46032.0</v>
      </c>
      <c r="E2286" s="4" t="s">
        <v>7262</v>
      </c>
      <c r="F2286" s="9"/>
      <c r="G2286" s="6"/>
      <c r="H2286" s="7">
        <v>260.0</v>
      </c>
      <c r="I2286" s="11">
        <v>34367.67</v>
      </c>
      <c r="K2286" s="12" t="str">
        <f t="shared" ref="K2286:K2297" si="292">RIGHT(E2286,6)</f>
        <v>UN3668</v>
      </c>
      <c r="M2286" s="2" t="s">
        <v>24</v>
      </c>
      <c r="N2286" s="2" t="s">
        <v>60</v>
      </c>
      <c r="O2286" s="2">
        <v>1.10751038E8</v>
      </c>
      <c r="P2286" s="15" t="str">
        <f>IFERROR(__xludf.DUMMYFUNCTION("CONCATENATE(B2286,"", "", to_text(D2286),"", "", E2286,"", "", H2286)"),"TSV-2601-0170, 10-Jan-2026, UPI/CR/601051303466/Bibhab /SBIN/dashing/UN3668, 260")</f>
        <v>TSV-2601-0170, 10-Jan-2026, UPI/CR/601051303466/Bibhab /SBIN/dashing/UN3668, 260</v>
      </c>
      <c r="Q2286" s="8">
        <v>2026.0</v>
      </c>
      <c r="R2286" s="8" t="s">
        <v>6777</v>
      </c>
    </row>
    <row r="2287">
      <c r="A2287" s="4" t="s">
        <v>18</v>
      </c>
      <c r="B2287" s="2" t="s">
        <v>7263</v>
      </c>
      <c r="C2287" s="5">
        <v>46032.0</v>
      </c>
      <c r="D2287" s="5">
        <v>46032.0</v>
      </c>
      <c r="E2287" s="4" t="s">
        <v>7264</v>
      </c>
      <c r="F2287" s="9"/>
      <c r="G2287" s="6"/>
      <c r="H2287" s="7">
        <v>353.0</v>
      </c>
      <c r="I2287" s="11">
        <v>34720.67</v>
      </c>
      <c r="K2287" s="12" t="str">
        <f t="shared" si="292"/>
        <v>SL1610</v>
      </c>
      <c r="M2287" s="2" t="s">
        <v>24</v>
      </c>
      <c r="N2287" s="2" t="s">
        <v>60</v>
      </c>
      <c r="O2287" s="2">
        <v>1.10751038E8</v>
      </c>
      <c r="P2287" s="15" t="str">
        <f>IFERROR(__xludf.DUMMYFUNCTION("CONCATENATE(B2287,"", "", to_text(D2287),"", "", E2287,"", "", H2287)"),"TSV-2601-0171, 10-Jan-2026, UPI/CR/601013501610/RAJAT MI/ICIC/mrajat6/SL1610, 353")</f>
        <v>TSV-2601-0171, 10-Jan-2026, UPI/CR/601013501610/RAJAT MI/ICIC/mrajat6/SL1610, 353</v>
      </c>
      <c r="Q2287" s="8">
        <v>2026.0</v>
      </c>
      <c r="R2287" s="8" t="s">
        <v>6777</v>
      </c>
    </row>
    <row r="2288">
      <c r="A2288" s="4" t="s">
        <v>18</v>
      </c>
      <c r="B2288" s="2" t="s">
        <v>7265</v>
      </c>
      <c r="C2288" s="5">
        <v>46032.0</v>
      </c>
      <c r="D2288" s="5">
        <v>46032.0</v>
      </c>
      <c r="E2288" s="4" t="s">
        <v>7266</v>
      </c>
      <c r="F2288" s="9"/>
      <c r="G2288" s="6"/>
      <c r="H2288" s="7">
        <v>299.0</v>
      </c>
      <c r="I2288" s="11">
        <v>35019.67</v>
      </c>
      <c r="K2288" s="12" t="str">
        <f t="shared" si="292"/>
        <v>SC3567</v>
      </c>
      <c r="M2288" s="2" t="s">
        <v>24</v>
      </c>
      <c r="N2288" s="2" t="s">
        <v>60</v>
      </c>
      <c r="O2288" s="2">
        <v>1.10751038E8</v>
      </c>
      <c r="P2288" s="15" t="str">
        <f>IFERROR(__xludf.DUMMYFUNCTION("CONCATENATE(B2288,"", "", to_text(D2288),"", "", E2288,"", "", H2288)"),"TSV-2601-0172, 10-Jan-2026, UPI/CR/816239401229/SANJEEV /ICIC/san.goe/SC3567, 299")</f>
        <v>TSV-2601-0172, 10-Jan-2026, UPI/CR/816239401229/SANJEEV /ICIC/san.goe/SC3567, 299</v>
      </c>
      <c r="Q2288" s="8">
        <v>2026.0</v>
      </c>
      <c r="R2288" s="8" t="s">
        <v>6777</v>
      </c>
    </row>
    <row r="2289">
      <c r="A2289" s="4" t="s">
        <v>18</v>
      </c>
      <c r="B2289" s="2" t="s">
        <v>7267</v>
      </c>
      <c r="C2289" s="5">
        <v>46032.0</v>
      </c>
      <c r="D2289" s="5">
        <v>46032.0</v>
      </c>
      <c r="E2289" s="4" t="s">
        <v>7268</v>
      </c>
      <c r="F2289" s="9"/>
      <c r="G2289" s="6"/>
      <c r="H2289" s="7">
        <v>371.0</v>
      </c>
      <c r="I2289" s="11">
        <v>35390.67</v>
      </c>
      <c r="K2289" s="12" t="str">
        <f t="shared" si="292"/>
        <v>UN3668</v>
      </c>
      <c r="M2289" s="2" t="s">
        <v>24</v>
      </c>
      <c r="N2289" s="2" t="s">
        <v>60</v>
      </c>
      <c r="O2289" s="2">
        <v>1.10751038E8</v>
      </c>
      <c r="P2289" s="15" t="str">
        <f>IFERROR(__xludf.DUMMYFUNCTION("CONCATENATE(B2289,"", "", to_text(D2289),"", "", E2289,"", "", H2289)"),"TSV-2601-0173, 10-Jan-2026, UPI/CR/395244636789/DHEERAJ /BARB/9953277/UN3668, 371")</f>
        <v>TSV-2601-0173, 10-Jan-2026, UPI/CR/395244636789/DHEERAJ /BARB/9953277/UN3668, 371</v>
      </c>
      <c r="Q2289" s="8">
        <v>2026.0</v>
      </c>
      <c r="R2289" s="8" t="s">
        <v>6777</v>
      </c>
    </row>
    <row r="2290">
      <c r="A2290" s="4" t="s">
        <v>18</v>
      </c>
      <c r="B2290" s="2" t="s">
        <v>7269</v>
      </c>
      <c r="C2290" s="5">
        <v>46032.0</v>
      </c>
      <c r="D2290" s="5">
        <v>46032.0</v>
      </c>
      <c r="E2290" s="4" t="s">
        <v>7270</v>
      </c>
      <c r="F2290" s="9"/>
      <c r="G2290" s="6"/>
      <c r="H2290" s="7">
        <v>750.0</v>
      </c>
      <c r="I2290" s="11">
        <v>36140.67</v>
      </c>
      <c r="K2290" s="12" t="str">
        <f t="shared" si="292"/>
        <v>UN3668</v>
      </c>
      <c r="M2290" s="2" t="s">
        <v>24</v>
      </c>
      <c r="N2290" s="2" t="s">
        <v>60</v>
      </c>
      <c r="O2290" s="2">
        <v>1.10751038E8</v>
      </c>
      <c r="P2290" s="15" t="str">
        <f>IFERROR(__xludf.DUMMYFUNCTION("CONCATENATE(B2290,"", "", to_text(D2290),"", "", E2290,"", "", H2290)"),"TSV-2601-0174, 10-Jan-2026, UPI/CR/601030412533/SAURABH /UTIB/saurabh/UN3668, 750")</f>
        <v>TSV-2601-0174, 10-Jan-2026, UPI/CR/601030412533/SAURABH /UTIB/saurabh/UN3668, 750</v>
      </c>
      <c r="Q2290" s="8">
        <v>2026.0</v>
      </c>
      <c r="R2290" s="8" t="s">
        <v>6777</v>
      </c>
    </row>
    <row r="2291">
      <c r="A2291" s="4" t="s">
        <v>18</v>
      </c>
      <c r="B2291" s="2" t="s">
        <v>7271</v>
      </c>
      <c r="C2291" s="5">
        <v>46032.0</v>
      </c>
      <c r="D2291" s="5">
        <v>46032.0</v>
      </c>
      <c r="E2291" s="4" t="s">
        <v>7272</v>
      </c>
      <c r="F2291" s="9"/>
      <c r="G2291" s="6"/>
      <c r="H2291" s="7">
        <v>210.0</v>
      </c>
      <c r="I2291" s="11">
        <v>36350.67</v>
      </c>
      <c r="K2291" s="12" t="str">
        <f t="shared" si="292"/>
        <v>UN3668</v>
      </c>
      <c r="M2291" s="2" t="s">
        <v>24</v>
      </c>
      <c r="N2291" s="2" t="s">
        <v>60</v>
      </c>
      <c r="O2291" s="2">
        <v>1.10751038E8</v>
      </c>
      <c r="P2291" s="15" t="str">
        <f>IFERROR(__xludf.DUMMYFUNCTION("CONCATENATE(B2291,"", "", to_text(D2291),"", "", E2291,"", "", H2291)"),"TSV-2601-0175, 10-Jan-2026, UPI/CR/129193023535/SHEEBA /SBIN/9773821/UN3668, 210")</f>
        <v>TSV-2601-0175, 10-Jan-2026, UPI/CR/129193023535/SHEEBA /SBIN/9773821/UN3668, 210</v>
      </c>
      <c r="Q2291" s="8">
        <v>2026.0</v>
      </c>
      <c r="R2291" s="8" t="s">
        <v>6777</v>
      </c>
    </row>
    <row r="2292">
      <c r="A2292" s="4" t="s">
        <v>18</v>
      </c>
      <c r="B2292" s="2" t="s">
        <v>7273</v>
      </c>
      <c r="C2292" s="5">
        <v>46032.0</v>
      </c>
      <c r="D2292" s="5">
        <v>46032.0</v>
      </c>
      <c r="E2292" s="4" t="s">
        <v>7274</v>
      </c>
      <c r="F2292" s="9"/>
      <c r="G2292" s="6"/>
      <c r="H2292" s="11">
        <v>1134.0</v>
      </c>
      <c r="I2292" s="11">
        <v>37484.67</v>
      </c>
      <c r="K2292" s="12" t="str">
        <f t="shared" si="292"/>
        <v>KN3817</v>
      </c>
      <c r="M2292" s="2" t="s">
        <v>24</v>
      </c>
      <c r="N2292" s="2" t="s">
        <v>60</v>
      </c>
      <c r="O2292" s="2">
        <v>1.10751038E8</v>
      </c>
      <c r="P2292" s="15" t="str">
        <f>IFERROR(__xludf.DUMMYFUNCTION("CONCATENATE(B2292,"", "", to_text(D2292),"", "", E2292,"", "", H2292)"),"TSV-2601-0176, 10-Jan-2026, UPI/CR/524855772601/ADITYA G/HDFC/7424904/KN3817, 1134")</f>
        <v>TSV-2601-0176, 10-Jan-2026, UPI/CR/524855772601/ADITYA G/HDFC/7424904/KN3817, 1134</v>
      </c>
      <c r="Q2292" s="8">
        <v>2026.0</v>
      </c>
      <c r="R2292" s="8" t="s">
        <v>6777</v>
      </c>
    </row>
    <row r="2293">
      <c r="A2293" s="4" t="s">
        <v>18</v>
      </c>
      <c r="B2293" s="2" t="s">
        <v>7275</v>
      </c>
      <c r="C2293" s="5">
        <v>46032.0</v>
      </c>
      <c r="D2293" s="5">
        <v>46032.0</v>
      </c>
      <c r="E2293" s="4" t="s">
        <v>7276</v>
      </c>
      <c r="F2293" s="9"/>
      <c r="G2293" s="6"/>
      <c r="H2293" s="7">
        <v>800.0</v>
      </c>
      <c r="I2293" s="11">
        <v>38284.67</v>
      </c>
      <c r="K2293" s="12" t="str">
        <f t="shared" si="292"/>
        <v>KN3817</v>
      </c>
      <c r="M2293" s="2" t="s">
        <v>24</v>
      </c>
      <c r="N2293" s="2" t="s">
        <v>60</v>
      </c>
      <c r="O2293" s="2">
        <v>1.10751038E8</v>
      </c>
      <c r="P2293" s="15" t="str">
        <f>IFERROR(__xludf.DUMMYFUNCTION("CONCATENATE(B2293,"", "", to_text(D2293),"", "", E2293,"", "", H2293)"),"TSV-2601-0177, 10-Jan-2026, UPI/CR/601038018815/RUDRA AR/HDFC/8826882/KN3817, 800")</f>
        <v>TSV-2601-0177, 10-Jan-2026, UPI/CR/601038018815/RUDRA AR/HDFC/8826882/KN3817, 800</v>
      </c>
      <c r="Q2293" s="8">
        <v>2026.0</v>
      </c>
      <c r="R2293" s="8" t="s">
        <v>6777</v>
      </c>
    </row>
    <row r="2294">
      <c r="A2294" s="4" t="s">
        <v>18</v>
      </c>
      <c r="B2294" s="2" t="s">
        <v>7277</v>
      </c>
      <c r="C2294" s="5">
        <v>46032.0</v>
      </c>
      <c r="D2294" s="5">
        <v>46032.0</v>
      </c>
      <c r="E2294" s="4" t="s">
        <v>7278</v>
      </c>
      <c r="F2294" s="9"/>
      <c r="G2294" s="6"/>
      <c r="H2294" s="7">
        <v>344.0</v>
      </c>
      <c r="I2294" s="11">
        <v>38628.67</v>
      </c>
      <c r="K2294" s="12" t="str">
        <f t="shared" si="292"/>
        <v>UN3668</v>
      </c>
      <c r="M2294" s="2" t="s">
        <v>24</v>
      </c>
      <c r="N2294" s="2" t="s">
        <v>60</v>
      </c>
      <c r="O2294" s="2">
        <v>1.10751038E8</v>
      </c>
      <c r="P2294" s="15" t="str">
        <f>IFERROR(__xludf.DUMMYFUNCTION("CONCATENATE(B2294,"", "", to_text(D2294),"", "", E2294,"", "", H2294)"),"TSV-2601-0178, 10-Jan-2026, UPI/CR/601070109150/ASHOKBHA/SBIN/9924748/UN3668, 344")</f>
        <v>TSV-2601-0178, 10-Jan-2026, UPI/CR/601070109150/ASHOKBHA/SBIN/9924748/UN3668, 344</v>
      </c>
      <c r="Q2294" s="8">
        <v>2026.0</v>
      </c>
      <c r="R2294" s="8" t="s">
        <v>6777</v>
      </c>
    </row>
    <row r="2295">
      <c r="A2295" s="4" t="s">
        <v>18</v>
      </c>
      <c r="B2295" s="2" t="s">
        <v>7279</v>
      </c>
      <c r="C2295" s="5">
        <v>46032.0</v>
      </c>
      <c r="D2295" s="5">
        <v>46032.0</v>
      </c>
      <c r="E2295" s="4" t="s">
        <v>7280</v>
      </c>
      <c r="F2295" s="9"/>
      <c r="G2295" s="6"/>
      <c r="H2295" s="7">
        <v>250.0</v>
      </c>
      <c r="I2295" s="11">
        <v>38878.67</v>
      </c>
      <c r="K2295" s="12" t="str">
        <f t="shared" si="292"/>
        <v>KN3817</v>
      </c>
      <c r="M2295" s="2" t="s">
        <v>24</v>
      </c>
      <c r="N2295" s="2" t="s">
        <v>60</v>
      </c>
      <c r="O2295" s="2">
        <v>1.10751038E8</v>
      </c>
      <c r="P2295" s="15" t="str">
        <f>IFERROR(__xludf.DUMMYFUNCTION("CONCATENATE(B2295,"", "", to_text(D2295),"", "", E2295,"", "", H2295)"),"TSV-2601-0179, 10-Jan-2026, UPI/CR/601044761398/NEELAM N/UTIB/neelamn/KN3817, 250")</f>
        <v>TSV-2601-0179, 10-Jan-2026, UPI/CR/601044761398/NEELAM N/UTIB/neelamn/KN3817, 250</v>
      </c>
      <c r="Q2295" s="8">
        <v>2026.0</v>
      </c>
      <c r="R2295" s="8" t="s">
        <v>6777</v>
      </c>
    </row>
    <row r="2296">
      <c r="A2296" s="4" t="s">
        <v>18</v>
      </c>
      <c r="B2296" s="2" t="s">
        <v>7281</v>
      </c>
      <c r="C2296" s="5">
        <v>46032.0</v>
      </c>
      <c r="D2296" s="5">
        <v>46032.0</v>
      </c>
      <c r="E2296" s="4" t="s">
        <v>7282</v>
      </c>
      <c r="F2296" s="9"/>
      <c r="G2296" s="6"/>
      <c r="H2296" s="11">
        <v>1568.0</v>
      </c>
      <c r="I2296" s="11">
        <v>40446.67</v>
      </c>
      <c r="K2296" s="12" t="str">
        <f t="shared" si="292"/>
        <v>UN3668</v>
      </c>
      <c r="M2296" s="2" t="s">
        <v>24</v>
      </c>
      <c r="N2296" s="2" t="s">
        <v>60</v>
      </c>
      <c r="O2296" s="2">
        <v>1.10751038E8</v>
      </c>
      <c r="P2296" s="15" t="str">
        <f>IFERROR(__xludf.DUMMYFUNCTION("CONCATENATE(B2296,"", "", to_text(D2296),"", "", E2296,"", "", H2296)"),"TSV-2601-0180, 10-Jan-2026, UPI/CR/426907953145/BHARTI /CNRB/bhartib/UN3668, 1568")</f>
        <v>TSV-2601-0180, 10-Jan-2026, UPI/CR/426907953145/BHARTI /CNRB/bhartib/UN3668, 1568</v>
      </c>
      <c r="Q2296" s="8">
        <v>2026.0</v>
      </c>
      <c r="R2296" s="8" t="s">
        <v>6777</v>
      </c>
    </row>
    <row r="2297">
      <c r="A2297" s="4" t="s">
        <v>18</v>
      </c>
      <c r="B2297" s="2" t="s">
        <v>7283</v>
      </c>
      <c r="C2297" s="5">
        <v>46032.0</v>
      </c>
      <c r="D2297" s="5">
        <v>46032.0</v>
      </c>
      <c r="E2297" s="4" t="s">
        <v>7284</v>
      </c>
      <c r="F2297" s="9"/>
      <c r="G2297" s="6"/>
      <c r="H2297" s="7">
        <v>117.0</v>
      </c>
      <c r="I2297" s="11">
        <v>40563.67</v>
      </c>
      <c r="K2297" s="12" t="str">
        <f t="shared" si="292"/>
        <v>UN3668</v>
      </c>
      <c r="M2297" s="2" t="s">
        <v>24</v>
      </c>
      <c r="N2297" s="2" t="s">
        <v>60</v>
      </c>
      <c r="O2297" s="2">
        <v>1.10751038E8</v>
      </c>
      <c r="P2297" s="15" t="str">
        <f>IFERROR(__xludf.DUMMYFUNCTION("CONCATENATE(B2297,"", "", to_text(D2297),"", "", E2297,"", "", H2297)"),"TSV-2601-0181, 10-Jan-2026, UPI/CR/400625164459/SHEEBA /SBIN/9773821/UN3668, 117")</f>
        <v>TSV-2601-0181, 10-Jan-2026, UPI/CR/400625164459/SHEEBA /SBIN/9773821/UN3668, 117</v>
      </c>
      <c r="Q2297" s="8">
        <v>2026.0</v>
      </c>
      <c r="R2297" s="8" t="s">
        <v>6777</v>
      </c>
    </row>
    <row r="2298">
      <c r="A2298" s="4" t="s">
        <v>18</v>
      </c>
      <c r="B2298" s="2" t="s">
        <v>7285</v>
      </c>
      <c r="C2298" s="5">
        <v>46033.0</v>
      </c>
      <c r="D2298" s="5">
        <v>46033.0</v>
      </c>
      <c r="E2298" s="4" t="s">
        <v>7286</v>
      </c>
      <c r="F2298" s="9"/>
      <c r="G2298" s="7">
        <v>365.0</v>
      </c>
      <c r="H2298" s="27"/>
      <c r="I2298" s="11">
        <v>40198.67</v>
      </c>
      <c r="K2298" s="2" t="s">
        <v>119</v>
      </c>
      <c r="M2298" s="2" t="s">
        <v>114</v>
      </c>
      <c r="N2298" s="2" t="s">
        <v>478</v>
      </c>
      <c r="O2298" s="2">
        <v>1.10751038E8</v>
      </c>
      <c r="Q2298" s="8">
        <v>2026.0</v>
      </c>
      <c r="R2298" s="8" t="s">
        <v>6777</v>
      </c>
    </row>
    <row r="2299">
      <c r="A2299" s="4" t="s">
        <v>18</v>
      </c>
      <c r="B2299" s="2" t="s">
        <v>7287</v>
      </c>
      <c r="C2299" s="5">
        <v>46033.0</v>
      </c>
      <c r="D2299" s="5">
        <v>46033.0</v>
      </c>
      <c r="E2299" s="4" t="s">
        <v>7288</v>
      </c>
      <c r="F2299" s="9"/>
      <c r="G2299" s="6"/>
      <c r="H2299" s="7">
        <v>370.0</v>
      </c>
      <c r="I2299" s="11">
        <v>40568.67</v>
      </c>
      <c r="K2299" s="12" t="str">
        <f t="shared" ref="K2299:K2300" si="293">RIGHT(E2299,6)</f>
        <v>UN3668</v>
      </c>
      <c r="M2299" s="2" t="s">
        <v>24</v>
      </c>
      <c r="N2299" s="2" t="s">
        <v>60</v>
      </c>
      <c r="O2299" s="2">
        <v>1.10751038E8</v>
      </c>
      <c r="P2299" s="15" t="str">
        <f>IFERROR(__xludf.DUMMYFUNCTION("CONCATENATE(B2299,"", "", to_text(D2299),"", "", E2299,"", "", H2299)"),"TSV-2601-0183, 11-Jan-2026, UPI/CR/601150875666/SANDEEP /UTIB/9810060/UN3668, 370")</f>
        <v>TSV-2601-0183, 11-Jan-2026, UPI/CR/601150875666/SANDEEP /UTIB/9810060/UN3668, 370</v>
      </c>
      <c r="Q2299" s="8">
        <v>2026.0</v>
      </c>
      <c r="R2299" s="8" t="s">
        <v>6777</v>
      </c>
    </row>
    <row r="2300">
      <c r="A2300" s="4" t="s">
        <v>18</v>
      </c>
      <c r="B2300" s="2" t="s">
        <v>7289</v>
      </c>
      <c r="C2300" s="5">
        <v>46033.0</v>
      </c>
      <c r="D2300" s="5">
        <v>46033.0</v>
      </c>
      <c r="E2300" s="4" t="s">
        <v>7290</v>
      </c>
      <c r="F2300" s="9"/>
      <c r="G2300" s="6"/>
      <c r="H2300" s="7">
        <v>380.0</v>
      </c>
      <c r="I2300" s="11">
        <v>40948.67</v>
      </c>
      <c r="K2300" s="12" t="str">
        <f t="shared" si="293"/>
        <v>UN3668</v>
      </c>
      <c r="M2300" s="2" t="s">
        <v>24</v>
      </c>
      <c r="N2300" s="2" t="s">
        <v>60</v>
      </c>
      <c r="O2300" s="2">
        <v>1.10751038E8</v>
      </c>
      <c r="P2300" s="15" t="str">
        <f>IFERROR(__xludf.DUMMYFUNCTION("CONCATENATE(B2300,"", "", to_text(D2300),"", "", E2300,"", "", H2300)"),"TSV-2601-0184, 11-Jan-2026, UPI/CR/601105856501/AMIT YAD/ICIC/amit.ya/UN3668, 380")</f>
        <v>TSV-2601-0184, 11-Jan-2026, UPI/CR/601105856501/AMIT YAD/ICIC/amit.ya/UN3668, 380</v>
      </c>
      <c r="Q2300" s="8">
        <v>2026.0</v>
      </c>
      <c r="R2300" s="8" t="s">
        <v>6777</v>
      </c>
    </row>
    <row r="2301">
      <c r="A2301" s="4" t="s">
        <v>18</v>
      </c>
      <c r="B2301" s="2" t="s">
        <v>7291</v>
      </c>
      <c r="C2301" s="5">
        <v>46033.0</v>
      </c>
      <c r="D2301" s="5">
        <v>46033.0</v>
      </c>
      <c r="E2301" s="4" t="s">
        <v>7292</v>
      </c>
      <c r="F2301" s="9"/>
      <c r="G2301" s="6"/>
      <c r="H2301" s="7">
        <v>426.0</v>
      </c>
      <c r="I2301" s="11">
        <v>41374.67</v>
      </c>
      <c r="K2301" s="2" t="s">
        <v>127</v>
      </c>
      <c r="L2301" s="2" t="s">
        <v>7293</v>
      </c>
      <c r="M2301" s="2" t="s">
        <v>24</v>
      </c>
      <c r="N2301" s="2" t="s">
        <v>60</v>
      </c>
      <c r="O2301" s="2">
        <v>1.10751038E8</v>
      </c>
      <c r="Q2301" s="8">
        <v>2026.0</v>
      </c>
      <c r="R2301" s="8" t="s">
        <v>6777</v>
      </c>
    </row>
    <row r="2302">
      <c r="A2302" s="4" t="s">
        <v>18</v>
      </c>
      <c r="B2302" s="2" t="s">
        <v>7294</v>
      </c>
      <c r="C2302" s="5">
        <v>46033.0</v>
      </c>
      <c r="D2302" s="5">
        <v>46033.0</v>
      </c>
      <c r="E2302" s="4" t="s">
        <v>7295</v>
      </c>
      <c r="F2302" s="9"/>
      <c r="G2302" s="11">
        <v>1714.0</v>
      </c>
      <c r="H2302" s="27"/>
      <c r="I2302" s="11">
        <v>39660.67</v>
      </c>
      <c r="K2302" s="2" t="s">
        <v>119</v>
      </c>
      <c r="M2302" s="2" t="s">
        <v>114</v>
      </c>
      <c r="N2302" s="2" t="s">
        <v>1800</v>
      </c>
      <c r="O2302" s="2">
        <v>1.10751038E8</v>
      </c>
      <c r="Q2302" s="8">
        <v>2026.0</v>
      </c>
      <c r="R2302" s="8" t="s">
        <v>6777</v>
      </c>
    </row>
    <row r="2303">
      <c r="A2303" s="4" t="s">
        <v>18</v>
      </c>
      <c r="B2303" s="2" t="s">
        <v>7296</v>
      </c>
      <c r="C2303" s="5">
        <v>46033.0</v>
      </c>
      <c r="D2303" s="5">
        <v>46033.0</v>
      </c>
      <c r="E2303" s="4" t="s">
        <v>7297</v>
      </c>
      <c r="F2303" s="9"/>
      <c r="G2303" s="6"/>
      <c r="H2303" s="7">
        <v>424.0</v>
      </c>
      <c r="I2303" s="11">
        <v>40084.67</v>
      </c>
      <c r="K2303" s="12" t="str">
        <f t="shared" ref="K2303:K2324" si="294">RIGHT(E2303,6)</f>
        <v>SC3567</v>
      </c>
      <c r="M2303" s="2" t="s">
        <v>24</v>
      </c>
      <c r="N2303" s="2" t="s">
        <v>60</v>
      </c>
      <c r="O2303" s="2">
        <v>1.10751038E8</v>
      </c>
      <c r="P2303" s="15" t="str">
        <f>IFERROR(__xludf.DUMMYFUNCTION("CONCATENATE(B2303,"", "", to_text(D2303),"", "", E2303,"", "", H2303)"),"TSV-2601-0187, 11-Jan-2026, UPI/CR/601170567476/BABU LAL/CNRB/chhibbe/SC3567, 424")</f>
        <v>TSV-2601-0187, 11-Jan-2026, UPI/CR/601170567476/BABU LAL/CNRB/chhibbe/SC3567, 424</v>
      </c>
      <c r="Q2303" s="8">
        <v>2026.0</v>
      </c>
      <c r="R2303" s="8" t="s">
        <v>6777</v>
      </c>
    </row>
    <row r="2304">
      <c r="A2304" s="4" t="s">
        <v>18</v>
      </c>
      <c r="B2304" s="2" t="s">
        <v>7298</v>
      </c>
      <c r="C2304" s="5">
        <v>46033.0</v>
      </c>
      <c r="D2304" s="5">
        <v>46033.0</v>
      </c>
      <c r="E2304" s="4" t="s">
        <v>7299</v>
      </c>
      <c r="F2304" s="9"/>
      <c r="G2304" s="6"/>
      <c r="H2304" s="7">
        <v>315.0</v>
      </c>
      <c r="I2304" s="11">
        <v>40399.67</v>
      </c>
      <c r="K2304" s="12" t="str">
        <f t="shared" si="294"/>
        <v>UN3668</v>
      </c>
      <c r="M2304" s="2" t="s">
        <v>24</v>
      </c>
      <c r="N2304" s="2" t="s">
        <v>60</v>
      </c>
      <c r="O2304" s="2">
        <v>1.10751038E8</v>
      </c>
      <c r="P2304" s="15" t="str">
        <f>IFERROR(__xludf.DUMMYFUNCTION("CONCATENATE(B2304,"", "", to_text(D2304),"", "", E2304,"", "", H2304)"),"TSV-2601-0188, 11-Jan-2026, UPI/CR/117028976439/ABHINAV /KKBK/vasua9@/UN3668, 315")</f>
        <v>TSV-2601-0188, 11-Jan-2026, UPI/CR/117028976439/ABHINAV /KKBK/vasua9@/UN3668, 315</v>
      </c>
      <c r="Q2304" s="8">
        <v>2026.0</v>
      </c>
      <c r="R2304" s="8" t="s">
        <v>6777</v>
      </c>
    </row>
    <row r="2305">
      <c r="A2305" s="4" t="s">
        <v>18</v>
      </c>
      <c r="B2305" s="2" t="s">
        <v>7300</v>
      </c>
      <c r="C2305" s="5">
        <v>46033.0</v>
      </c>
      <c r="D2305" s="5">
        <v>46033.0</v>
      </c>
      <c r="E2305" s="4" t="s">
        <v>7301</v>
      </c>
      <c r="F2305" s="9"/>
      <c r="G2305" s="6"/>
      <c r="H2305" s="11">
        <v>1040.0</v>
      </c>
      <c r="I2305" s="11">
        <v>41439.67</v>
      </c>
      <c r="K2305" s="12" t="str">
        <f t="shared" si="294"/>
        <v>KN3817</v>
      </c>
      <c r="M2305" s="2" t="s">
        <v>24</v>
      </c>
      <c r="N2305" s="2" t="s">
        <v>60</v>
      </c>
      <c r="O2305" s="2">
        <v>1.10751038E8</v>
      </c>
      <c r="P2305" s="15" t="str">
        <f>IFERROR(__xludf.DUMMYFUNCTION("CONCATENATE(B2305,"", "", to_text(D2305),"", "", E2305,"", "", H2305)"),"TSV-2601-0189, 11-Jan-2026, UPI/CR/117029211050/CHETNA U/HDFC/rishiub/KN3817, 1040")</f>
        <v>TSV-2601-0189, 11-Jan-2026, UPI/CR/117029211050/CHETNA U/HDFC/rishiub/KN3817, 1040</v>
      </c>
      <c r="Q2305" s="8">
        <v>2026.0</v>
      </c>
      <c r="R2305" s="8" t="s">
        <v>6777</v>
      </c>
    </row>
    <row r="2306">
      <c r="A2306" s="4" t="s">
        <v>18</v>
      </c>
      <c r="B2306" s="2" t="s">
        <v>7302</v>
      </c>
      <c r="C2306" s="5">
        <v>46033.0</v>
      </c>
      <c r="D2306" s="5">
        <v>46033.0</v>
      </c>
      <c r="E2306" s="4" t="s">
        <v>7303</v>
      </c>
      <c r="F2306" s="9"/>
      <c r="G2306" s="6"/>
      <c r="H2306" s="7">
        <v>300.0</v>
      </c>
      <c r="I2306" s="11">
        <v>41739.67</v>
      </c>
      <c r="K2306" s="12" t="str">
        <f t="shared" si="294"/>
        <v>UN3668</v>
      </c>
      <c r="M2306" s="2" t="s">
        <v>24</v>
      </c>
      <c r="N2306" s="2" t="s">
        <v>60</v>
      </c>
      <c r="O2306" s="2">
        <v>1.10751038E8</v>
      </c>
      <c r="P2306" s="15" t="str">
        <f>IFERROR(__xludf.DUMMYFUNCTION("CONCATENATE(B2306,"", "", to_text(D2306),"", "", E2306,"", "", H2306)"),"TSV-2601-0190, 11-Jan-2026, UPI/CR/395316420583/IMRAN/AIRP/9927313/UN3668, 300")</f>
        <v>TSV-2601-0190, 11-Jan-2026, UPI/CR/395316420583/IMRAN/AIRP/9927313/UN3668, 300</v>
      </c>
      <c r="Q2306" s="8">
        <v>2026.0</v>
      </c>
      <c r="R2306" s="8" t="s">
        <v>6777</v>
      </c>
    </row>
    <row r="2307">
      <c r="A2307" s="4" t="s">
        <v>18</v>
      </c>
      <c r="B2307" s="2" t="s">
        <v>7304</v>
      </c>
      <c r="C2307" s="5">
        <v>46033.0</v>
      </c>
      <c r="D2307" s="5">
        <v>46033.0</v>
      </c>
      <c r="E2307" s="4" t="s">
        <v>7305</v>
      </c>
      <c r="F2307" s="9"/>
      <c r="G2307" s="6"/>
      <c r="H2307" s="7">
        <v>425.0</v>
      </c>
      <c r="I2307" s="11">
        <v>42164.67</v>
      </c>
      <c r="K2307" s="12" t="str">
        <f t="shared" si="294"/>
        <v>UN3668</v>
      </c>
      <c r="M2307" s="2" t="s">
        <v>24</v>
      </c>
      <c r="N2307" s="2" t="s">
        <v>60</v>
      </c>
      <c r="O2307" s="2">
        <v>1.10751038E8</v>
      </c>
      <c r="P2307" s="15" t="str">
        <f>IFERROR(__xludf.DUMMYFUNCTION("CONCATENATE(B2307,"", "", to_text(D2307),"", "", E2307,"", "", H2307)"),"TSV-2601-0191, 11-Jan-2026, UPI/CR/637743544792/GAYATRI /UBIN/sinhaya/UN3668, 425")</f>
        <v>TSV-2601-0191, 11-Jan-2026, UPI/CR/637743544792/GAYATRI /UBIN/sinhaya/UN3668, 425</v>
      </c>
      <c r="Q2307" s="8">
        <v>2026.0</v>
      </c>
      <c r="R2307" s="8" t="s">
        <v>6777</v>
      </c>
    </row>
    <row r="2308">
      <c r="A2308" s="4" t="s">
        <v>18</v>
      </c>
      <c r="B2308" s="2" t="s">
        <v>7306</v>
      </c>
      <c r="C2308" s="5">
        <v>46033.0</v>
      </c>
      <c r="D2308" s="5">
        <v>46033.0</v>
      </c>
      <c r="E2308" s="4" t="s">
        <v>7307</v>
      </c>
      <c r="F2308" s="9"/>
      <c r="G2308" s="6"/>
      <c r="H2308" s="7">
        <v>507.0</v>
      </c>
      <c r="I2308" s="11">
        <v>42671.67</v>
      </c>
      <c r="K2308" s="12" t="str">
        <f t="shared" si="294"/>
        <v>SC3567</v>
      </c>
      <c r="M2308" s="2" t="s">
        <v>24</v>
      </c>
      <c r="N2308" s="2" t="s">
        <v>60</v>
      </c>
      <c r="O2308" s="2">
        <v>1.10751038E8</v>
      </c>
      <c r="P2308" s="15" t="str">
        <f>IFERROR(__xludf.DUMMYFUNCTION("CONCATENATE(B2308,"", "", to_text(D2308),"", "", E2308,"", "", H2308)"),"TSV-2601-0192, 11-Jan-2026, UPI/CR/395318151655/PRATIK K/ICIC/9289152/SC3567, 507")</f>
        <v>TSV-2601-0192, 11-Jan-2026, UPI/CR/395318151655/PRATIK K/ICIC/9289152/SC3567, 507</v>
      </c>
      <c r="Q2308" s="8">
        <v>2026.0</v>
      </c>
      <c r="R2308" s="8" t="s">
        <v>6777</v>
      </c>
    </row>
    <row r="2309">
      <c r="A2309" s="4" t="s">
        <v>18</v>
      </c>
      <c r="B2309" s="2" t="s">
        <v>7308</v>
      </c>
      <c r="C2309" s="5">
        <v>46033.0</v>
      </c>
      <c r="D2309" s="5">
        <v>46033.0</v>
      </c>
      <c r="E2309" s="4" t="s">
        <v>7309</v>
      </c>
      <c r="F2309" s="9"/>
      <c r="G2309" s="6"/>
      <c r="H2309" s="11">
        <v>1565.0</v>
      </c>
      <c r="I2309" s="11">
        <v>44236.67</v>
      </c>
      <c r="K2309" s="12" t="str">
        <f t="shared" si="294"/>
        <v>SL1610</v>
      </c>
      <c r="M2309" s="2" t="s">
        <v>24</v>
      </c>
      <c r="N2309" s="2" t="s">
        <v>60</v>
      </c>
      <c r="O2309" s="2">
        <v>1.10751038E8</v>
      </c>
      <c r="P2309" s="15" t="str">
        <f>IFERROR(__xludf.DUMMYFUNCTION("CONCATENATE(B2309,"", "", to_text(D2309),"", "", E2309,"", "", H2309)"),"TSV-2601-0193, 11-Jan-2026, UPI/CR/048295500273/RANODEEP/HDFC/7688055/SL1610, 1565")</f>
        <v>TSV-2601-0193, 11-Jan-2026, UPI/CR/048295500273/RANODEEP/HDFC/7688055/SL1610, 1565</v>
      </c>
      <c r="Q2309" s="8">
        <v>2026.0</v>
      </c>
      <c r="R2309" s="8" t="s">
        <v>6777</v>
      </c>
    </row>
    <row r="2310">
      <c r="A2310" s="4" t="s">
        <v>18</v>
      </c>
      <c r="B2310" s="2" t="s">
        <v>7310</v>
      </c>
      <c r="C2310" s="5">
        <v>46033.0</v>
      </c>
      <c r="D2310" s="5">
        <v>46033.0</v>
      </c>
      <c r="E2310" s="4" t="s">
        <v>7311</v>
      </c>
      <c r="F2310" s="9"/>
      <c r="G2310" s="6"/>
      <c r="H2310" s="7">
        <v>440.0</v>
      </c>
      <c r="I2310" s="11">
        <v>44676.67</v>
      </c>
      <c r="K2310" s="12" t="str">
        <f t="shared" si="294"/>
        <v>KN3817</v>
      </c>
      <c r="M2310" s="2" t="s">
        <v>24</v>
      </c>
      <c r="N2310" s="2" t="s">
        <v>60</v>
      </c>
      <c r="O2310" s="2">
        <v>1.10751038E8</v>
      </c>
      <c r="P2310" s="15" t="str">
        <f>IFERROR(__xludf.DUMMYFUNCTION("CONCATENATE(B2310,"", "", to_text(D2310),"", "", E2310,"", "", H2310)"),"TSV-2601-0194, 11-Jan-2026, UPI/CR/279968500116/HIMANSHU/SBIN/mylordh/KN3817, 440")</f>
        <v>TSV-2601-0194, 11-Jan-2026, UPI/CR/279968500116/HIMANSHU/SBIN/mylordh/KN3817, 440</v>
      </c>
      <c r="Q2310" s="8">
        <v>2026.0</v>
      </c>
      <c r="R2310" s="8" t="s">
        <v>6777</v>
      </c>
    </row>
    <row r="2311">
      <c r="A2311" s="4" t="s">
        <v>18</v>
      </c>
      <c r="B2311" s="2" t="s">
        <v>7312</v>
      </c>
      <c r="C2311" s="5">
        <v>46033.0</v>
      </c>
      <c r="D2311" s="5">
        <v>46033.0</v>
      </c>
      <c r="E2311" s="4" t="s">
        <v>7313</v>
      </c>
      <c r="F2311" s="9"/>
      <c r="G2311" s="6"/>
      <c r="H2311" s="7">
        <v>825.0</v>
      </c>
      <c r="I2311" s="11">
        <v>45501.67</v>
      </c>
      <c r="K2311" s="12" t="str">
        <f t="shared" si="294"/>
        <v>SL1610</v>
      </c>
      <c r="M2311" s="2" t="s">
        <v>24</v>
      </c>
      <c r="N2311" s="2" t="s">
        <v>60</v>
      </c>
      <c r="O2311" s="2">
        <v>1.10751038E8</v>
      </c>
      <c r="P2311" s="15" t="str">
        <f>IFERROR(__xludf.DUMMYFUNCTION("CONCATENATE(B2311,"", "", to_text(D2311),"", "", E2311,"", "", H2311)"),"TSV-2601-0195, 11-Jan-2026, UPI/CR/637742300028/SAMEER S/ICIC/sameers/SL1610, 825")</f>
        <v>TSV-2601-0195, 11-Jan-2026, UPI/CR/637742300028/SAMEER S/ICIC/sameers/SL1610, 825</v>
      </c>
      <c r="Q2311" s="8">
        <v>2026.0</v>
      </c>
      <c r="R2311" s="8" t="s">
        <v>6777</v>
      </c>
    </row>
    <row r="2312">
      <c r="A2312" s="4" t="s">
        <v>18</v>
      </c>
      <c r="B2312" s="2" t="s">
        <v>7314</v>
      </c>
      <c r="C2312" s="5">
        <v>46033.0</v>
      </c>
      <c r="D2312" s="5">
        <v>46033.0</v>
      </c>
      <c r="E2312" s="4" t="s">
        <v>7315</v>
      </c>
      <c r="F2312" s="9"/>
      <c r="G2312" s="6"/>
      <c r="H2312" s="7">
        <v>700.0</v>
      </c>
      <c r="I2312" s="11">
        <v>46201.67</v>
      </c>
      <c r="K2312" s="12" t="str">
        <f t="shared" si="294"/>
        <v>KN3817</v>
      </c>
      <c r="M2312" s="2" t="s">
        <v>24</v>
      </c>
      <c r="N2312" s="2" t="s">
        <v>60</v>
      </c>
      <c r="O2312" s="2">
        <v>1.10751038E8</v>
      </c>
      <c r="P2312" s="15" t="str">
        <f>IFERROR(__xludf.DUMMYFUNCTION("CONCATENATE(B2312,"", "", to_text(D2312),"", "", E2312,"", "", H2312)"),"TSV-2601-0196, 11-Jan-2026, UPI/CR/191810384714/MrPARDEE/CBIN/9817980/KN3817, 700")</f>
        <v>TSV-2601-0196, 11-Jan-2026, UPI/CR/191810384714/MrPARDEE/CBIN/9817980/KN3817, 700</v>
      </c>
      <c r="Q2312" s="8">
        <v>2026.0</v>
      </c>
      <c r="R2312" s="8" t="s">
        <v>6777</v>
      </c>
    </row>
    <row r="2313">
      <c r="A2313" s="4" t="s">
        <v>18</v>
      </c>
      <c r="B2313" s="2" t="s">
        <v>7316</v>
      </c>
      <c r="C2313" s="5">
        <v>46033.0</v>
      </c>
      <c r="D2313" s="5">
        <v>46033.0</v>
      </c>
      <c r="E2313" s="4" t="s">
        <v>7317</v>
      </c>
      <c r="F2313" s="9"/>
      <c r="G2313" s="6"/>
      <c r="H2313" s="11">
        <v>2235.0</v>
      </c>
      <c r="I2313" s="11">
        <v>48436.67</v>
      </c>
      <c r="K2313" s="12" t="str">
        <f t="shared" si="294"/>
        <v>SL1610</v>
      </c>
      <c r="M2313" s="2" t="s">
        <v>24</v>
      </c>
      <c r="N2313" s="2" t="s">
        <v>60</v>
      </c>
      <c r="O2313" s="2">
        <v>1.10751038E8</v>
      </c>
      <c r="P2313" s="15" t="str">
        <f>IFERROR(__xludf.DUMMYFUNCTION("CONCATENATE(B2313,"", "", to_text(D2313),"", "", E2313,"", "", H2313)"),"TSV-2601-0197, 11-Jan-2026, UPI/CR/117041382336/VARUN SA/HDFC/sainiva/SL1610, 2235")</f>
        <v>TSV-2601-0197, 11-Jan-2026, UPI/CR/117041382336/VARUN SA/HDFC/sainiva/SL1610, 2235</v>
      </c>
      <c r="Q2313" s="8">
        <v>2026.0</v>
      </c>
      <c r="R2313" s="8" t="s">
        <v>6777</v>
      </c>
    </row>
    <row r="2314">
      <c r="A2314" s="4" t="s">
        <v>18</v>
      </c>
      <c r="B2314" s="2" t="s">
        <v>7318</v>
      </c>
      <c r="C2314" s="5">
        <v>46033.0</v>
      </c>
      <c r="D2314" s="5">
        <v>46033.0</v>
      </c>
      <c r="E2314" s="4" t="s">
        <v>7319</v>
      </c>
      <c r="F2314" s="9"/>
      <c r="G2314" s="6"/>
      <c r="H2314" s="7">
        <v>420.0</v>
      </c>
      <c r="I2314" s="11">
        <v>48856.67</v>
      </c>
      <c r="K2314" s="12" t="str">
        <f t="shared" si="294"/>
        <v>UN3668</v>
      </c>
      <c r="M2314" s="2" t="s">
        <v>24</v>
      </c>
      <c r="N2314" s="2" t="s">
        <v>60</v>
      </c>
      <c r="O2314" s="2">
        <v>1.10751038E8</v>
      </c>
      <c r="P2314" s="15" t="str">
        <f>IFERROR(__xludf.DUMMYFUNCTION("CONCATENATE(B2314,"", "", to_text(D2314),"", "", E2314,"", "", H2314)"),"TSV-2601-0198, 11-Jan-2026, UPI/CR/117043630223/VISHVA D/HDFC/vishva./UN3668, 420")</f>
        <v>TSV-2601-0198, 11-Jan-2026, UPI/CR/117043630223/VISHVA D/HDFC/vishva./UN3668, 420</v>
      </c>
      <c r="Q2314" s="8">
        <v>2026.0</v>
      </c>
      <c r="R2314" s="8" t="s">
        <v>6777</v>
      </c>
    </row>
    <row r="2315">
      <c r="A2315" s="4" t="s">
        <v>18</v>
      </c>
      <c r="B2315" s="2" t="s">
        <v>7320</v>
      </c>
      <c r="C2315" s="5">
        <v>46033.0</v>
      </c>
      <c r="D2315" s="5">
        <v>46033.0</v>
      </c>
      <c r="E2315" s="4" t="s">
        <v>7321</v>
      </c>
      <c r="F2315" s="9"/>
      <c r="G2315" s="6"/>
      <c r="H2315" s="11">
        <v>1077.25</v>
      </c>
      <c r="I2315" s="11">
        <v>49933.92</v>
      </c>
      <c r="K2315" s="12" t="str">
        <f t="shared" si="294"/>
        <v>SC3567</v>
      </c>
      <c r="M2315" s="2" t="s">
        <v>24</v>
      </c>
      <c r="N2315" s="2" t="s">
        <v>60</v>
      </c>
      <c r="O2315" s="2">
        <v>1.10751038E8</v>
      </c>
      <c r="P2315" s="15" t="str">
        <f>IFERROR(__xludf.DUMMYFUNCTION("CONCATENATE(B2315,"", "", to_text(D2315),"", "", E2315,"", "", H2315)"),"TSV-2601-0199, 11-Jan-2026, UPI/CR/212717150945/AARUSHKA/ICIC/aarush./SC3567, 1077.25")</f>
        <v>TSV-2601-0199, 11-Jan-2026, UPI/CR/212717150945/AARUSHKA/ICIC/aarush./SC3567, 1077.25</v>
      </c>
      <c r="Q2315" s="8">
        <v>2026.0</v>
      </c>
      <c r="R2315" s="8" t="s">
        <v>6777</v>
      </c>
    </row>
    <row r="2316">
      <c r="A2316" s="4" t="s">
        <v>18</v>
      </c>
      <c r="B2316" s="2" t="s">
        <v>7322</v>
      </c>
      <c r="C2316" s="5">
        <v>46033.0</v>
      </c>
      <c r="D2316" s="5">
        <v>46033.0</v>
      </c>
      <c r="E2316" s="4" t="s">
        <v>7323</v>
      </c>
      <c r="F2316" s="9"/>
      <c r="G2316" s="6"/>
      <c r="H2316" s="7">
        <v>469.0</v>
      </c>
      <c r="I2316" s="11">
        <v>50402.92</v>
      </c>
      <c r="K2316" s="12" t="str">
        <f t="shared" si="294"/>
        <v>SL1610</v>
      </c>
      <c r="M2316" s="2" t="s">
        <v>24</v>
      </c>
      <c r="N2316" s="2" t="s">
        <v>60</v>
      </c>
      <c r="O2316" s="2">
        <v>1.10751038E8</v>
      </c>
      <c r="P2316" s="15" t="str">
        <f>IFERROR(__xludf.DUMMYFUNCTION("CONCATENATE(B2316,"", "", to_text(D2316),"", "", E2316,"", "", H2316)"),"TSV-2601-0200, 11-Jan-2026, UPI/CR/117051766536/DIVIJA V/HDFC/divijav/SL1610, 469")</f>
        <v>TSV-2601-0200, 11-Jan-2026, UPI/CR/117051766536/DIVIJA V/HDFC/divijav/SL1610, 469</v>
      </c>
      <c r="Q2316" s="8">
        <v>2026.0</v>
      </c>
      <c r="R2316" s="8" t="s">
        <v>6777</v>
      </c>
    </row>
    <row r="2317">
      <c r="A2317" s="4" t="s">
        <v>18</v>
      </c>
      <c r="B2317" s="2" t="s">
        <v>7324</v>
      </c>
      <c r="C2317" s="5">
        <v>46034.0</v>
      </c>
      <c r="D2317" s="5">
        <v>46034.0</v>
      </c>
      <c r="E2317" s="4" t="s">
        <v>7325</v>
      </c>
      <c r="F2317" s="9"/>
      <c r="G2317" s="6"/>
      <c r="H2317" s="7">
        <v>862.0</v>
      </c>
      <c r="I2317" s="11">
        <v>51264.92</v>
      </c>
      <c r="K2317" s="12" t="str">
        <f t="shared" si="294"/>
        <v>SL1610</v>
      </c>
      <c r="M2317" s="2" t="s">
        <v>24</v>
      </c>
      <c r="N2317" s="2" t="s">
        <v>60</v>
      </c>
      <c r="O2317" s="2">
        <v>1.10751038E8</v>
      </c>
      <c r="P2317" s="15" t="str">
        <f>IFERROR(__xludf.DUMMYFUNCTION("CONCATENATE(B2317,"", "", to_text(D2317),"", "", E2317,"", "", H2317)"),"TSV-2601-0201, 12-Jan-2026, UPI/CR/395351390697/PRACHI H/ICIC/7493990/SL1610, 862")</f>
        <v>TSV-2601-0201, 12-Jan-2026, UPI/CR/395351390697/PRACHI H/ICIC/7493990/SL1610, 862</v>
      </c>
      <c r="Q2317" s="8">
        <v>2026.0</v>
      </c>
      <c r="R2317" s="8" t="s">
        <v>6777</v>
      </c>
    </row>
    <row r="2318">
      <c r="A2318" s="4" t="s">
        <v>18</v>
      </c>
      <c r="B2318" s="2" t="s">
        <v>7326</v>
      </c>
      <c r="C2318" s="5">
        <v>46034.0</v>
      </c>
      <c r="D2318" s="5">
        <v>46034.0</v>
      </c>
      <c r="E2318" s="4" t="s">
        <v>7327</v>
      </c>
      <c r="F2318" s="9"/>
      <c r="G2318" s="6"/>
      <c r="H2318" s="7">
        <v>865.0</v>
      </c>
      <c r="I2318" s="11">
        <v>52129.92</v>
      </c>
      <c r="K2318" s="12" t="str">
        <f t="shared" si="294"/>
        <v>UN3668</v>
      </c>
      <c r="M2318" s="2" t="s">
        <v>24</v>
      </c>
      <c r="N2318" s="2" t="s">
        <v>60</v>
      </c>
      <c r="O2318" s="2">
        <v>1.10751038E8</v>
      </c>
      <c r="P2318" s="15" t="str">
        <f>IFERROR(__xludf.DUMMYFUNCTION("CONCATENATE(B2318,"", "", to_text(D2318),"", "", E2318,"", "", H2318)"),"TSV-2601-0202, 12-Jan-2026, UPI/CR/601207088153/NEHA KH/KKBK/nehakh1/UN3668, 865")</f>
        <v>TSV-2601-0202, 12-Jan-2026, UPI/CR/601207088153/NEHA KH/KKBK/nehakh1/UN3668, 865</v>
      </c>
      <c r="Q2318" s="8">
        <v>2026.0</v>
      </c>
      <c r="R2318" s="8" t="s">
        <v>6777</v>
      </c>
    </row>
    <row r="2319">
      <c r="A2319" s="4" t="s">
        <v>18</v>
      </c>
      <c r="B2319" s="2" t="s">
        <v>7328</v>
      </c>
      <c r="C2319" s="5">
        <v>46034.0</v>
      </c>
      <c r="D2319" s="5">
        <v>46034.0</v>
      </c>
      <c r="E2319" s="4" t="s">
        <v>7329</v>
      </c>
      <c r="F2319" s="9"/>
      <c r="G2319" s="6"/>
      <c r="H2319" s="11">
        <v>5000.0</v>
      </c>
      <c r="I2319" s="11">
        <v>57129.92</v>
      </c>
      <c r="K2319" s="12" t="str">
        <f t="shared" si="294"/>
        <v>SC3567</v>
      </c>
      <c r="M2319" s="2" t="s">
        <v>24</v>
      </c>
      <c r="N2319" s="2" t="s">
        <v>60</v>
      </c>
      <c r="O2319" s="2">
        <v>1.10751038E8</v>
      </c>
      <c r="P2319" s="15" t="str">
        <f>IFERROR(__xludf.DUMMYFUNCTION("CONCATENATE(B2319,"", "", to_text(D2319),"", "", E2319,"", "", H2319)"),"TSV-2601-0203, 12-Jan-2026, UPI/CR/601298964172/RAJENDRA/SBIN/9312336/SC3567, 5000")</f>
        <v>TSV-2601-0203, 12-Jan-2026, UPI/CR/601298964172/RAJENDRA/SBIN/9312336/SC3567, 5000</v>
      </c>
      <c r="Q2319" s="8">
        <v>2026.0</v>
      </c>
      <c r="R2319" s="8" t="s">
        <v>6777</v>
      </c>
    </row>
    <row r="2320">
      <c r="A2320" s="4" t="s">
        <v>18</v>
      </c>
      <c r="B2320" s="2" t="s">
        <v>7330</v>
      </c>
      <c r="C2320" s="5">
        <v>46034.0</v>
      </c>
      <c r="D2320" s="5">
        <v>46034.0</v>
      </c>
      <c r="E2320" s="4" t="s">
        <v>7331</v>
      </c>
      <c r="F2320" s="9"/>
      <c r="G2320" s="6"/>
      <c r="H2320" s="7">
        <v>689.0</v>
      </c>
      <c r="I2320" s="11">
        <v>57818.92</v>
      </c>
      <c r="K2320" s="12" t="str">
        <f t="shared" si="294"/>
        <v>UN3668</v>
      </c>
      <c r="M2320" s="2" t="s">
        <v>24</v>
      </c>
      <c r="N2320" s="2" t="s">
        <v>60</v>
      </c>
      <c r="O2320" s="2">
        <v>1.10751038E8</v>
      </c>
      <c r="P2320" s="15" t="str">
        <f>IFERROR(__xludf.DUMMYFUNCTION("CONCATENATE(B2320,"", "", to_text(D2320),"", "", E2320,"", "", H2320)"),"TSV-2601-0204, 12-Jan-2026, UPI/CR/637857564595/RITESH M/ICIC/rittesh/UN3668, 689")</f>
        <v>TSV-2601-0204, 12-Jan-2026, UPI/CR/637857564595/RITESH M/ICIC/rittesh/UN3668, 689</v>
      </c>
      <c r="Q2320" s="8">
        <v>2026.0</v>
      </c>
      <c r="R2320" s="8" t="s">
        <v>6777</v>
      </c>
    </row>
    <row r="2321">
      <c r="A2321" s="4" t="s">
        <v>18</v>
      </c>
      <c r="B2321" s="2" t="s">
        <v>7332</v>
      </c>
      <c r="C2321" s="5">
        <v>46034.0</v>
      </c>
      <c r="D2321" s="5">
        <v>46034.0</v>
      </c>
      <c r="E2321" s="4" t="s">
        <v>7333</v>
      </c>
      <c r="F2321" s="9"/>
      <c r="G2321" s="6"/>
      <c r="H2321" s="7">
        <v>585.0</v>
      </c>
      <c r="I2321" s="11">
        <v>58403.92</v>
      </c>
      <c r="K2321" s="12" t="str">
        <f t="shared" si="294"/>
        <v>UN3668</v>
      </c>
      <c r="M2321" s="2" t="s">
        <v>24</v>
      </c>
      <c r="N2321" s="2" t="s">
        <v>60</v>
      </c>
      <c r="O2321" s="2">
        <v>1.10751038E8</v>
      </c>
      <c r="P2321" s="15" t="str">
        <f>IFERROR(__xludf.DUMMYFUNCTION("CONCATENATE(B2321,"", "", to_text(D2321),"", "", E2321,"", "", H2321)"),"TSV-2601-0205, 12-Jan-2026, UPI/CR/516296038445/Sachin /SBIN/9660616/UN3668, 585")</f>
        <v>TSV-2601-0205, 12-Jan-2026, UPI/CR/516296038445/Sachin /SBIN/9660616/UN3668, 585</v>
      </c>
      <c r="Q2321" s="8">
        <v>2026.0</v>
      </c>
      <c r="R2321" s="8" t="s">
        <v>6777</v>
      </c>
    </row>
    <row r="2322">
      <c r="A2322" s="4" t="s">
        <v>18</v>
      </c>
      <c r="B2322" s="2" t="s">
        <v>7334</v>
      </c>
      <c r="C2322" s="5">
        <v>46034.0</v>
      </c>
      <c r="D2322" s="5">
        <v>46034.0</v>
      </c>
      <c r="E2322" s="4" t="s">
        <v>7335</v>
      </c>
      <c r="F2322" s="9"/>
      <c r="G2322" s="6"/>
      <c r="H2322" s="7">
        <v>520.0</v>
      </c>
      <c r="I2322" s="11">
        <v>58923.92</v>
      </c>
      <c r="K2322" s="12" t="str">
        <f t="shared" si="294"/>
        <v>KN3817</v>
      </c>
      <c r="M2322" s="2" t="s">
        <v>24</v>
      </c>
      <c r="N2322" s="2" t="s">
        <v>60</v>
      </c>
      <c r="O2322" s="2">
        <v>1.10751038E8</v>
      </c>
      <c r="P2322" s="15" t="str">
        <f>IFERROR(__xludf.DUMMYFUNCTION("CONCATENATE(B2322,"", "", to_text(D2322),"", "", E2322,"", "", H2322)"),"TSV-2601-0206, 12-Jan-2026, UPI/CR/697268364582/SHAMBHAV/KKBK/7985776/KN3817, 520")</f>
        <v>TSV-2601-0206, 12-Jan-2026, UPI/CR/697268364582/SHAMBHAV/KKBK/7985776/KN3817, 520</v>
      </c>
      <c r="Q2322" s="8">
        <v>2026.0</v>
      </c>
      <c r="R2322" s="8" t="s">
        <v>6777</v>
      </c>
    </row>
    <row r="2323">
      <c r="A2323" s="4" t="s">
        <v>18</v>
      </c>
      <c r="B2323" s="2" t="s">
        <v>7336</v>
      </c>
      <c r="C2323" s="5">
        <v>46034.0</v>
      </c>
      <c r="D2323" s="5">
        <v>46034.0</v>
      </c>
      <c r="E2323" s="4" t="s">
        <v>7337</v>
      </c>
      <c r="F2323" s="9"/>
      <c r="G2323" s="6"/>
      <c r="H2323" s="7">
        <v>150.0</v>
      </c>
      <c r="I2323" s="11">
        <v>59073.92</v>
      </c>
      <c r="K2323" s="12" t="str">
        <f t="shared" si="294"/>
        <v>UN3668</v>
      </c>
      <c r="M2323" s="2" t="s">
        <v>24</v>
      </c>
      <c r="N2323" s="2" t="s">
        <v>60</v>
      </c>
      <c r="O2323" s="2">
        <v>1.10751038E8</v>
      </c>
      <c r="P2323" s="15" t="str">
        <f>IFERROR(__xludf.DUMMYFUNCTION("CONCATENATE(B2323,"", "", to_text(D2323),"", "", E2323,"", "", H2323)"),"TSV-2601-0207, 12-Jan-2026, UPI/CR/395366299661/SUBHANKA/ICIC/thesubh/UN3668, 150")</f>
        <v>TSV-2601-0207, 12-Jan-2026, UPI/CR/395366299661/SUBHANKA/ICIC/thesubh/UN3668, 150</v>
      </c>
      <c r="Q2323" s="8">
        <v>2026.0</v>
      </c>
      <c r="R2323" s="8" t="s">
        <v>6777</v>
      </c>
    </row>
    <row r="2324">
      <c r="A2324" s="4" t="s">
        <v>18</v>
      </c>
      <c r="B2324" s="2" t="s">
        <v>7338</v>
      </c>
      <c r="C2324" s="5">
        <v>46034.0</v>
      </c>
      <c r="D2324" s="5">
        <v>46034.0</v>
      </c>
      <c r="E2324" s="4" t="s">
        <v>7339</v>
      </c>
      <c r="F2324" s="9"/>
      <c r="G2324" s="6"/>
      <c r="H2324" s="7">
        <v>910.0</v>
      </c>
      <c r="I2324" s="11">
        <v>59983.92</v>
      </c>
      <c r="K2324" s="12" t="str">
        <f t="shared" si="294"/>
        <v>UN3668</v>
      </c>
      <c r="M2324" s="2" t="s">
        <v>24</v>
      </c>
      <c r="N2324" s="2" t="s">
        <v>60</v>
      </c>
      <c r="O2324" s="2">
        <v>1.10751038E8</v>
      </c>
      <c r="P2324" s="15" t="str">
        <f>IFERROR(__xludf.DUMMYFUNCTION("CONCATENATE(B2324,"", "", to_text(D2324),"", "", E2324,"", "", H2324)"),"TSV-2601-0208, 12-Jan-2026, UPI/CR/875936162792/ROHIT DU/CNRB/9211533/UN3668, 910")</f>
        <v>TSV-2601-0208, 12-Jan-2026, UPI/CR/875936162792/ROHIT DU/CNRB/9211533/UN3668, 910</v>
      </c>
      <c r="Q2324" s="8">
        <v>2026.0</v>
      </c>
      <c r="R2324" s="8" t="s">
        <v>6777</v>
      </c>
    </row>
    <row r="2325">
      <c r="A2325" s="4" t="s">
        <v>18</v>
      </c>
      <c r="B2325" s="2" t="s">
        <v>7340</v>
      </c>
      <c r="C2325" s="5">
        <v>46034.0</v>
      </c>
      <c r="D2325" s="5">
        <v>46034.0</v>
      </c>
      <c r="E2325" s="4" t="s">
        <v>7341</v>
      </c>
      <c r="F2325" s="9"/>
      <c r="G2325" s="11">
        <v>2000.0</v>
      </c>
      <c r="H2325" s="27"/>
      <c r="I2325" s="11">
        <v>57983.92</v>
      </c>
      <c r="J2325" s="2" t="s">
        <v>7342</v>
      </c>
      <c r="K2325" s="2" t="s">
        <v>123</v>
      </c>
      <c r="M2325" s="2" t="s">
        <v>114</v>
      </c>
      <c r="N2325" s="2" t="s">
        <v>169</v>
      </c>
      <c r="O2325" s="2">
        <v>1.10751038E8</v>
      </c>
      <c r="Q2325" s="8">
        <v>2026.0</v>
      </c>
      <c r="R2325" s="8" t="s">
        <v>6777</v>
      </c>
    </row>
    <row r="2326">
      <c r="A2326" s="4" t="s">
        <v>18</v>
      </c>
      <c r="B2326" s="2" t="s">
        <v>7343</v>
      </c>
      <c r="C2326" s="5">
        <v>46034.0</v>
      </c>
      <c r="D2326" s="5">
        <v>46034.0</v>
      </c>
      <c r="E2326" s="4" t="s">
        <v>7344</v>
      </c>
      <c r="F2326" s="9"/>
      <c r="G2326" s="6"/>
      <c r="H2326" s="7">
        <v>380.0</v>
      </c>
      <c r="I2326" s="11">
        <v>58363.92</v>
      </c>
      <c r="K2326" s="12" t="str">
        <f>RIGHT(E2326,6)</f>
        <v>KN3817</v>
      </c>
      <c r="M2326" s="2" t="s">
        <v>24</v>
      </c>
      <c r="N2326" s="2" t="s">
        <v>60</v>
      </c>
      <c r="O2326" s="2">
        <v>1.10751038E8</v>
      </c>
      <c r="P2326" s="15" t="str">
        <f>IFERROR(__xludf.DUMMYFUNCTION("CONCATENATE(B2326,"", "", to_text(D2326),"", "", E2326,"", "", H2326)"),"TSV-2601-0210, 12-Jan-2026, UPI/CR/637892189289/APPU DEV/UBIN/appudev/KN3817, 380")</f>
        <v>TSV-2601-0210, 12-Jan-2026, UPI/CR/637892189289/APPU DEV/UBIN/appudev/KN3817, 380</v>
      </c>
      <c r="Q2326" s="8">
        <v>2026.0</v>
      </c>
      <c r="R2326" s="8" t="s">
        <v>6777</v>
      </c>
    </row>
    <row r="2327">
      <c r="A2327" s="4" t="s">
        <v>18</v>
      </c>
      <c r="B2327" s="2" t="s">
        <v>7345</v>
      </c>
      <c r="C2327" s="5">
        <v>46034.0</v>
      </c>
      <c r="D2327" s="5">
        <v>46034.0</v>
      </c>
      <c r="E2327" s="4" t="s">
        <v>7346</v>
      </c>
      <c r="F2327" s="9"/>
      <c r="G2327" s="7">
        <v>500.0</v>
      </c>
      <c r="H2327" s="27"/>
      <c r="I2327" s="11">
        <v>57863.92</v>
      </c>
      <c r="K2327" s="2" t="s">
        <v>119</v>
      </c>
      <c r="M2327" s="2" t="s">
        <v>114</v>
      </c>
      <c r="N2327" s="2" t="s">
        <v>2883</v>
      </c>
      <c r="O2327" s="2">
        <v>1.10751038E8</v>
      </c>
      <c r="Q2327" s="8">
        <v>2026.0</v>
      </c>
      <c r="R2327" s="8" t="s">
        <v>6777</v>
      </c>
    </row>
    <row r="2328">
      <c r="A2328" s="4" t="s">
        <v>18</v>
      </c>
      <c r="B2328" s="2" t="s">
        <v>7347</v>
      </c>
      <c r="C2328" s="5">
        <v>46034.0</v>
      </c>
      <c r="D2328" s="5">
        <v>46034.0</v>
      </c>
      <c r="E2328" s="4" t="s">
        <v>7348</v>
      </c>
      <c r="F2328" s="9"/>
      <c r="G2328" s="6"/>
      <c r="H2328" s="7">
        <v>218.0</v>
      </c>
      <c r="I2328" s="11">
        <v>58081.92</v>
      </c>
      <c r="K2328" s="12" t="str">
        <f t="shared" ref="K2328:K2329" si="295">RIGHT(E2328,6)</f>
        <v>SC3567</v>
      </c>
      <c r="M2328" s="2" t="s">
        <v>24</v>
      </c>
      <c r="N2328" s="2" t="s">
        <v>60</v>
      </c>
      <c r="O2328" s="2">
        <v>1.10751038E8</v>
      </c>
      <c r="P2328" s="15" t="str">
        <f>IFERROR(__xludf.DUMMYFUNCTION("CONCATENATE(B2328,"", "", to_text(D2328),"", "", E2328,"", "", H2328)"),"TSV-2601-0212, 12-Jan-2026, UPI/CR/255917252759/AVNEESH /SBIN/9971766/SC3567, 218")</f>
        <v>TSV-2601-0212, 12-Jan-2026, UPI/CR/255917252759/AVNEESH /SBIN/9971766/SC3567, 218</v>
      </c>
      <c r="Q2328" s="8">
        <v>2026.0</v>
      </c>
      <c r="R2328" s="8" t="s">
        <v>6777</v>
      </c>
    </row>
    <row r="2329">
      <c r="A2329" s="4" t="s">
        <v>18</v>
      </c>
      <c r="B2329" s="2" t="s">
        <v>7349</v>
      </c>
      <c r="C2329" s="5">
        <v>46034.0</v>
      </c>
      <c r="D2329" s="5">
        <v>46034.0</v>
      </c>
      <c r="E2329" s="4" t="s">
        <v>7350</v>
      </c>
      <c r="F2329" s="9"/>
      <c r="G2329" s="6"/>
      <c r="H2329" s="7">
        <v>170.0</v>
      </c>
      <c r="I2329" s="11">
        <v>58251.92</v>
      </c>
      <c r="K2329" s="12" t="str">
        <f t="shared" si="295"/>
        <v>KN3817</v>
      </c>
      <c r="M2329" s="2" t="s">
        <v>24</v>
      </c>
      <c r="N2329" s="2" t="s">
        <v>60</v>
      </c>
      <c r="O2329" s="2">
        <v>1.10751038E8</v>
      </c>
      <c r="P2329" s="15" t="str">
        <f>IFERROR(__xludf.DUMMYFUNCTION("CONCATENATE(B2329,"", "", to_text(D2329),"", "", E2329,"", "", H2329)"),"TSV-2601-0213, 12-Jan-2026, UPI/CR/601299439704/NISHKARS/KKBK/jain.ni/KN3817, 170")</f>
        <v>TSV-2601-0213, 12-Jan-2026, UPI/CR/601299439704/NISHKARS/KKBK/jain.ni/KN3817, 170</v>
      </c>
      <c r="Q2329" s="8">
        <v>2026.0</v>
      </c>
      <c r="R2329" s="8" t="s">
        <v>6777</v>
      </c>
    </row>
    <row r="2330">
      <c r="A2330" s="4" t="s">
        <v>18</v>
      </c>
      <c r="B2330" s="2" t="s">
        <v>7351</v>
      </c>
      <c r="C2330" s="5">
        <v>46034.0</v>
      </c>
      <c r="D2330" s="5">
        <v>46034.0</v>
      </c>
      <c r="E2330" s="4" t="s">
        <v>7352</v>
      </c>
      <c r="F2330" s="9"/>
      <c r="G2330" s="6"/>
      <c r="H2330" s="11">
        <v>1760.0</v>
      </c>
      <c r="I2330" s="11">
        <v>60011.92</v>
      </c>
      <c r="K2330" s="2" t="s">
        <v>123</v>
      </c>
      <c r="L2330" s="2" t="s">
        <v>7353</v>
      </c>
      <c r="M2330" s="2" t="s">
        <v>24</v>
      </c>
      <c r="N2330" s="2" t="s">
        <v>60</v>
      </c>
      <c r="O2330" s="2">
        <v>1.10751038E8</v>
      </c>
      <c r="Q2330" s="8">
        <v>2026.0</v>
      </c>
      <c r="R2330" s="8" t="s">
        <v>6777</v>
      </c>
    </row>
    <row r="2331">
      <c r="A2331" s="4" t="s">
        <v>18</v>
      </c>
      <c r="B2331" s="2" t="s">
        <v>7354</v>
      </c>
      <c r="C2331" s="5">
        <v>46034.0</v>
      </c>
      <c r="D2331" s="5">
        <v>46034.0</v>
      </c>
      <c r="E2331" s="4" t="s">
        <v>7355</v>
      </c>
      <c r="F2331" s="9"/>
      <c r="G2331" s="6"/>
      <c r="H2331" s="7">
        <v>650.0</v>
      </c>
      <c r="I2331" s="11">
        <v>60661.92</v>
      </c>
      <c r="K2331" s="12" t="str">
        <f t="shared" ref="K2331:K2332" si="296">RIGHT(E2331,6)</f>
        <v>KN3817</v>
      </c>
      <c r="M2331" s="2" t="s">
        <v>24</v>
      </c>
      <c r="N2331" s="2" t="s">
        <v>60</v>
      </c>
      <c r="O2331" s="2">
        <v>1.10751038E8</v>
      </c>
      <c r="P2331" s="15" t="str">
        <f>IFERROR(__xludf.DUMMYFUNCTION("CONCATENATE(B2331,"", "", to_text(D2331),"", "", E2331,"", "", H2331)"),"TSV-2601-0215, 12-Jan-2026, UPI/CR/601245276085/Naina R/SBIN/nainara/KN3817, 650")</f>
        <v>TSV-2601-0215, 12-Jan-2026, UPI/CR/601245276085/Naina R/SBIN/nainara/KN3817, 650</v>
      </c>
      <c r="Q2331" s="8">
        <v>2026.0</v>
      </c>
      <c r="R2331" s="8" t="s">
        <v>6777</v>
      </c>
    </row>
    <row r="2332">
      <c r="A2332" s="4" t="s">
        <v>18</v>
      </c>
      <c r="B2332" s="2" t="s">
        <v>7356</v>
      </c>
      <c r="C2332" s="5">
        <v>46034.0</v>
      </c>
      <c r="D2332" s="5">
        <v>46034.0</v>
      </c>
      <c r="E2332" s="4" t="s">
        <v>7357</v>
      </c>
      <c r="F2332" s="9"/>
      <c r="G2332" s="6"/>
      <c r="H2332" s="7">
        <v>654.0</v>
      </c>
      <c r="I2332" s="11">
        <v>61315.92</v>
      </c>
      <c r="K2332" s="12" t="str">
        <f t="shared" si="296"/>
        <v>SL1610</v>
      </c>
      <c r="M2332" s="2" t="s">
        <v>24</v>
      </c>
      <c r="N2332" s="2" t="s">
        <v>60</v>
      </c>
      <c r="O2332" s="2">
        <v>1.10751038E8</v>
      </c>
      <c r="P2332" s="15" t="str">
        <f>IFERROR(__xludf.DUMMYFUNCTION("CONCATENATE(B2332,"", "", to_text(D2332),"", "", E2332,"", "", H2332)"),"TSV-2601-0216, 12-Jan-2026, UPI/CR/601270973924/ITISHA G/HDFC/9982156/SL1610, 654")</f>
        <v>TSV-2601-0216, 12-Jan-2026, UPI/CR/601270973924/ITISHA G/HDFC/9982156/SL1610, 654</v>
      </c>
      <c r="Q2332" s="8">
        <v>2026.0</v>
      </c>
      <c r="R2332" s="8" t="s">
        <v>6777</v>
      </c>
    </row>
    <row r="2333">
      <c r="A2333" s="4" t="s">
        <v>18</v>
      </c>
      <c r="B2333" s="2" t="s">
        <v>7358</v>
      </c>
      <c r="C2333" s="5">
        <v>46034.0</v>
      </c>
      <c r="D2333" s="5">
        <v>46034.0</v>
      </c>
      <c r="E2333" s="4" t="s">
        <v>7359</v>
      </c>
      <c r="F2333" s="9"/>
      <c r="G2333" s="7">
        <v>30.0</v>
      </c>
      <c r="H2333" s="27"/>
      <c r="I2333" s="11">
        <v>61285.92</v>
      </c>
      <c r="K2333" s="2" t="s">
        <v>123</v>
      </c>
      <c r="M2333" s="2" t="s">
        <v>114</v>
      </c>
      <c r="N2333" s="2" t="s">
        <v>1835</v>
      </c>
      <c r="O2333" s="2">
        <v>1.10751038E8</v>
      </c>
      <c r="Q2333" s="8">
        <v>2026.0</v>
      </c>
      <c r="R2333" s="8" t="s">
        <v>6777</v>
      </c>
    </row>
    <row r="2334">
      <c r="A2334" s="4" t="s">
        <v>18</v>
      </c>
      <c r="B2334" s="2" t="s">
        <v>7360</v>
      </c>
      <c r="C2334" s="5">
        <v>46034.0</v>
      </c>
      <c r="D2334" s="5">
        <v>46034.0</v>
      </c>
      <c r="E2334" s="4" t="s">
        <v>7361</v>
      </c>
      <c r="F2334" s="9"/>
      <c r="G2334" s="11">
        <v>1000.0</v>
      </c>
      <c r="H2334" s="27"/>
      <c r="I2334" s="11">
        <v>60285.92</v>
      </c>
      <c r="J2334" s="2" t="s">
        <v>3060</v>
      </c>
      <c r="K2334" s="2" t="s">
        <v>123</v>
      </c>
      <c r="M2334" s="2" t="s">
        <v>114</v>
      </c>
      <c r="N2334" s="2" t="s">
        <v>1835</v>
      </c>
      <c r="O2334" s="2">
        <v>1.10751038E8</v>
      </c>
      <c r="Q2334" s="8">
        <v>2026.0</v>
      </c>
      <c r="R2334" s="8" t="s">
        <v>6777</v>
      </c>
    </row>
    <row r="2335">
      <c r="A2335" s="4" t="s">
        <v>18</v>
      </c>
      <c r="B2335" s="2" t="s">
        <v>7362</v>
      </c>
      <c r="C2335" s="5">
        <v>46034.0</v>
      </c>
      <c r="D2335" s="5">
        <v>46034.0</v>
      </c>
      <c r="E2335" s="4" t="s">
        <v>7363</v>
      </c>
      <c r="F2335" s="9"/>
      <c r="G2335" s="6"/>
      <c r="H2335" s="7">
        <v>944.0</v>
      </c>
      <c r="I2335" s="11">
        <v>61229.92</v>
      </c>
      <c r="K2335" s="2" t="s">
        <v>127</v>
      </c>
      <c r="L2335" s="2" t="s">
        <v>7364</v>
      </c>
      <c r="M2335" s="2" t="s">
        <v>24</v>
      </c>
      <c r="N2335" s="2" t="s">
        <v>60</v>
      </c>
      <c r="O2335" s="2">
        <v>1.10751038E8</v>
      </c>
      <c r="Q2335" s="8">
        <v>2026.0</v>
      </c>
      <c r="R2335" s="8" t="s">
        <v>6777</v>
      </c>
    </row>
    <row r="2336">
      <c r="A2336" s="4" t="s">
        <v>18</v>
      </c>
      <c r="B2336" s="2" t="s">
        <v>7365</v>
      </c>
      <c r="C2336" s="5">
        <v>46034.0</v>
      </c>
      <c r="D2336" s="5">
        <v>46034.0</v>
      </c>
      <c r="E2336" s="4" t="s">
        <v>7366</v>
      </c>
      <c r="F2336" s="9"/>
      <c r="G2336" s="7">
        <v>755.0</v>
      </c>
      <c r="H2336" s="27"/>
      <c r="I2336" s="11">
        <v>60474.92</v>
      </c>
      <c r="K2336" s="2" t="s">
        <v>127</v>
      </c>
      <c r="M2336" s="2" t="s">
        <v>114</v>
      </c>
      <c r="N2336" s="2" t="s">
        <v>2883</v>
      </c>
      <c r="O2336" s="2">
        <v>1.10751038E8</v>
      </c>
      <c r="Q2336" s="8">
        <v>2026.0</v>
      </c>
      <c r="R2336" s="8" t="s">
        <v>6777</v>
      </c>
    </row>
    <row r="2337">
      <c r="A2337" s="4" t="s">
        <v>18</v>
      </c>
      <c r="B2337" s="2" t="s">
        <v>7367</v>
      </c>
      <c r="C2337" s="5">
        <v>46035.0</v>
      </c>
      <c r="D2337" s="5">
        <v>46035.0</v>
      </c>
      <c r="E2337" s="4" t="s">
        <v>7368</v>
      </c>
      <c r="F2337" s="9"/>
      <c r="G2337" s="6"/>
      <c r="H2337" s="11">
        <v>40000.0</v>
      </c>
      <c r="I2337" s="11" t="s">
        <v>7369</v>
      </c>
      <c r="J2337" s="2" t="s">
        <v>731</v>
      </c>
      <c r="K2337" s="2" t="s">
        <v>23</v>
      </c>
      <c r="L2337" s="2" t="s">
        <v>731</v>
      </c>
      <c r="M2337" s="2" t="s">
        <v>24</v>
      </c>
      <c r="N2337" s="2" t="s">
        <v>60</v>
      </c>
      <c r="O2337" s="2">
        <v>1.10751038E8</v>
      </c>
      <c r="P2337" s="15"/>
      <c r="Q2337" s="8">
        <v>2026.0</v>
      </c>
      <c r="R2337" s="8" t="s">
        <v>6777</v>
      </c>
    </row>
    <row r="2338">
      <c r="A2338" s="4" t="s">
        <v>18</v>
      </c>
      <c r="B2338" s="2" t="s">
        <v>7370</v>
      </c>
      <c r="C2338" s="5">
        <v>46035.0</v>
      </c>
      <c r="D2338" s="5">
        <v>46035.0</v>
      </c>
      <c r="E2338" s="4" t="s">
        <v>7371</v>
      </c>
      <c r="F2338" s="9"/>
      <c r="G2338" s="11">
        <v>42126.0</v>
      </c>
      <c r="H2338" s="27"/>
      <c r="I2338" s="11">
        <v>58348.92</v>
      </c>
      <c r="J2338" s="2" t="s">
        <v>7372</v>
      </c>
      <c r="K2338" s="12" t="str">
        <f t="shared" ref="K2338:K2359" si="297">RIGHT(E2338,6)</f>
        <v>SC3567</v>
      </c>
      <c r="M2338" s="2" t="s">
        <v>114</v>
      </c>
      <c r="N2338" s="2" t="s">
        <v>115</v>
      </c>
      <c r="O2338" s="2">
        <v>1.10751038E8</v>
      </c>
      <c r="Q2338" s="8">
        <v>2026.0</v>
      </c>
      <c r="R2338" s="8" t="s">
        <v>6777</v>
      </c>
    </row>
    <row r="2339">
      <c r="A2339" s="4" t="s">
        <v>18</v>
      </c>
      <c r="B2339" s="2" t="s">
        <v>7373</v>
      </c>
      <c r="C2339" s="5">
        <v>46035.0</v>
      </c>
      <c r="D2339" s="5">
        <v>46035.0</v>
      </c>
      <c r="E2339" s="4" t="s">
        <v>7374</v>
      </c>
      <c r="F2339" s="9"/>
      <c r="G2339" s="11">
        <v>29000.0</v>
      </c>
      <c r="H2339" s="27"/>
      <c r="I2339" s="11">
        <v>29348.92</v>
      </c>
      <c r="J2339" s="2" t="s">
        <v>7372</v>
      </c>
      <c r="K2339" s="12" t="str">
        <f t="shared" si="297"/>
        <v>SL1610</v>
      </c>
      <c r="M2339" s="2" t="s">
        <v>114</v>
      </c>
      <c r="N2339" s="2" t="s">
        <v>115</v>
      </c>
      <c r="O2339" s="2">
        <v>1.10751038E8</v>
      </c>
      <c r="Q2339" s="8">
        <v>2026.0</v>
      </c>
      <c r="R2339" s="8" t="s">
        <v>6777</v>
      </c>
    </row>
    <row r="2340">
      <c r="A2340" s="4" t="s">
        <v>18</v>
      </c>
      <c r="B2340" s="2" t="s">
        <v>7375</v>
      </c>
      <c r="C2340" s="5">
        <v>46035.0</v>
      </c>
      <c r="D2340" s="5">
        <v>46035.0</v>
      </c>
      <c r="E2340" s="4" t="s">
        <v>7376</v>
      </c>
      <c r="F2340" s="9"/>
      <c r="G2340" s="11">
        <v>10000.0</v>
      </c>
      <c r="H2340" s="27"/>
      <c r="I2340" s="11">
        <v>19348.92</v>
      </c>
      <c r="J2340" s="2" t="s">
        <v>7372</v>
      </c>
      <c r="K2340" s="12" t="str">
        <f t="shared" si="297"/>
        <v>KN3817</v>
      </c>
      <c r="M2340" s="2" t="s">
        <v>114</v>
      </c>
      <c r="N2340" s="2" t="s">
        <v>115</v>
      </c>
      <c r="O2340" s="2">
        <v>1.10751038E8</v>
      </c>
      <c r="Q2340" s="8">
        <v>2026.0</v>
      </c>
      <c r="R2340" s="8" t="s">
        <v>6777</v>
      </c>
    </row>
    <row r="2341">
      <c r="A2341" s="4" t="s">
        <v>18</v>
      </c>
      <c r="B2341" s="2" t="s">
        <v>7377</v>
      </c>
      <c r="C2341" s="5">
        <v>46035.0</v>
      </c>
      <c r="D2341" s="5">
        <v>46035.0</v>
      </c>
      <c r="E2341" s="4" t="s">
        <v>7378</v>
      </c>
      <c r="F2341" s="9"/>
      <c r="G2341" s="6"/>
      <c r="H2341" s="7">
        <v>375.0</v>
      </c>
      <c r="I2341" s="11">
        <v>19723.92</v>
      </c>
      <c r="K2341" s="12" t="str">
        <f t="shared" si="297"/>
        <v>KN3817</v>
      </c>
      <c r="M2341" s="2" t="s">
        <v>24</v>
      </c>
      <c r="N2341" s="2" t="s">
        <v>60</v>
      </c>
      <c r="O2341" s="2">
        <v>1.10751038E8</v>
      </c>
      <c r="P2341" s="15" t="str">
        <f>IFERROR(__xludf.DUMMYFUNCTION("CONCATENATE(B2341,"", "", to_text(D2341),"", "", E2341,"", "", H2341)"),"TSV-2601-0225, 13-Jan-2026, UPI/CR/637979017218/MOHIT JA/UCBA/jaggamo/KN3817, 375")</f>
        <v>TSV-2601-0225, 13-Jan-2026, UPI/CR/637979017218/MOHIT JA/UCBA/jaggamo/KN3817, 375</v>
      </c>
      <c r="Q2341" s="8">
        <v>2026.0</v>
      </c>
      <c r="R2341" s="8" t="s">
        <v>6777</v>
      </c>
    </row>
    <row r="2342">
      <c r="A2342" s="4" t="s">
        <v>18</v>
      </c>
      <c r="B2342" s="2" t="s">
        <v>7379</v>
      </c>
      <c r="C2342" s="5">
        <v>46035.0</v>
      </c>
      <c r="D2342" s="5">
        <v>46035.0</v>
      </c>
      <c r="E2342" s="4" t="s">
        <v>7380</v>
      </c>
      <c r="F2342" s="9"/>
      <c r="G2342" s="6"/>
      <c r="H2342" s="7">
        <v>914.0</v>
      </c>
      <c r="I2342" s="11">
        <v>20637.92</v>
      </c>
      <c r="K2342" s="12" t="str">
        <f t="shared" si="297"/>
        <v>SC3567</v>
      </c>
      <c r="M2342" s="2" t="s">
        <v>24</v>
      </c>
      <c r="N2342" s="2" t="s">
        <v>60</v>
      </c>
      <c r="O2342" s="2">
        <v>1.10751038E8</v>
      </c>
      <c r="P2342" s="15" t="str">
        <f>IFERROR(__xludf.DUMMYFUNCTION("CONCATENATE(B2342,"", "", to_text(D2342),"", "", E2342,"", "", H2342)"),"TSV-2601-0226, 13-Jan-2026, UPI/CR/394692448676/MUKESH /YESB/8448489/SC3567, 914")</f>
        <v>TSV-2601-0226, 13-Jan-2026, UPI/CR/394692448676/MUKESH /YESB/8448489/SC3567, 914</v>
      </c>
      <c r="Q2342" s="8">
        <v>2026.0</v>
      </c>
      <c r="R2342" s="8" t="s">
        <v>6777</v>
      </c>
    </row>
    <row r="2343">
      <c r="A2343" s="4" t="s">
        <v>18</v>
      </c>
      <c r="B2343" s="2" t="s">
        <v>7381</v>
      </c>
      <c r="C2343" s="5">
        <v>46035.0</v>
      </c>
      <c r="D2343" s="5">
        <v>46035.0</v>
      </c>
      <c r="E2343" s="4" t="s">
        <v>7382</v>
      </c>
      <c r="F2343" s="9"/>
      <c r="G2343" s="6"/>
      <c r="H2343" s="7">
        <v>465.0</v>
      </c>
      <c r="I2343" s="11">
        <v>21102.92</v>
      </c>
      <c r="K2343" s="12" t="str">
        <f t="shared" si="297"/>
        <v>UN3668</v>
      </c>
      <c r="M2343" s="2" t="s">
        <v>24</v>
      </c>
      <c r="N2343" s="2" t="s">
        <v>60</v>
      </c>
      <c r="O2343" s="2">
        <v>1.10751038E8</v>
      </c>
      <c r="P2343" s="15" t="str">
        <f>IFERROR(__xludf.DUMMYFUNCTION("CONCATENATE(B2343,"", "", to_text(D2343),"", "", E2343,"", "", H2343)"),"TSV-2601-0227, 13-Jan-2026, UPI/CR/601388859727/SANJAY /SBIN/meenaks/UN3668, 465")</f>
        <v>TSV-2601-0227, 13-Jan-2026, UPI/CR/601388859727/SANJAY /SBIN/meenaks/UN3668, 465</v>
      </c>
      <c r="Q2343" s="8">
        <v>2026.0</v>
      </c>
      <c r="R2343" s="8" t="s">
        <v>6777</v>
      </c>
    </row>
    <row r="2344">
      <c r="A2344" s="4" t="s">
        <v>18</v>
      </c>
      <c r="B2344" s="2" t="s">
        <v>7383</v>
      </c>
      <c r="C2344" s="5">
        <v>46035.0</v>
      </c>
      <c r="D2344" s="5">
        <v>46035.0</v>
      </c>
      <c r="E2344" s="4" t="s">
        <v>7384</v>
      </c>
      <c r="F2344" s="9"/>
      <c r="G2344" s="6"/>
      <c r="H2344" s="7">
        <v>420.0</v>
      </c>
      <c r="I2344" s="11">
        <v>21522.92</v>
      </c>
      <c r="K2344" s="12" t="str">
        <f t="shared" si="297"/>
        <v>UN3668</v>
      </c>
      <c r="M2344" s="2" t="s">
        <v>24</v>
      </c>
      <c r="N2344" s="2" t="s">
        <v>60</v>
      </c>
      <c r="O2344" s="2">
        <v>1.10751038E8</v>
      </c>
      <c r="P2344" s="15" t="str">
        <f>IFERROR(__xludf.DUMMYFUNCTION("CONCATENATE(B2344,"", "", to_text(D2344),"", "", E2344,"", "", H2344)"),"TSV-2601-0228, 13-Jan-2026, UPI/CR/655131339619/PRINCE G/KKBK/9565361/UN3668, 420")</f>
        <v>TSV-2601-0228, 13-Jan-2026, UPI/CR/655131339619/PRINCE G/KKBK/9565361/UN3668, 420</v>
      </c>
      <c r="Q2344" s="8">
        <v>2026.0</v>
      </c>
      <c r="R2344" s="8" t="s">
        <v>6777</v>
      </c>
    </row>
    <row r="2345">
      <c r="A2345" s="4" t="s">
        <v>18</v>
      </c>
      <c r="B2345" s="2" t="s">
        <v>7385</v>
      </c>
      <c r="C2345" s="5">
        <v>46035.0</v>
      </c>
      <c r="D2345" s="5">
        <v>46035.0</v>
      </c>
      <c r="E2345" s="4" t="s">
        <v>7386</v>
      </c>
      <c r="F2345" s="9"/>
      <c r="G2345" s="6"/>
      <c r="H2345" s="7">
        <v>232.0</v>
      </c>
      <c r="I2345" s="11">
        <v>21754.92</v>
      </c>
      <c r="K2345" s="12" t="str">
        <f t="shared" si="297"/>
        <v>SC3567</v>
      </c>
      <c r="M2345" s="2" t="s">
        <v>24</v>
      </c>
      <c r="N2345" s="2" t="s">
        <v>60</v>
      </c>
      <c r="O2345" s="2">
        <v>1.10751038E8</v>
      </c>
      <c r="P2345" s="15" t="str">
        <f>IFERROR(__xludf.DUMMYFUNCTION("CONCATENATE(B2345,"", "", to_text(D2345),"", "", E2345,"", "", H2345)"),"TSV-2601-0229, 13-Jan-2026, UPI/CR/960990891665/SAVINDER/UBIN/9999569/SC3567, 232")</f>
        <v>TSV-2601-0229, 13-Jan-2026, UPI/CR/960990891665/SAVINDER/UBIN/9999569/SC3567, 232</v>
      </c>
      <c r="Q2345" s="8">
        <v>2026.0</v>
      </c>
      <c r="R2345" s="8" t="s">
        <v>6777</v>
      </c>
    </row>
    <row r="2346">
      <c r="A2346" s="4" t="s">
        <v>18</v>
      </c>
      <c r="B2346" s="2" t="s">
        <v>7387</v>
      </c>
      <c r="C2346" s="5">
        <v>46035.0</v>
      </c>
      <c r="D2346" s="5">
        <v>46035.0</v>
      </c>
      <c r="E2346" s="4" t="s">
        <v>7388</v>
      </c>
      <c r="F2346" s="9"/>
      <c r="G2346" s="6"/>
      <c r="H2346" s="11">
        <v>1058.0</v>
      </c>
      <c r="I2346" s="11">
        <v>22812.92</v>
      </c>
      <c r="K2346" s="12" t="str">
        <f t="shared" si="297"/>
        <v>SC3567</v>
      </c>
      <c r="M2346" s="2" t="s">
        <v>24</v>
      </c>
      <c r="N2346" s="2" t="s">
        <v>60</v>
      </c>
      <c r="O2346" s="2">
        <v>1.10751038E8</v>
      </c>
      <c r="P2346" s="15" t="str">
        <f>IFERROR(__xludf.DUMMYFUNCTION("CONCATENATE(B2346,"", "", to_text(D2346),"", "", E2346,"", "", H2346)"),"TSV-2601-0230, 13-Jan-2026, UPI/CR/810483973522/SATENDER/PUNB/9711407/SC3567, 1058")</f>
        <v>TSV-2601-0230, 13-Jan-2026, UPI/CR/810483973522/SATENDER/PUNB/9711407/SC3567, 1058</v>
      </c>
      <c r="Q2346" s="8">
        <v>2026.0</v>
      </c>
      <c r="R2346" s="8" t="s">
        <v>6777</v>
      </c>
    </row>
    <row r="2347">
      <c r="A2347" s="4" t="s">
        <v>18</v>
      </c>
      <c r="B2347" s="2" t="s">
        <v>7389</v>
      </c>
      <c r="C2347" s="5">
        <v>46035.0</v>
      </c>
      <c r="D2347" s="5">
        <v>46035.0</v>
      </c>
      <c r="E2347" s="4" t="s">
        <v>7390</v>
      </c>
      <c r="F2347" s="9"/>
      <c r="G2347" s="6"/>
      <c r="H2347" s="7">
        <v>764.0</v>
      </c>
      <c r="I2347" s="11">
        <v>23576.92</v>
      </c>
      <c r="K2347" s="12" t="str">
        <f t="shared" si="297"/>
        <v>KN3817</v>
      </c>
      <c r="M2347" s="2" t="s">
        <v>24</v>
      </c>
      <c r="N2347" s="2" t="s">
        <v>60</v>
      </c>
      <c r="O2347" s="2">
        <v>1.10751038E8</v>
      </c>
      <c r="P2347" s="15" t="str">
        <f>IFERROR(__xludf.DUMMYFUNCTION("CONCATENATE(B2347,"", "", to_text(D2347),"", "", E2347,"", "", H2347)"),"TSV-2601-0231, 13-Jan-2026, UPI/CR/601383169074/TEGESH S/HDFC/8447179/KN3817, 764")</f>
        <v>TSV-2601-0231, 13-Jan-2026, UPI/CR/601383169074/TEGESH S/HDFC/8447179/KN3817, 764</v>
      </c>
      <c r="Q2347" s="8">
        <v>2026.0</v>
      </c>
      <c r="R2347" s="8" t="s">
        <v>6777</v>
      </c>
    </row>
    <row r="2348">
      <c r="A2348" s="4" t="s">
        <v>18</v>
      </c>
      <c r="B2348" s="2" t="s">
        <v>7391</v>
      </c>
      <c r="C2348" s="5">
        <v>46035.0</v>
      </c>
      <c r="D2348" s="5">
        <v>46035.0</v>
      </c>
      <c r="E2348" s="4" t="s">
        <v>7392</v>
      </c>
      <c r="F2348" s="9"/>
      <c r="G2348" s="6"/>
      <c r="H2348" s="7">
        <v>450.0</v>
      </c>
      <c r="I2348" s="11">
        <v>24026.92</v>
      </c>
      <c r="K2348" s="12" t="str">
        <f t="shared" si="297"/>
        <v>SC3567</v>
      </c>
      <c r="M2348" s="2" t="s">
        <v>24</v>
      </c>
      <c r="N2348" s="2" t="s">
        <v>60</v>
      </c>
      <c r="O2348" s="2">
        <v>1.10751038E8</v>
      </c>
      <c r="P2348" s="15" t="str">
        <f>IFERROR(__xludf.DUMMYFUNCTION("CONCATENATE(B2348,"", "", to_text(D2348),"", "", E2348,"", "", H2348)"),"TSV-2601-0232, 13-Jan-2026, UPI/CR/395434689632/ISHWENDR/BARB/9999006/SC3567, 450")</f>
        <v>TSV-2601-0232, 13-Jan-2026, UPI/CR/395434689632/ISHWENDR/BARB/9999006/SC3567, 450</v>
      </c>
      <c r="Q2348" s="8">
        <v>2026.0</v>
      </c>
      <c r="R2348" s="8" t="s">
        <v>6777</v>
      </c>
    </row>
    <row r="2349">
      <c r="A2349" s="4" t="s">
        <v>18</v>
      </c>
      <c r="B2349" s="2" t="s">
        <v>7393</v>
      </c>
      <c r="C2349" s="5">
        <v>46035.0</v>
      </c>
      <c r="D2349" s="5">
        <v>46035.0</v>
      </c>
      <c r="E2349" s="4" t="s">
        <v>7394</v>
      </c>
      <c r="F2349" s="9"/>
      <c r="G2349" s="6"/>
      <c r="H2349" s="7">
        <v>581.0</v>
      </c>
      <c r="I2349" s="11">
        <v>24607.92</v>
      </c>
      <c r="K2349" s="12" t="str">
        <f t="shared" si="297"/>
        <v>SL1610</v>
      </c>
      <c r="M2349" s="2" t="s">
        <v>24</v>
      </c>
      <c r="N2349" s="2" t="s">
        <v>60</v>
      </c>
      <c r="O2349" s="2">
        <v>1.10751038E8</v>
      </c>
      <c r="P2349" s="15" t="str">
        <f>IFERROR(__xludf.DUMMYFUNCTION("CONCATENATE(B2349,"", "", to_text(D2349),"", "", E2349,"", "", H2349)"),"TSV-2601-0233, 13-Jan-2026, UPI/CR/601391743312/ABHINAV /ICIC/abhinav/SL1610, 581")</f>
        <v>TSV-2601-0233, 13-Jan-2026, UPI/CR/601391743312/ABHINAV /ICIC/abhinav/SL1610, 581</v>
      </c>
      <c r="Q2349" s="8">
        <v>2026.0</v>
      </c>
      <c r="R2349" s="8" t="s">
        <v>6777</v>
      </c>
    </row>
    <row r="2350">
      <c r="A2350" s="4" t="s">
        <v>18</v>
      </c>
      <c r="B2350" s="2" t="s">
        <v>7395</v>
      </c>
      <c r="C2350" s="5">
        <v>46035.0</v>
      </c>
      <c r="D2350" s="5">
        <v>46035.0</v>
      </c>
      <c r="E2350" s="4" t="s">
        <v>7396</v>
      </c>
      <c r="F2350" s="9"/>
      <c r="G2350" s="6"/>
      <c r="H2350" s="7">
        <v>338.0</v>
      </c>
      <c r="I2350" s="11">
        <v>24945.92</v>
      </c>
      <c r="K2350" s="12" t="str">
        <f t="shared" si="297"/>
        <v>UN3668</v>
      </c>
      <c r="M2350" s="2" t="s">
        <v>24</v>
      </c>
      <c r="N2350" s="2" t="s">
        <v>60</v>
      </c>
      <c r="O2350" s="2">
        <v>1.10751038E8</v>
      </c>
      <c r="P2350" s="15" t="str">
        <f>IFERROR(__xludf.DUMMYFUNCTION("CONCATENATE(B2350,"", "", to_text(D2350),"", "", E2350,"", "", H2350)"),"TSV-2601-0234, 13-Jan-2026, UPI/CR/117136356093/RAJPATHI/HDFC/rajpath/UN3668, 338")</f>
        <v>TSV-2601-0234, 13-Jan-2026, UPI/CR/117136356093/RAJPATHI/HDFC/rajpath/UN3668, 338</v>
      </c>
      <c r="Q2350" s="8">
        <v>2026.0</v>
      </c>
      <c r="R2350" s="8" t="s">
        <v>6777</v>
      </c>
    </row>
    <row r="2351">
      <c r="A2351" s="4" t="s">
        <v>18</v>
      </c>
      <c r="B2351" s="2" t="s">
        <v>7397</v>
      </c>
      <c r="C2351" s="5">
        <v>46035.0</v>
      </c>
      <c r="D2351" s="5">
        <v>46035.0</v>
      </c>
      <c r="E2351" s="4" t="s">
        <v>7398</v>
      </c>
      <c r="F2351" s="9"/>
      <c r="G2351" s="6"/>
      <c r="H2351" s="11">
        <v>1093.0</v>
      </c>
      <c r="I2351" s="11">
        <v>26038.92</v>
      </c>
      <c r="K2351" s="12" t="str">
        <f t="shared" si="297"/>
        <v>SL1610</v>
      </c>
      <c r="M2351" s="2" t="s">
        <v>24</v>
      </c>
      <c r="N2351" s="2" t="s">
        <v>60</v>
      </c>
      <c r="O2351" s="2">
        <v>1.10751038E8</v>
      </c>
      <c r="P2351" s="15" t="str">
        <f>IFERROR(__xludf.DUMMYFUNCTION("CONCATENATE(B2351,"", "", to_text(D2351),"", "", E2351,"", "", H2351)"),"TSV-2601-0235, 13-Jan-2026, UPI/CR/601397755459/ABHI JIN/CNRB/jindala/SL1610, 1093")</f>
        <v>TSV-2601-0235, 13-Jan-2026, UPI/CR/601397755459/ABHI JIN/CNRB/jindala/SL1610, 1093</v>
      </c>
      <c r="Q2351" s="8">
        <v>2026.0</v>
      </c>
      <c r="R2351" s="8" t="s">
        <v>6777</v>
      </c>
    </row>
    <row r="2352">
      <c r="A2352" s="4" t="s">
        <v>18</v>
      </c>
      <c r="B2352" s="2" t="s">
        <v>7399</v>
      </c>
      <c r="C2352" s="5">
        <v>46035.0</v>
      </c>
      <c r="D2352" s="5">
        <v>46035.0</v>
      </c>
      <c r="E2352" s="4" t="s">
        <v>7400</v>
      </c>
      <c r="F2352" s="9"/>
      <c r="G2352" s="6"/>
      <c r="H2352" s="7">
        <v>251.0</v>
      </c>
      <c r="I2352" s="11">
        <v>26289.92</v>
      </c>
      <c r="K2352" s="12" t="str">
        <f t="shared" si="297"/>
        <v>SL1610</v>
      </c>
      <c r="M2352" s="2" t="s">
        <v>24</v>
      </c>
      <c r="N2352" s="2" t="s">
        <v>60</v>
      </c>
      <c r="O2352" s="2">
        <v>1.10751038E8</v>
      </c>
      <c r="P2352" s="15" t="str">
        <f>IFERROR(__xludf.DUMMYFUNCTION("CONCATENATE(B2352,"", "", to_text(D2352),"", "", E2352,"", "", H2352)"),"TSV-2601-0236, 13-Jan-2026, UPI/CR/637909654998/MANOJ KU/UTIB/24manoj/SL1610, 251")</f>
        <v>TSV-2601-0236, 13-Jan-2026, UPI/CR/637909654998/MANOJ KU/UTIB/24manoj/SL1610, 251</v>
      </c>
      <c r="Q2352" s="8">
        <v>2026.0</v>
      </c>
      <c r="R2352" s="8" t="s">
        <v>6777</v>
      </c>
    </row>
    <row r="2353">
      <c r="A2353" s="4" t="s">
        <v>18</v>
      </c>
      <c r="B2353" s="2" t="s">
        <v>7401</v>
      </c>
      <c r="C2353" s="5">
        <v>46035.0</v>
      </c>
      <c r="D2353" s="5">
        <v>46035.0</v>
      </c>
      <c r="E2353" s="4" t="s">
        <v>7402</v>
      </c>
      <c r="F2353" s="9"/>
      <c r="G2353" s="6"/>
      <c r="H2353" s="7">
        <v>299.0</v>
      </c>
      <c r="I2353" s="11">
        <v>26588.92</v>
      </c>
      <c r="K2353" s="12" t="str">
        <f t="shared" si="297"/>
        <v>SC3567</v>
      </c>
      <c r="M2353" s="2" t="s">
        <v>24</v>
      </c>
      <c r="N2353" s="2" t="s">
        <v>60</v>
      </c>
      <c r="O2353" s="2">
        <v>1.10751038E8</v>
      </c>
      <c r="P2353" s="15" t="str">
        <f>IFERROR(__xludf.DUMMYFUNCTION("CONCATENATE(B2353,"", "", to_text(D2353),"", "", E2353,"", "", H2353)"),"TSV-2601-0237, 13-Jan-2026, UPI/CR/395443703873/SANDEEP /ICIC/9996066/SC3567, 299")</f>
        <v>TSV-2601-0237, 13-Jan-2026, UPI/CR/395443703873/SANDEEP /ICIC/9996066/SC3567, 299</v>
      </c>
      <c r="Q2353" s="8">
        <v>2026.0</v>
      </c>
      <c r="R2353" s="8" t="s">
        <v>6777</v>
      </c>
    </row>
    <row r="2354">
      <c r="A2354" s="4" t="s">
        <v>18</v>
      </c>
      <c r="B2354" s="2" t="s">
        <v>7403</v>
      </c>
      <c r="C2354" s="5">
        <v>46035.0</v>
      </c>
      <c r="D2354" s="5">
        <v>46035.0</v>
      </c>
      <c r="E2354" s="4" t="s">
        <v>7404</v>
      </c>
      <c r="F2354" s="9"/>
      <c r="G2354" s="6"/>
      <c r="H2354" s="7">
        <v>250.0</v>
      </c>
      <c r="I2354" s="11">
        <v>26838.92</v>
      </c>
      <c r="K2354" s="12" t="str">
        <f t="shared" si="297"/>
        <v>SC3567</v>
      </c>
      <c r="M2354" s="2" t="s">
        <v>24</v>
      </c>
      <c r="N2354" s="2" t="s">
        <v>60</v>
      </c>
      <c r="O2354" s="2">
        <v>1.10751038E8</v>
      </c>
      <c r="P2354" s="15" t="str">
        <f>IFERROR(__xludf.DUMMYFUNCTION("CONCATENATE(B2354,"", "", to_text(D2354),"", "", E2354,"", "", H2354)"),"TSV-2601-0238, 13-Jan-2026, UPI/CR/697353563897/MANISH /SBIN/9953321/SC3567, 250")</f>
        <v>TSV-2601-0238, 13-Jan-2026, UPI/CR/697353563897/MANISH /SBIN/9953321/SC3567, 250</v>
      </c>
      <c r="Q2354" s="8">
        <v>2026.0</v>
      </c>
      <c r="R2354" s="8" t="s">
        <v>6777</v>
      </c>
    </row>
    <row r="2355">
      <c r="A2355" s="4" t="s">
        <v>18</v>
      </c>
      <c r="B2355" s="2" t="s">
        <v>7405</v>
      </c>
      <c r="C2355" s="5">
        <v>46035.0</v>
      </c>
      <c r="D2355" s="5">
        <v>46035.0</v>
      </c>
      <c r="E2355" s="4" t="s">
        <v>7406</v>
      </c>
      <c r="F2355" s="9"/>
      <c r="G2355" s="6"/>
      <c r="H2355" s="11">
        <v>1202.0</v>
      </c>
      <c r="I2355" s="11">
        <v>28040.92</v>
      </c>
      <c r="K2355" s="12" t="str">
        <f t="shared" si="297"/>
        <v>SC3567</v>
      </c>
      <c r="M2355" s="2" t="s">
        <v>24</v>
      </c>
      <c r="N2355" s="2" t="s">
        <v>60</v>
      </c>
      <c r="O2355" s="2">
        <v>1.10751038E8</v>
      </c>
      <c r="P2355" s="15" t="str">
        <f>IFERROR(__xludf.DUMMYFUNCTION("CONCATENATE(B2355,"", "", to_text(D2355),"", "", E2355,"", "", H2355)"),"TSV-2601-0239, 13-Jan-2026, UPI/CR/601364695226/Navish B/IDFB/8800809/SC3567, 1202")</f>
        <v>TSV-2601-0239, 13-Jan-2026, UPI/CR/601364695226/Navish B/IDFB/8800809/SC3567, 1202</v>
      </c>
      <c r="Q2355" s="8">
        <v>2026.0</v>
      </c>
      <c r="R2355" s="8" t="s">
        <v>6777</v>
      </c>
    </row>
    <row r="2356">
      <c r="A2356" s="4" t="s">
        <v>18</v>
      </c>
      <c r="B2356" s="2" t="s">
        <v>7407</v>
      </c>
      <c r="C2356" s="5">
        <v>46035.0</v>
      </c>
      <c r="D2356" s="5">
        <v>46035.0</v>
      </c>
      <c r="E2356" s="4" t="s">
        <v>7408</v>
      </c>
      <c r="F2356" s="9"/>
      <c r="G2356" s="6"/>
      <c r="H2356" s="11">
        <v>1104.0</v>
      </c>
      <c r="I2356" s="11">
        <v>29144.92</v>
      </c>
      <c r="K2356" s="12" t="str">
        <f t="shared" si="297"/>
        <v>UN3668</v>
      </c>
      <c r="M2356" s="2" t="s">
        <v>24</v>
      </c>
      <c r="N2356" s="2" t="s">
        <v>60</v>
      </c>
      <c r="O2356" s="2">
        <v>1.10751038E8</v>
      </c>
      <c r="P2356" s="15" t="str">
        <f>IFERROR(__xludf.DUMMYFUNCTION("CONCATENATE(B2356,"", "", to_text(D2356),"", "", E2356,"", "", H2356)"),"TSV-2601-0240, 13-Jan-2026, UPI/CR/387676294144/SUBHASH /SBIN/7742121/UN3668, 1104")</f>
        <v>TSV-2601-0240, 13-Jan-2026, UPI/CR/387676294144/SUBHASH /SBIN/7742121/UN3668, 1104</v>
      </c>
      <c r="Q2356" s="8">
        <v>2026.0</v>
      </c>
      <c r="R2356" s="8" t="s">
        <v>6777</v>
      </c>
    </row>
    <row r="2357">
      <c r="A2357" s="4" t="s">
        <v>18</v>
      </c>
      <c r="B2357" s="2" t="s">
        <v>7409</v>
      </c>
      <c r="C2357" s="5">
        <v>46035.0</v>
      </c>
      <c r="D2357" s="5">
        <v>46035.0</v>
      </c>
      <c r="E2357" s="4" t="s">
        <v>7410</v>
      </c>
      <c r="F2357" s="9"/>
      <c r="G2357" s="6"/>
      <c r="H2357" s="11">
        <v>1477.0</v>
      </c>
      <c r="I2357" s="11">
        <v>30621.92</v>
      </c>
      <c r="K2357" s="12" t="str">
        <f t="shared" si="297"/>
        <v>SC3567</v>
      </c>
      <c r="M2357" s="2" t="s">
        <v>24</v>
      </c>
      <c r="N2357" s="2" t="s">
        <v>60</v>
      </c>
      <c r="O2357" s="2">
        <v>1.10751038E8</v>
      </c>
      <c r="P2357" s="15" t="str">
        <f>IFERROR(__xludf.DUMMYFUNCTION("CONCATENATE(B2357,"", "", to_text(D2357),"", "", E2357,"", "", H2357)"),"TSV-2601-0241, 13-Jan-2026, UPI/CR/601326171767/KRITI CH/ICIC/kriti.a/SC3567, 1477")</f>
        <v>TSV-2601-0241, 13-Jan-2026, UPI/CR/601326171767/KRITI CH/ICIC/kriti.a/SC3567, 1477</v>
      </c>
      <c r="Q2357" s="8">
        <v>2026.0</v>
      </c>
      <c r="R2357" s="8" t="s">
        <v>6777</v>
      </c>
    </row>
    <row r="2358">
      <c r="A2358" s="4" t="s">
        <v>18</v>
      </c>
      <c r="B2358" s="2" t="s">
        <v>7411</v>
      </c>
      <c r="C2358" s="5">
        <v>46035.0</v>
      </c>
      <c r="D2358" s="5">
        <v>46035.0</v>
      </c>
      <c r="E2358" s="4" t="s">
        <v>7412</v>
      </c>
      <c r="F2358" s="9"/>
      <c r="G2358" s="6"/>
      <c r="H2358" s="7">
        <v>412.0</v>
      </c>
      <c r="I2358" s="11">
        <v>31033.92</v>
      </c>
      <c r="K2358" s="12" t="str">
        <f t="shared" si="297"/>
        <v>SC3567</v>
      </c>
      <c r="M2358" s="2" t="s">
        <v>24</v>
      </c>
      <c r="N2358" s="2" t="s">
        <v>60</v>
      </c>
      <c r="O2358" s="2">
        <v>1.10751038E8</v>
      </c>
      <c r="P2358" s="15" t="str">
        <f>IFERROR(__xludf.DUMMYFUNCTION("CONCATENATE(B2358,"", "", to_text(D2358),"", "", E2358,"", "", H2358)"),"TSV-2601-0242, 13-Jan-2026, UPI/CR/774524410882/ATUL/HDFC/9024073/SC3567, 412")</f>
        <v>TSV-2601-0242, 13-Jan-2026, UPI/CR/774524410882/ATUL/HDFC/9024073/SC3567, 412</v>
      </c>
      <c r="Q2358" s="8">
        <v>2026.0</v>
      </c>
      <c r="R2358" s="8" t="s">
        <v>6777</v>
      </c>
    </row>
    <row r="2359">
      <c r="A2359" s="4" t="s">
        <v>18</v>
      </c>
      <c r="B2359" s="2" t="s">
        <v>7413</v>
      </c>
      <c r="C2359" s="5">
        <v>46035.0</v>
      </c>
      <c r="D2359" s="5">
        <v>46035.0</v>
      </c>
      <c r="E2359" s="4" t="s">
        <v>7414</v>
      </c>
      <c r="F2359" s="9"/>
      <c r="G2359" s="6"/>
      <c r="H2359" s="7">
        <v>351.0</v>
      </c>
      <c r="I2359" s="11">
        <v>31384.92</v>
      </c>
      <c r="K2359" s="12" t="str">
        <f t="shared" si="297"/>
        <v>SL1610</v>
      </c>
      <c r="M2359" s="2" t="s">
        <v>24</v>
      </c>
      <c r="N2359" s="2" t="s">
        <v>60</v>
      </c>
      <c r="O2359" s="2">
        <v>1.10751038E8</v>
      </c>
      <c r="P2359" s="15" t="str">
        <f>IFERROR(__xludf.DUMMYFUNCTION("CONCATENATE(B2359,"", "", to_text(D2359),"", "", E2359,"", "", H2359)"),"TSV-2601-0243, 13-Jan-2026, UPI/CR/601301258359/Stuti V/SBIN/sttverm/SL1610, 351")</f>
        <v>TSV-2601-0243, 13-Jan-2026, UPI/CR/601301258359/Stuti V/SBIN/sttverm/SL1610, 351</v>
      </c>
      <c r="Q2359" s="8">
        <v>2026.0</v>
      </c>
      <c r="R2359" s="8" t="s">
        <v>6777</v>
      </c>
    </row>
    <row r="2360">
      <c r="A2360" s="4" t="s">
        <v>18</v>
      </c>
      <c r="B2360" s="2" t="s">
        <v>7415</v>
      </c>
      <c r="C2360" s="5">
        <v>46036.0</v>
      </c>
      <c r="D2360" s="5">
        <v>46036.0</v>
      </c>
      <c r="E2360" s="4" t="s">
        <v>7416</v>
      </c>
      <c r="F2360" s="9"/>
      <c r="G2360" s="11">
        <v>1000.0</v>
      </c>
      <c r="H2360" s="27"/>
      <c r="I2360" s="11">
        <v>30384.92</v>
      </c>
      <c r="K2360" s="2" t="s">
        <v>23</v>
      </c>
      <c r="M2360" s="2" t="s">
        <v>114</v>
      </c>
      <c r="N2360" s="2" t="s">
        <v>1363</v>
      </c>
      <c r="O2360" s="2">
        <v>1.10751038E8</v>
      </c>
      <c r="Q2360" s="8">
        <v>2026.0</v>
      </c>
      <c r="R2360" s="8" t="s">
        <v>6777</v>
      </c>
    </row>
    <row r="2361">
      <c r="A2361" s="4" t="s">
        <v>18</v>
      </c>
      <c r="B2361" s="2" t="s">
        <v>7417</v>
      </c>
      <c r="C2361" s="5">
        <v>46036.0</v>
      </c>
      <c r="D2361" s="5">
        <v>46036.0</v>
      </c>
      <c r="E2361" s="4" t="s">
        <v>7418</v>
      </c>
      <c r="F2361" s="9"/>
      <c r="G2361" s="7">
        <v>90.0</v>
      </c>
      <c r="H2361" s="27"/>
      <c r="I2361" s="11">
        <v>30294.92</v>
      </c>
      <c r="K2361" s="2" t="s">
        <v>23</v>
      </c>
      <c r="M2361" s="2" t="s">
        <v>114</v>
      </c>
      <c r="N2361" s="2" t="s">
        <v>1363</v>
      </c>
      <c r="O2361" s="2">
        <v>1.10751038E8</v>
      </c>
      <c r="Q2361" s="8">
        <v>2026.0</v>
      </c>
      <c r="R2361" s="8" t="s">
        <v>6777</v>
      </c>
    </row>
    <row r="2362">
      <c r="A2362" s="4" t="s">
        <v>18</v>
      </c>
      <c r="B2362" s="2" t="s">
        <v>7419</v>
      </c>
      <c r="C2362" s="5">
        <v>46036.0</v>
      </c>
      <c r="D2362" s="5">
        <v>46036.0</v>
      </c>
      <c r="E2362" s="4" t="s">
        <v>7420</v>
      </c>
      <c r="F2362" s="9"/>
      <c r="G2362" s="7">
        <v>90.0</v>
      </c>
      <c r="H2362" s="27"/>
      <c r="I2362" s="11">
        <v>30204.92</v>
      </c>
      <c r="K2362" s="2" t="s">
        <v>23</v>
      </c>
      <c r="M2362" s="2" t="s">
        <v>114</v>
      </c>
      <c r="N2362" s="2" t="s">
        <v>1363</v>
      </c>
      <c r="O2362" s="2">
        <v>1.10751038E8</v>
      </c>
      <c r="Q2362" s="8">
        <v>2026.0</v>
      </c>
      <c r="R2362" s="8" t="s">
        <v>6777</v>
      </c>
    </row>
    <row r="2363">
      <c r="A2363" s="4" t="s">
        <v>18</v>
      </c>
      <c r="B2363" s="2" t="s">
        <v>7421</v>
      </c>
      <c r="C2363" s="5">
        <v>46036.0</v>
      </c>
      <c r="D2363" s="5">
        <v>46036.0</v>
      </c>
      <c r="E2363" s="4" t="s">
        <v>7422</v>
      </c>
      <c r="F2363" s="9"/>
      <c r="G2363" s="6"/>
      <c r="H2363" s="11">
        <v>1284.0</v>
      </c>
      <c r="I2363" s="11">
        <v>31488.92</v>
      </c>
      <c r="K2363" s="12" t="str">
        <f t="shared" ref="K2363:K2365" si="298">RIGHT(E2363,6)</f>
        <v>UN3668</v>
      </c>
      <c r="M2363" s="2" t="s">
        <v>24</v>
      </c>
      <c r="N2363" s="2" t="s">
        <v>60</v>
      </c>
      <c r="O2363" s="2">
        <v>1.10751038E8</v>
      </c>
      <c r="P2363" s="15" t="str">
        <f>IFERROR(__xludf.DUMMYFUNCTION("CONCATENATE(B2363,"", "", to_text(D2363),"", "", E2363,"", "", H2363)"),"TSV-2601-0247, 14-Jan-2026, UPI/CR/601492047540/AYUSH AG/INDB/7011668/UN3668, 1284")</f>
        <v>TSV-2601-0247, 14-Jan-2026, UPI/CR/601492047540/AYUSH AG/INDB/7011668/UN3668, 1284</v>
      </c>
      <c r="Q2363" s="8">
        <v>2026.0</v>
      </c>
      <c r="R2363" s="8" t="s">
        <v>6777</v>
      </c>
    </row>
    <row r="2364">
      <c r="A2364" s="4" t="s">
        <v>18</v>
      </c>
      <c r="B2364" s="2" t="s">
        <v>7423</v>
      </c>
      <c r="C2364" s="5">
        <v>46036.0</v>
      </c>
      <c r="D2364" s="5">
        <v>46036.0</v>
      </c>
      <c r="E2364" s="4" t="s">
        <v>7424</v>
      </c>
      <c r="F2364" s="9"/>
      <c r="G2364" s="6"/>
      <c r="H2364" s="11">
        <v>2004.0</v>
      </c>
      <c r="I2364" s="11">
        <v>33492.92</v>
      </c>
      <c r="K2364" s="12" t="str">
        <f t="shared" si="298"/>
        <v>SL1610</v>
      </c>
      <c r="M2364" s="2" t="s">
        <v>24</v>
      </c>
      <c r="N2364" s="2" t="s">
        <v>60</v>
      </c>
      <c r="O2364" s="2">
        <v>1.10751038E8</v>
      </c>
      <c r="P2364" s="15" t="str">
        <f>IFERROR(__xludf.DUMMYFUNCTION("CONCATENATE(B2364,"", "", to_text(D2364),"", "", E2364,"", "", H2364)"),"TSV-2601-0248, 14-Jan-2026, UPI/CR/869561416749/RAHUL NA/HDFC/rnarang/SL1610, 2004")</f>
        <v>TSV-2601-0248, 14-Jan-2026, UPI/CR/869561416749/RAHUL NA/HDFC/rnarang/SL1610, 2004</v>
      </c>
      <c r="Q2364" s="8">
        <v>2026.0</v>
      </c>
      <c r="R2364" s="8" t="s">
        <v>6777</v>
      </c>
    </row>
    <row r="2365">
      <c r="A2365" s="4" t="s">
        <v>18</v>
      </c>
      <c r="B2365" s="2" t="s">
        <v>7425</v>
      </c>
      <c r="C2365" s="5">
        <v>46036.0</v>
      </c>
      <c r="D2365" s="5">
        <v>46036.0</v>
      </c>
      <c r="E2365" s="4" t="s">
        <v>7426</v>
      </c>
      <c r="F2365" s="9"/>
      <c r="G2365" s="6"/>
      <c r="H2365" s="7">
        <v>324.0</v>
      </c>
      <c r="I2365" s="11">
        <v>33816.92</v>
      </c>
      <c r="K2365" s="12" t="str">
        <f t="shared" si="298"/>
        <v>SL1610</v>
      </c>
      <c r="M2365" s="2" t="s">
        <v>24</v>
      </c>
      <c r="N2365" s="2" t="s">
        <v>60</v>
      </c>
      <c r="O2365" s="2">
        <v>1.10751038E8</v>
      </c>
      <c r="P2365" s="15" t="str">
        <f>IFERROR(__xludf.DUMMYFUNCTION("CONCATENATE(B2365,"", "", to_text(D2365),"", "", E2365,"", "", H2365)"),"TSV-2601-0249, 14-Jan-2026, UPI/CR/697400165080/HIMANSHU/ICIC/tg07@pt/SL1610, 324")</f>
        <v>TSV-2601-0249, 14-Jan-2026, UPI/CR/697400165080/HIMANSHU/ICIC/tg07@pt/SL1610, 324</v>
      </c>
      <c r="Q2365" s="8">
        <v>2026.0</v>
      </c>
      <c r="R2365" s="8" t="s">
        <v>6777</v>
      </c>
    </row>
    <row r="2366">
      <c r="A2366" s="4" t="s">
        <v>18</v>
      </c>
      <c r="B2366" s="2" t="s">
        <v>7427</v>
      </c>
      <c r="C2366" s="5">
        <v>46036.0</v>
      </c>
      <c r="D2366" s="5">
        <v>46036.0</v>
      </c>
      <c r="E2366" s="4" t="s">
        <v>7428</v>
      </c>
      <c r="F2366" s="9"/>
      <c r="G2366" s="11">
        <v>2348.0</v>
      </c>
      <c r="H2366" s="27"/>
      <c r="I2366" s="11">
        <v>31468.92</v>
      </c>
      <c r="K2366" s="2" t="s">
        <v>119</v>
      </c>
      <c r="M2366" s="2" t="s">
        <v>114</v>
      </c>
      <c r="N2366" s="2" t="s">
        <v>2883</v>
      </c>
      <c r="O2366" s="2">
        <v>1.10751038E8</v>
      </c>
      <c r="Q2366" s="8">
        <v>2026.0</v>
      </c>
      <c r="R2366" s="8" t="s">
        <v>6777</v>
      </c>
    </row>
    <row r="2367">
      <c r="A2367" s="4" t="s">
        <v>18</v>
      </c>
      <c r="B2367" s="2" t="s">
        <v>7429</v>
      </c>
      <c r="C2367" s="5">
        <v>46036.0</v>
      </c>
      <c r="D2367" s="5">
        <v>46036.0</v>
      </c>
      <c r="E2367" s="4" t="s">
        <v>7430</v>
      </c>
      <c r="F2367" s="9"/>
      <c r="G2367" s="6"/>
      <c r="H2367" s="11">
        <v>1196.0</v>
      </c>
      <c r="I2367" s="11">
        <v>32664.92</v>
      </c>
      <c r="K2367" s="12" t="str">
        <f t="shared" ref="K2367:K2375" si="299">RIGHT(E2367,6)</f>
        <v>UN3668</v>
      </c>
      <c r="M2367" s="2" t="s">
        <v>24</v>
      </c>
      <c r="N2367" s="2" t="s">
        <v>60</v>
      </c>
      <c r="O2367" s="2">
        <v>1.10751038E8</v>
      </c>
      <c r="P2367" s="15" t="str">
        <f>IFERROR(__xludf.DUMMYFUNCTION("CONCATENATE(B2367,"", "", to_text(D2367),"", "", E2367,"", "", H2367)"),"TSV-2601-0251, 14-Jan-2026, UPI/CR/395495147897/SONU/KKBK/7678431/UN3668, 1196")</f>
        <v>TSV-2601-0251, 14-Jan-2026, UPI/CR/395495147897/SONU/KKBK/7678431/UN3668, 1196</v>
      </c>
      <c r="Q2367" s="8">
        <v>2026.0</v>
      </c>
      <c r="R2367" s="8" t="s">
        <v>6777</v>
      </c>
    </row>
    <row r="2368">
      <c r="A2368" s="4" t="s">
        <v>18</v>
      </c>
      <c r="B2368" s="2" t="s">
        <v>7431</v>
      </c>
      <c r="C2368" s="5">
        <v>46036.0</v>
      </c>
      <c r="D2368" s="5">
        <v>46036.0</v>
      </c>
      <c r="E2368" s="4" t="s">
        <v>7432</v>
      </c>
      <c r="F2368" s="9"/>
      <c r="G2368" s="6"/>
      <c r="H2368" s="11">
        <v>1099.0</v>
      </c>
      <c r="I2368" s="11">
        <v>33763.92</v>
      </c>
      <c r="K2368" s="12" t="str">
        <f t="shared" si="299"/>
        <v>SC3567</v>
      </c>
      <c r="M2368" s="2" t="s">
        <v>24</v>
      </c>
      <c r="N2368" s="2" t="s">
        <v>60</v>
      </c>
      <c r="O2368" s="2">
        <v>1.10751038E8</v>
      </c>
      <c r="P2368" s="15" t="str">
        <f>IFERROR(__xludf.DUMMYFUNCTION("CONCATENATE(B2368,"", "", to_text(D2368),"", "", E2368,"", "", H2368)"),"TSV-2601-0252, 14-Jan-2026, UPI/CR/601486516682/OJASWIN /PUNB/ojaswin/SC3567, 1099")</f>
        <v>TSV-2601-0252, 14-Jan-2026, UPI/CR/601486516682/OJASWIN /PUNB/ojaswin/SC3567, 1099</v>
      </c>
      <c r="Q2368" s="8">
        <v>2026.0</v>
      </c>
      <c r="R2368" s="8" t="s">
        <v>6777</v>
      </c>
    </row>
    <row r="2369">
      <c r="A2369" s="4" t="s">
        <v>18</v>
      </c>
      <c r="B2369" s="2" t="s">
        <v>7433</v>
      </c>
      <c r="C2369" s="5">
        <v>46036.0</v>
      </c>
      <c r="D2369" s="5">
        <v>46036.0</v>
      </c>
      <c r="E2369" s="4" t="s">
        <v>7434</v>
      </c>
      <c r="F2369" s="9"/>
      <c r="G2369" s="6"/>
      <c r="H2369" s="11">
        <v>1346.0</v>
      </c>
      <c r="I2369" s="11">
        <v>35109.92</v>
      </c>
      <c r="K2369" s="12" t="str">
        <f t="shared" si="299"/>
        <v>UN3668</v>
      </c>
      <c r="M2369" s="2" t="s">
        <v>24</v>
      </c>
      <c r="N2369" s="2" t="s">
        <v>60</v>
      </c>
      <c r="O2369" s="2">
        <v>1.10751038E8</v>
      </c>
      <c r="P2369" s="15" t="str">
        <f>IFERROR(__xludf.DUMMYFUNCTION("CONCATENATE(B2369,"", "", to_text(D2369),"", "", E2369,"", "", H2369)"),"TSV-2601-0253, 14-Jan-2026, UPI/CR/690870687706/DEEP SHI/UTIB/7070665/UN3668, 1346")</f>
        <v>TSV-2601-0253, 14-Jan-2026, UPI/CR/690870687706/DEEP SHI/UTIB/7070665/UN3668, 1346</v>
      </c>
      <c r="Q2369" s="8">
        <v>2026.0</v>
      </c>
      <c r="R2369" s="8" t="s">
        <v>6777</v>
      </c>
    </row>
    <row r="2370">
      <c r="A2370" s="4" t="s">
        <v>18</v>
      </c>
      <c r="B2370" s="2" t="s">
        <v>7435</v>
      </c>
      <c r="C2370" s="5">
        <v>46036.0</v>
      </c>
      <c r="D2370" s="5">
        <v>46036.0</v>
      </c>
      <c r="E2370" s="4" t="s">
        <v>7436</v>
      </c>
      <c r="F2370" s="9"/>
      <c r="G2370" s="6"/>
      <c r="H2370" s="7">
        <v>250.0</v>
      </c>
      <c r="I2370" s="11">
        <v>35359.92</v>
      </c>
      <c r="K2370" s="12" t="str">
        <f t="shared" si="299"/>
        <v>KN3817</v>
      </c>
      <c r="M2370" s="2" t="s">
        <v>24</v>
      </c>
      <c r="N2370" s="2" t="s">
        <v>60</v>
      </c>
      <c r="O2370" s="2">
        <v>1.10751038E8</v>
      </c>
      <c r="P2370" s="15" t="str">
        <f>IFERROR(__xludf.DUMMYFUNCTION("CONCATENATE(B2370,"", "", to_text(D2370),"", "", E2370,"", "", H2370)"),"TSV-2601-0254, 14-Jan-2026, UPI/CR/601409515622/Shashi /SBIN/shashi6/KN3817, 250")</f>
        <v>TSV-2601-0254, 14-Jan-2026, UPI/CR/601409515622/Shashi /SBIN/shashi6/KN3817, 250</v>
      </c>
      <c r="Q2370" s="8">
        <v>2026.0</v>
      </c>
      <c r="R2370" s="8" t="s">
        <v>6777</v>
      </c>
    </row>
    <row r="2371">
      <c r="A2371" s="4" t="s">
        <v>18</v>
      </c>
      <c r="B2371" s="2" t="s">
        <v>7437</v>
      </c>
      <c r="C2371" s="5">
        <v>46036.0</v>
      </c>
      <c r="D2371" s="5">
        <v>46036.0</v>
      </c>
      <c r="E2371" s="4" t="s">
        <v>7438</v>
      </c>
      <c r="F2371" s="9"/>
      <c r="G2371" s="6"/>
      <c r="H2371" s="7">
        <v>452.0</v>
      </c>
      <c r="I2371" s="11">
        <v>35811.92</v>
      </c>
      <c r="K2371" s="12" t="str">
        <f t="shared" si="299"/>
        <v>KN3817</v>
      </c>
      <c r="M2371" s="2" t="s">
        <v>24</v>
      </c>
      <c r="N2371" s="2" t="s">
        <v>60</v>
      </c>
      <c r="O2371" s="2">
        <v>1.10751038E8</v>
      </c>
      <c r="P2371" s="15" t="str">
        <f>IFERROR(__xludf.DUMMYFUNCTION("CONCATENATE(B2371,"", "", to_text(D2371),"", "", E2371,"", "", H2371)"),"TSV-2601-0255, 14-Jan-2026, UPI/CR/697411776929/ANIL KU/YESB/9560147/KN3817, 452")</f>
        <v>TSV-2601-0255, 14-Jan-2026, UPI/CR/697411776929/ANIL KU/YESB/9560147/KN3817, 452</v>
      </c>
      <c r="Q2371" s="8">
        <v>2026.0</v>
      </c>
      <c r="R2371" s="8" t="s">
        <v>6777</v>
      </c>
    </row>
    <row r="2372">
      <c r="A2372" s="4" t="s">
        <v>18</v>
      </c>
      <c r="B2372" s="2" t="s">
        <v>7439</v>
      </c>
      <c r="C2372" s="5">
        <v>46036.0</v>
      </c>
      <c r="D2372" s="5">
        <v>46036.0</v>
      </c>
      <c r="E2372" s="4" t="s">
        <v>7440</v>
      </c>
      <c r="F2372" s="9"/>
      <c r="G2372" s="6"/>
      <c r="H2372" s="7">
        <v>412.0</v>
      </c>
      <c r="I2372" s="11">
        <v>36223.92</v>
      </c>
      <c r="K2372" s="12" t="str">
        <f t="shared" si="299"/>
        <v>SL1610</v>
      </c>
      <c r="M2372" s="2" t="s">
        <v>24</v>
      </c>
      <c r="N2372" s="2" t="s">
        <v>60</v>
      </c>
      <c r="O2372" s="2">
        <v>1.10751038E8</v>
      </c>
      <c r="P2372" s="15" t="str">
        <f>IFERROR(__xludf.DUMMYFUNCTION("CONCATENATE(B2372,"", "", to_text(D2372),"", "", E2372,"", "", H2372)"),"TSV-2601-0256, 14-Jan-2026, UPI/CR/601402150771/MOHANA S/BARB/themoha/SL1610, 412")</f>
        <v>TSV-2601-0256, 14-Jan-2026, UPI/CR/601402150771/MOHANA S/BARB/themoha/SL1610, 412</v>
      </c>
      <c r="Q2372" s="8">
        <v>2026.0</v>
      </c>
      <c r="R2372" s="8" t="s">
        <v>6777</v>
      </c>
    </row>
    <row r="2373">
      <c r="A2373" s="4" t="s">
        <v>18</v>
      </c>
      <c r="B2373" s="2" t="s">
        <v>7441</v>
      </c>
      <c r="C2373" s="5">
        <v>46036.0</v>
      </c>
      <c r="D2373" s="5">
        <v>46036.0</v>
      </c>
      <c r="E2373" s="4" t="s">
        <v>7442</v>
      </c>
      <c r="F2373" s="9"/>
      <c r="G2373" s="6"/>
      <c r="H2373" s="7">
        <v>781.0</v>
      </c>
      <c r="I2373" s="11">
        <v>37004.92</v>
      </c>
      <c r="K2373" s="12" t="str">
        <f t="shared" si="299"/>
        <v>UN3668</v>
      </c>
      <c r="M2373" s="2" t="s">
        <v>24</v>
      </c>
      <c r="N2373" s="2" t="s">
        <v>60</v>
      </c>
      <c r="O2373" s="2">
        <v>1.10751038E8</v>
      </c>
      <c r="P2373" s="15" t="str">
        <f>IFERROR(__xludf.DUMMYFUNCTION("CONCATENATE(B2373,"", "", to_text(D2373),"", "", E2373,"", "", H2373)"),"TSV-2601-0257, 14-Jan-2026, UPI/CR/697416808058/ROHIT KU/KKBK/divine6/UN3668, 781")</f>
        <v>TSV-2601-0257, 14-Jan-2026, UPI/CR/697416808058/ROHIT KU/KKBK/divine6/UN3668, 781</v>
      </c>
      <c r="Q2373" s="8">
        <v>2026.0</v>
      </c>
      <c r="R2373" s="8" t="s">
        <v>6777</v>
      </c>
    </row>
    <row r="2374">
      <c r="A2374" s="4" t="s">
        <v>18</v>
      </c>
      <c r="B2374" s="2" t="s">
        <v>7443</v>
      </c>
      <c r="C2374" s="5">
        <v>46036.0</v>
      </c>
      <c r="D2374" s="5">
        <v>46036.0</v>
      </c>
      <c r="E2374" s="4" t="s">
        <v>7444</v>
      </c>
      <c r="F2374" s="9"/>
      <c r="G2374" s="6"/>
      <c r="H2374" s="7">
        <v>970.0</v>
      </c>
      <c r="I2374" s="11">
        <v>37974.92</v>
      </c>
      <c r="K2374" s="12" t="str">
        <f t="shared" si="299"/>
        <v>UN3668</v>
      </c>
      <c r="M2374" s="2" t="s">
        <v>24</v>
      </c>
      <c r="N2374" s="2" t="s">
        <v>60</v>
      </c>
      <c r="O2374" s="2">
        <v>1.10751038E8</v>
      </c>
      <c r="P2374" s="15" t="str">
        <f>IFERROR(__xludf.DUMMYFUNCTION("CONCATENATE(B2374,"", "", to_text(D2374),"", "", E2374,"", "", H2374)"),"TSV-2601-0258, 14-Jan-2026, UPI/CR/697416846093/ROHIT KU/KKBK/divine6/UN3668, 970")</f>
        <v>TSV-2601-0258, 14-Jan-2026, UPI/CR/697416846093/ROHIT KU/KKBK/divine6/UN3668, 970</v>
      </c>
      <c r="Q2374" s="8">
        <v>2026.0</v>
      </c>
      <c r="R2374" s="8" t="s">
        <v>6777</v>
      </c>
    </row>
    <row r="2375">
      <c r="A2375" s="4" t="s">
        <v>18</v>
      </c>
      <c r="B2375" s="2" t="s">
        <v>7445</v>
      </c>
      <c r="C2375" s="5">
        <v>46036.0</v>
      </c>
      <c r="D2375" s="5">
        <v>46036.0</v>
      </c>
      <c r="E2375" s="4" t="s">
        <v>7446</v>
      </c>
      <c r="F2375" s="9"/>
      <c r="G2375" s="6"/>
      <c r="H2375" s="7">
        <v>363.0</v>
      </c>
      <c r="I2375" s="11">
        <v>38337.92</v>
      </c>
      <c r="K2375" s="12" t="str">
        <f t="shared" si="299"/>
        <v>KN3817</v>
      </c>
      <c r="M2375" s="2" t="s">
        <v>24</v>
      </c>
      <c r="N2375" s="2" t="s">
        <v>60</v>
      </c>
      <c r="O2375" s="2">
        <v>1.10751038E8</v>
      </c>
      <c r="P2375" s="15" t="str">
        <f>IFERROR(__xludf.DUMMYFUNCTION("CONCATENATE(B2375,"", "", to_text(D2375),"", "", E2375,"", "", H2375)"),"TSV-2601-0259, 14-Jan-2026, UPI/CR/051290508897/Miss PRA/MAHB/6393625/KN3817, 363")</f>
        <v>TSV-2601-0259, 14-Jan-2026, UPI/CR/051290508897/Miss PRA/MAHB/6393625/KN3817, 363</v>
      </c>
      <c r="Q2375" s="8">
        <v>2026.0</v>
      </c>
      <c r="R2375" s="8" t="s">
        <v>6777</v>
      </c>
    </row>
    <row r="2376">
      <c r="A2376" s="4" t="s">
        <v>18</v>
      </c>
      <c r="B2376" s="2" t="s">
        <v>7447</v>
      </c>
      <c r="C2376" s="5">
        <v>46036.0</v>
      </c>
      <c r="D2376" s="5">
        <v>46036.0</v>
      </c>
      <c r="E2376" s="4" t="s">
        <v>7448</v>
      </c>
      <c r="F2376" s="9"/>
      <c r="G2376" s="7">
        <v>700.0</v>
      </c>
      <c r="H2376" s="27"/>
      <c r="I2376" s="11">
        <v>37637.92</v>
      </c>
      <c r="J2376" s="2" t="s">
        <v>7449</v>
      </c>
      <c r="K2376" s="2" t="s">
        <v>127</v>
      </c>
      <c r="M2376" s="2" t="s">
        <v>114</v>
      </c>
      <c r="N2376" s="2" t="s">
        <v>169</v>
      </c>
      <c r="O2376" s="2">
        <v>1.10751038E8</v>
      </c>
      <c r="Q2376" s="8">
        <v>2026.0</v>
      </c>
      <c r="R2376" s="8" t="s">
        <v>6777</v>
      </c>
    </row>
    <row r="2377">
      <c r="A2377" s="4" t="s">
        <v>18</v>
      </c>
      <c r="B2377" s="2" t="s">
        <v>7450</v>
      </c>
      <c r="C2377" s="5">
        <v>46037.0</v>
      </c>
      <c r="D2377" s="5">
        <v>46037.0</v>
      </c>
      <c r="E2377" s="4" t="s">
        <v>7451</v>
      </c>
      <c r="F2377" s="9"/>
      <c r="G2377" s="6"/>
      <c r="H2377" s="11">
        <v>3155.0</v>
      </c>
      <c r="I2377" s="11">
        <v>40792.92</v>
      </c>
      <c r="K2377" s="12" t="str">
        <f>RIGHT(E2377,6)</f>
        <v>UN3668</v>
      </c>
      <c r="M2377" s="2" t="s">
        <v>24</v>
      </c>
      <c r="N2377" s="2" t="s">
        <v>60</v>
      </c>
      <c r="O2377" s="2">
        <v>1.10751038E8</v>
      </c>
      <c r="P2377" s="15" t="str">
        <f>IFERROR(__xludf.DUMMYFUNCTION("CONCATENATE(B2377,"", "", to_text(D2377),"", "", E2377,"", "", H2377)"),"TSV-2601-0261, 15-Jan-2026, UPI/CR/601599085728/NEELU R/UTIB/neelura/UN3668, 3155")</f>
        <v>TSV-2601-0261, 15-Jan-2026, UPI/CR/601599085728/NEELU R/UTIB/neelura/UN3668, 3155</v>
      </c>
      <c r="Q2377" s="8">
        <v>2026.0</v>
      </c>
      <c r="R2377" s="8" t="s">
        <v>6777</v>
      </c>
    </row>
    <row r="2378">
      <c r="A2378" s="4" t="s">
        <v>18</v>
      </c>
      <c r="B2378" s="2" t="s">
        <v>7452</v>
      </c>
      <c r="C2378" s="5">
        <v>46037.0</v>
      </c>
      <c r="D2378" s="5">
        <v>46037.0</v>
      </c>
      <c r="E2378" s="4" t="s">
        <v>7453</v>
      </c>
      <c r="F2378" s="9"/>
      <c r="G2378" s="6"/>
      <c r="H2378" s="11">
        <v>1014.0</v>
      </c>
      <c r="I2378" s="11">
        <v>41806.92</v>
      </c>
      <c r="K2378" s="2" t="s">
        <v>539</v>
      </c>
      <c r="M2378" s="2" t="s">
        <v>24</v>
      </c>
      <c r="N2378" s="2" t="s">
        <v>60</v>
      </c>
      <c r="O2378" s="2">
        <v>1.10751038E8</v>
      </c>
      <c r="P2378" s="15" t="str">
        <f>IFERROR(__xludf.DUMMYFUNCTION("CONCATENATE(B2378,"", "", to_text(D2378),"", "", E2378,"", "", H2378)"),"TSV-2601-0262, 15-Jan-2026, UPI/CR/601576782177/NEELU R/UTIB/neelura/UPI, 1014")</f>
        <v>TSV-2601-0262, 15-Jan-2026, UPI/CR/601576782177/NEELU R/UTIB/neelura/UPI, 1014</v>
      </c>
      <c r="Q2378" s="8">
        <v>2026.0</v>
      </c>
      <c r="R2378" s="8" t="s">
        <v>6777</v>
      </c>
    </row>
    <row r="2379">
      <c r="A2379" s="4" t="s">
        <v>18</v>
      </c>
      <c r="B2379" s="2" t="s">
        <v>7454</v>
      </c>
      <c r="C2379" s="5">
        <v>46037.0</v>
      </c>
      <c r="D2379" s="5">
        <v>46037.0</v>
      </c>
      <c r="E2379" s="4" t="s">
        <v>7455</v>
      </c>
      <c r="F2379" s="9"/>
      <c r="G2379" s="6"/>
      <c r="H2379" s="11">
        <v>1417.0</v>
      </c>
      <c r="I2379" s="11">
        <v>43223.92</v>
      </c>
      <c r="K2379" s="12" t="str">
        <f>RIGHT(E2379,6)</f>
        <v>SL1610</v>
      </c>
      <c r="M2379" s="2" t="s">
        <v>24</v>
      </c>
      <c r="N2379" s="2" t="s">
        <v>60</v>
      </c>
      <c r="O2379" s="2">
        <v>1.10751038E8</v>
      </c>
      <c r="P2379" s="15" t="str">
        <f>IFERROR(__xludf.DUMMYFUNCTION("CONCATENATE(B2379,"", "", to_text(D2379),"", "", E2379,"", "", H2379)"),"TSV-2601-0263, 15-Jan-2026, UPI/CR/117217416761/VAIBHAV /HDFC/vaibhav/SL1610, 1417")</f>
        <v>TSV-2601-0263, 15-Jan-2026, UPI/CR/117217416761/VAIBHAV /HDFC/vaibhav/SL1610, 1417</v>
      </c>
      <c r="Q2379" s="8">
        <v>2026.0</v>
      </c>
      <c r="R2379" s="8" t="s">
        <v>6777</v>
      </c>
    </row>
    <row r="2380">
      <c r="A2380" s="4" t="s">
        <v>18</v>
      </c>
      <c r="B2380" s="2" t="s">
        <v>7456</v>
      </c>
      <c r="C2380" s="5">
        <v>46037.0</v>
      </c>
      <c r="D2380" s="5">
        <v>46037.0</v>
      </c>
      <c r="E2380" s="4" t="s">
        <v>7457</v>
      </c>
      <c r="F2380" s="9"/>
      <c r="G2380" s="7">
        <v>320.0</v>
      </c>
      <c r="H2380" s="27"/>
      <c r="I2380" s="11">
        <v>42903.92</v>
      </c>
      <c r="J2380" s="2" t="s">
        <v>7458</v>
      </c>
      <c r="K2380" s="2" t="s">
        <v>113</v>
      </c>
      <c r="M2380" s="2" t="s">
        <v>114</v>
      </c>
      <c r="N2380" s="2" t="s">
        <v>3925</v>
      </c>
      <c r="O2380" s="2">
        <v>1.10751038E8</v>
      </c>
      <c r="Q2380" s="8">
        <v>2026.0</v>
      </c>
      <c r="R2380" s="8" t="s">
        <v>6777</v>
      </c>
    </row>
    <row r="2381">
      <c r="A2381" s="4" t="s">
        <v>18</v>
      </c>
      <c r="B2381" s="2" t="s">
        <v>7459</v>
      </c>
      <c r="C2381" s="5">
        <v>46037.0</v>
      </c>
      <c r="D2381" s="5">
        <v>46037.0</v>
      </c>
      <c r="E2381" s="4" t="s">
        <v>7460</v>
      </c>
      <c r="F2381" s="9"/>
      <c r="G2381" s="6"/>
      <c r="H2381" s="7">
        <v>320.0</v>
      </c>
      <c r="I2381" s="11">
        <v>43223.92</v>
      </c>
      <c r="K2381" s="2" t="s">
        <v>113</v>
      </c>
      <c r="M2381" s="2" t="s">
        <v>24</v>
      </c>
      <c r="N2381" s="2" t="s">
        <v>195</v>
      </c>
      <c r="O2381" s="2">
        <v>1.10751038E8</v>
      </c>
      <c r="Q2381" s="8">
        <v>2026.0</v>
      </c>
      <c r="R2381" s="8" t="s">
        <v>6777</v>
      </c>
    </row>
    <row r="2382">
      <c r="A2382" s="4" t="s">
        <v>18</v>
      </c>
      <c r="B2382" s="2" t="s">
        <v>7461</v>
      </c>
      <c r="C2382" s="5">
        <v>46037.0</v>
      </c>
      <c r="D2382" s="5">
        <v>46037.0</v>
      </c>
      <c r="E2382" s="4" t="s">
        <v>7462</v>
      </c>
      <c r="F2382" s="9"/>
      <c r="G2382" s="7">
        <v>320.0</v>
      </c>
      <c r="H2382" s="27"/>
      <c r="I2382" s="11">
        <v>42903.92</v>
      </c>
      <c r="K2382" s="2" t="s">
        <v>113</v>
      </c>
      <c r="M2382" s="2" t="s">
        <v>114</v>
      </c>
      <c r="N2382" s="2" t="s">
        <v>3925</v>
      </c>
      <c r="O2382" s="2">
        <v>1.10751038E8</v>
      </c>
      <c r="Q2382" s="8">
        <v>2026.0</v>
      </c>
      <c r="R2382" s="8" t="s">
        <v>6777</v>
      </c>
    </row>
    <row r="2383">
      <c r="A2383" s="4" t="s">
        <v>18</v>
      </c>
      <c r="B2383" s="2" t="s">
        <v>7463</v>
      </c>
      <c r="C2383" s="5">
        <v>46037.0</v>
      </c>
      <c r="D2383" s="5">
        <v>46037.0</v>
      </c>
      <c r="E2383" s="4" t="s">
        <v>7464</v>
      </c>
      <c r="F2383" s="9"/>
      <c r="G2383" s="6"/>
      <c r="H2383" s="7">
        <v>320.0</v>
      </c>
      <c r="I2383" s="11">
        <v>43223.92</v>
      </c>
      <c r="K2383" s="2" t="s">
        <v>113</v>
      </c>
      <c r="M2383" s="2" t="s">
        <v>24</v>
      </c>
      <c r="N2383" s="2" t="s">
        <v>195</v>
      </c>
      <c r="O2383" s="2">
        <v>1.10751038E8</v>
      </c>
      <c r="Q2383" s="8">
        <v>2026.0</v>
      </c>
      <c r="R2383" s="8" t="s">
        <v>6777</v>
      </c>
    </row>
    <row r="2384">
      <c r="A2384" s="4" t="s">
        <v>18</v>
      </c>
      <c r="B2384" s="2" t="s">
        <v>7465</v>
      </c>
      <c r="C2384" s="5">
        <v>46037.0</v>
      </c>
      <c r="D2384" s="5">
        <v>46037.0</v>
      </c>
      <c r="E2384" s="4" t="s">
        <v>7466</v>
      </c>
      <c r="F2384" s="9"/>
      <c r="G2384" s="6"/>
      <c r="H2384" s="7">
        <v>505.04</v>
      </c>
      <c r="I2384" s="11">
        <v>43728.96</v>
      </c>
      <c r="K2384" s="12" t="str">
        <f>RIGHT(E2384,6)</f>
        <v>SL1610</v>
      </c>
      <c r="M2384" s="2" t="s">
        <v>24</v>
      </c>
      <c r="N2384" s="2" t="s">
        <v>60</v>
      </c>
      <c r="O2384" s="2">
        <v>1.10751038E8</v>
      </c>
      <c r="P2384" s="15" t="str">
        <f>IFERROR(__xludf.DUMMYFUNCTION("CONCATENATE(B2384,"", "", to_text(D2384),"", "", E2384,"", "", H2384)"),"TSV-2601-0268, 15-Jan-2026, UPI/CR/601507536012/ITISHA G/HDFC/9982156/SL1610, 505.04")</f>
        <v>TSV-2601-0268, 15-Jan-2026, UPI/CR/601507536012/ITISHA G/HDFC/9982156/SL1610, 505.04</v>
      </c>
      <c r="Q2384" s="8">
        <v>2026.0</v>
      </c>
      <c r="R2384" s="8" t="s">
        <v>6777</v>
      </c>
    </row>
    <row r="2385">
      <c r="A2385" s="4" t="s">
        <v>18</v>
      </c>
      <c r="B2385" s="2" t="s">
        <v>7467</v>
      </c>
      <c r="C2385" s="5">
        <v>46037.0</v>
      </c>
      <c r="D2385" s="5">
        <v>46037.0</v>
      </c>
      <c r="E2385" s="4" t="s">
        <v>7468</v>
      </c>
      <c r="F2385" s="9"/>
      <c r="G2385" s="7">
        <v>320.0</v>
      </c>
      <c r="H2385" s="27"/>
      <c r="I2385" s="11">
        <v>43408.96</v>
      </c>
      <c r="K2385" s="2" t="s">
        <v>113</v>
      </c>
      <c r="M2385" s="2" t="s">
        <v>114</v>
      </c>
      <c r="N2385" s="2" t="s">
        <v>3925</v>
      </c>
      <c r="O2385" s="2">
        <v>1.10751038E8</v>
      </c>
      <c r="Q2385" s="8">
        <v>2026.0</v>
      </c>
      <c r="R2385" s="8" t="s">
        <v>6777</v>
      </c>
    </row>
    <row r="2386">
      <c r="A2386" s="4" t="s">
        <v>18</v>
      </c>
      <c r="B2386" s="2" t="s">
        <v>7469</v>
      </c>
      <c r="C2386" s="5">
        <v>46037.0</v>
      </c>
      <c r="D2386" s="5">
        <v>46037.0</v>
      </c>
      <c r="E2386" s="4" t="s">
        <v>7470</v>
      </c>
      <c r="F2386" s="9"/>
      <c r="G2386" s="6"/>
      <c r="H2386" s="7">
        <v>320.0</v>
      </c>
      <c r="I2386" s="11">
        <v>43728.96</v>
      </c>
      <c r="K2386" s="2" t="s">
        <v>113</v>
      </c>
      <c r="M2386" s="2" t="s">
        <v>24</v>
      </c>
      <c r="N2386" s="2" t="s">
        <v>195</v>
      </c>
      <c r="O2386" s="2">
        <v>1.10751038E8</v>
      </c>
      <c r="Q2386" s="8">
        <v>2026.0</v>
      </c>
      <c r="R2386" s="8" t="s">
        <v>6777</v>
      </c>
    </row>
    <row r="2387">
      <c r="A2387" s="4" t="s">
        <v>18</v>
      </c>
      <c r="B2387" s="2" t="s">
        <v>7471</v>
      </c>
      <c r="C2387" s="5">
        <v>46037.0</v>
      </c>
      <c r="D2387" s="5">
        <v>46037.0</v>
      </c>
      <c r="E2387" s="4" t="s">
        <v>7472</v>
      </c>
      <c r="F2387" s="9"/>
      <c r="G2387" s="6"/>
      <c r="H2387" s="11">
        <v>3000.0</v>
      </c>
      <c r="I2387" s="11">
        <v>46728.96</v>
      </c>
      <c r="K2387" s="12" t="str">
        <f t="shared" ref="K2387:K2388" si="300">RIGHT(E2387,6)</f>
        <v>KN3817</v>
      </c>
      <c r="M2387" s="2" t="s">
        <v>24</v>
      </c>
      <c r="N2387" s="2" t="s">
        <v>60</v>
      </c>
      <c r="O2387" s="2">
        <v>1.10751038E8</v>
      </c>
      <c r="P2387" s="15" t="str">
        <f>IFERROR(__xludf.DUMMYFUNCTION("CONCATENATE(B2387,"", "", to_text(D2387),"", "", E2387,"", "", H2387)"),"TSV-2601-0271, 15-Jan-2026, UPI/CR/601587677047/JASNEET /ICIC/sonambi/KN3817, 3000")</f>
        <v>TSV-2601-0271, 15-Jan-2026, UPI/CR/601587677047/JASNEET /ICIC/sonambi/KN3817, 3000</v>
      </c>
      <c r="Q2387" s="8">
        <v>2026.0</v>
      </c>
      <c r="R2387" s="8" t="s">
        <v>6777</v>
      </c>
    </row>
    <row r="2388">
      <c r="A2388" s="4" t="s">
        <v>18</v>
      </c>
      <c r="B2388" s="2" t="s">
        <v>7473</v>
      </c>
      <c r="C2388" s="5">
        <v>46037.0</v>
      </c>
      <c r="D2388" s="5">
        <v>46037.0</v>
      </c>
      <c r="E2388" s="4" t="s">
        <v>7474</v>
      </c>
      <c r="F2388" s="9"/>
      <c r="G2388" s="6"/>
      <c r="H2388" s="7">
        <v>455.0</v>
      </c>
      <c r="I2388" s="11">
        <v>47183.96</v>
      </c>
      <c r="K2388" s="12" t="str">
        <f t="shared" si="300"/>
        <v>UN3668</v>
      </c>
      <c r="M2388" s="2" t="s">
        <v>24</v>
      </c>
      <c r="N2388" s="2" t="s">
        <v>60</v>
      </c>
      <c r="O2388" s="2">
        <v>1.10751038E8</v>
      </c>
      <c r="P2388" s="15" t="str">
        <f>IFERROR(__xludf.DUMMYFUNCTION("CONCATENATE(B2388,"", "", to_text(D2388),"", "", E2388,"", "", H2388)"),"TSV-2601-0272, 15-Jan-2026, UPI/CR/601518194226/ABHYUDAY/KKBK/abhyudh/UN3668, 455")</f>
        <v>TSV-2601-0272, 15-Jan-2026, UPI/CR/601518194226/ABHYUDAY/KKBK/abhyudh/UN3668, 455</v>
      </c>
      <c r="Q2388" s="8">
        <v>2026.0</v>
      </c>
      <c r="R2388" s="8" t="s">
        <v>6777</v>
      </c>
    </row>
    <row r="2389">
      <c r="A2389" s="4" t="s">
        <v>18</v>
      </c>
      <c r="B2389" s="2" t="s">
        <v>7475</v>
      </c>
      <c r="C2389" s="5">
        <v>46037.0</v>
      </c>
      <c r="D2389" s="5">
        <v>46037.0</v>
      </c>
      <c r="E2389" s="4" t="s">
        <v>7476</v>
      </c>
      <c r="F2389" s="9"/>
      <c r="G2389" s="7">
        <v>320.0</v>
      </c>
      <c r="H2389" s="27"/>
      <c r="I2389" s="11">
        <v>46863.96</v>
      </c>
      <c r="K2389" s="2" t="s">
        <v>113</v>
      </c>
      <c r="M2389" s="2" t="s">
        <v>114</v>
      </c>
      <c r="N2389" s="2" t="s">
        <v>3925</v>
      </c>
      <c r="O2389" s="2">
        <v>1.10751038E8</v>
      </c>
      <c r="Q2389" s="8">
        <v>2026.0</v>
      </c>
      <c r="R2389" s="8" t="s">
        <v>6777</v>
      </c>
    </row>
    <row r="2390">
      <c r="A2390" s="4" t="s">
        <v>18</v>
      </c>
      <c r="B2390" s="2" t="s">
        <v>7477</v>
      </c>
      <c r="C2390" s="5">
        <v>46037.0</v>
      </c>
      <c r="D2390" s="5">
        <v>46037.0</v>
      </c>
      <c r="E2390" s="4" t="s">
        <v>7478</v>
      </c>
      <c r="F2390" s="9"/>
      <c r="G2390" s="11">
        <v>1000.0</v>
      </c>
      <c r="H2390" s="27"/>
      <c r="I2390" s="11">
        <v>45863.96</v>
      </c>
      <c r="K2390" s="2" t="s">
        <v>127</v>
      </c>
      <c r="M2390" s="2" t="s">
        <v>114</v>
      </c>
      <c r="N2390" s="2" t="s">
        <v>4023</v>
      </c>
      <c r="O2390" s="2">
        <v>1.10751038E8</v>
      </c>
      <c r="Q2390" s="8">
        <v>2026.0</v>
      </c>
      <c r="R2390" s="8" t="s">
        <v>6777</v>
      </c>
    </row>
    <row r="2391">
      <c r="A2391" s="4" t="s">
        <v>18</v>
      </c>
      <c r="B2391" s="2" t="s">
        <v>7479</v>
      </c>
      <c r="C2391" s="5">
        <v>46037.0</v>
      </c>
      <c r="D2391" s="5">
        <v>46037.0</v>
      </c>
      <c r="E2391" s="4" t="s">
        <v>7480</v>
      </c>
      <c r="F2391" s="9"/>
      <c r="G2391" s="11">
        <v>9230.0</v>
      </c>
      <c r="H2391" s="27"/>
      <c r="I2391" s="11">
        <v>36633.96</v>
      </c>
      <c r="K2391" s="2" t="s">
        <v>127</v>
      </c>
      <c r="M2391" s="2" t="s">
        <v>114</v>
      </c>
      <c r="N2391" s="2" t="s">
        <v>3925</v>
      </c>
      <c r="O2391" s="2">
        <v>1.10751038E8</v>
      </c>
      <c r="Q2391" s="8">
        <v>2026.0</v>
      </c>
      <c r="R2391" s="8" t="s">
        <v>6777</v>
      </c>
    </row>
    <row r="2392">
      <c r="A2392" s="4" t="s">
        <v>18</v>
      </c>
      <c r="B2392" s="2" t="s">
        <v>7481</v>
      </c>
      <c r="C2392" s="5">
        <v>46037.0</v>
      </c>
      <c r="D2392" s="5">
        <v>46037.0</v>
      </c>
      <c r="E2392" s="4" t="s">
        <v>7482</v>
      </c>
      <c r="F2392" s="9"/>
      <c r="G2392" s="11">
        <v>28350.0</v>
      </c>
      <c r="H2392" s="27"/>
      <c r="I2392" s="11">
        <v>8283.96</v>
      </c>
      <c r="K2392" s="12" t="str">
        <f>RIGHT(E2392,6)</f>
        <v>UN3668</v>
      </c>
      <c r="M2392" s="2" t="s">
        <v>114</v>
      </c>
      <c r="N2392" s="2" t="s">
        <v>115</v>
      </c>
      <c r="O2392" s="2">
        <v>1.10751038E8</v>
      </c>
      <c r="Q2392" s="8">
        <v>2026.0</v>
      </c>
      <c r="R2392" s="8" t="s">
        <v>6777</v>
      </c>
    </row>
    <row r="2393">
      <c r="A2393" s="4" t="s">
        <v>18</v>
      </c>
      <c r="B2393" s="2" t="s">
        <v>7483</v>
      </c>
      <c r="C2393" s="5">
        <v>46037.0</v>
      </c>
      <c r="D2393" s="5">
        <v>46037.0</v>
      </c>
      <c r="E2393" s="4" t="s">
        <v>7484</v>
      </c>
      <c r="F2393" s="9"/>
      <c r="G2393" s="11">
        <v>6435.0</v>
      </c>
      <c r="H2393" s="27"/>
      <c r="I2393" s="11">
        <v>1848.96</v>
      </c>
      <c r="K2393" s="2" t="s">
        <v>123</v>
      </c>
      <c r="M2393" s="2" t="s">
        <v>114</v>
      </c>
      <c r="N2393" s="2" t="s">
        <v>3925</v>
      </c>
      <c r="O2393" s="2">
        <v>1.10751038E8</v>
      </c>
      <c r="Q2393" s="8">
        <v>2026.0</v>
      </c>
      <c r="R2393" s="8" t="s">
        <v>6777</v>
      </c>
    </row>
    <row r="2394">
      <c r="A2394" s="4" t="s">
        <v>18</v>
      </c>
      <c r="B2394" s="2" t="s">
        <v>7485</v>
      </c>
      <c r="C2394" s="5">
        <v>46037.0</v>
      </c>
      <c r="D2394" s="5">
        <v>46037.0</v>
      </c>
      <c r="E2394" s="4" t="s">
        <v>7486</v>
      </c>
      <c r="F2394" s="9"/>
      <c r="G2394" s="7">
        <v>102.0</v>
      </c>
      <c r="H2394" s="27"/>
      <c r="I2394" s="11">
        <v>1746.96</v>
      </c>
      <c r="K2394" s="2" t="s">
        <v>123</v>
      </c>
      <c r="M2394" s="2" t="s">
        <v>114</v>
      </c>
      <c r="N2394" s="2" t="s">
        <v>3925</v>
      </c>
      <c r="O2394" s="2">
        <v>1.10751038E8</v>
      </c>
      <c r="Q2394" s="8">
        <v>2026.0</v>
      </c>
      <c r="R2394" s="8" t="s">
        <v>6777</v>
      </c>
    </row>
    <row r="2395">
      <c r="A2395" s="4" t="s">
        <v>18</v>
      </c>
      <c r="B2395" s="2" t="s">
        <v>7487</v>
      </c>
      <c r="C2395" s="5">
        <v>46037.0</v>
      </c>
      <c r="D2395" s="5">
        <v>46037.0</v>
      </c>
      <c r="E2395" s="4" t="s">
        <v>7488</v>
      </c>
      <c r="F2395" s="9"/>
      <c r="G2395" s="6"/>
      <c r="H2395" s="7">
        <v>293.0</v>
      </c>
      <c r="I2395" s="11">
        <v>2039.96</v>
      </c>
      <c r="K2395" s="12" t="str">
        <f>RIGHT(E2395,6)</f>
        <v>UN3668</v>
      </c>
      <c r="M2395" s="2" t="s">
        <v>24</v>
      </c>
      <c r="N2395" s="2" t="s">
        <v>60</v>
      </c>
      <c r="O2395" s="2">
        <v>1.10751038E8</v>
      </c>
      <c r="P2395" s="15" t="str">
        <f>IFERROR(__xludf.DUMMYFUNCTION("CONCATENATE(B2395,"", "", to_text(D2395),"", "", E2395,"", "", H2395)"),"TSV-2601-0279, 15-Jan-2026, UPI/CR/117237682721/M AMNA S/FDRL/amnashi/UN3668, 293")</f>
        <v>TSV-2601-0279, 15-Jan-2026, UPI/CR/117237682721/M AMNA S/FDRL/amnashi/UN3668, 293</v>
      </c>
      <c r="Q2395" s="8">
        <v>2026.0</v>
      </c>
      <c r="R2395" s="8" t="s">
        <v>6777</v>
      </c>
    </row>
    <row r="2396">
      <c r="A2396" s="4" t="s">
        <v>18</v>
      </c>
      <c r="B2396" s="2" t="s">
        <v>7489</v>
      </c>
      <c r="C2396" s="5">
        <v>46037.0</v>
      </c>
      <c r="D2396" s="5">
        <v>46037.0</v>
      </c>
      <c r="E2396" s="4" t="s">
        <v>7490</v>
      </c>
      <c r="F2396" s="9"/>
      <c r="G2396" s="11">
        <v>1730.0</v>
      </c>
      <c r="H2396" s="27"/>
      <c r="I2396" s="11">
        <v>309.96</v>
      </c>
      <c r="K2396" s="2" t="s">
        <v>123</v>
      </c>
      <c r="M2396" s="2" t="s">
        <v>114</v>
      </c>
      <c r="N2396" s="2" t="s">
        <v>1800</v>
      </c>
      <c r="O2396" s="2">
        <v>1.10751038E8</v>
      </c>
      <c r="Q2396" s="8">
        <v>2026.0</v>
      </c>
      <c r="R2396" s="8" t="s">
        <v>6777</v>
      </c>
    </row>
    <row r="2397">
      <c r="A2397" s="4" t="s">
        <v>18</v>
      </c>
      <c r="B2397" s="2" t="s">
        <v>7491</v>
      </c>
      <c r="C2397" s="5">
        <v>46037.0</v>
      </c>
      <c r="D2397" s="5">
        <v>46037.0</v>
      </c>
      <c r="E2397" s="4" t="s">
        <v>7492</v>
      </c>
      <c r="F2397" s="9"/>
      <c r="G2397" s="6"/>
      <c r="H2397" s="11">
        <v>10000.0</v>
      </c>
      <c r="I2397" s="11">
        <v>10309.96</v>
      </c>
      <c r="K2397" s="12" t="str">
        <f t="shared" ref="K2397:K2398" si="301">RIGHT(E2397,6)</f>
        <v>SL1610</v>
      </c>
      <c r="M2397" s="2" t="s">
        <v>24</v>
      </c>
      <c r="N2397" s="2" t="s">
        <v>60</v>
      </c>
      <c r="O2397" s="2">
        <v>1.10751038E8</v>
      </c>
      <c r="P2397" s="15" t="str">
        <f>IFERROR(__xludf.DUMMYFUNCTION("CONCATENATE(B2397,"", "", to_text(D2397),"", "", E2397,"", "", H2397)"),"TSV-2601-0281, 15-Jan-2026, UPI/CR/638150125840/MALAVIKA/KKBK/shashaa/SL1610, 10000")</f>
        <v>TSV-2601-0281, 15-Jan-2026, UPI/CR/638150125840/MALAVIKA/KKBK/shashaa/SL1610, 10000</v>
      </c>
      <c r="Q2397" s="8">
        <v>2026.0</v>
      </c>
      <c r="R2397" s="8" t="s">
        <v>6777</v>
      </c>
    </row>
    <row r="2398">
      <c r="A2398" s="4" t="s">
        <v>18</v>
      </c>
      <c r="B2398" s="2" t="s">
        <v>7493</v>
      </c>
      <c r="C2398" s="5">
        <v>46037.0</v>
      </c>
      <c r="D2398" s="5">
        <v>46037.0</v>
      </c>
      <c r="E2398" s="4" t="s">
        <v>7494</v>
      </c>
      <c r="F2398" s="9"/>
      <c r="G2398" s="6"/>
      <c r="H2398" s="11">
        <v>5975.0</v>
      </c>
      <c r="I2398" s="11">
        <v>16284.96</v>
      </c>
      <c r="K2398" s="12" t="str">
        <f t="shared" si="301"/>
        <v>KN3817</v>
      </c>
      <c r="M2398" s="2" t="s">
        <v>24</v>
      </c>
      <c r="N2398" s="2" t="s">
        <v>60</v>
      </c>
      <c r="O2398" s="2">
        <v>1.10751038E8</v>
      </c>
      <c r="P2398" s="15" t="str">
        <f>IFERROR(__xludf.DUMMYFUNCTION("CONCATENATE(B2398,"", "", to_text(D2398),"", "", E2398,"", "", H2398)"),"TSV-2601-0282, 15-Jan-2026, UPI/CR/601514969098/AADITYA /HDFC/7065556/KN3817, 5975")</f>
        <v>TSV-2601-0282, 15-Jan-2026, UPI/CR/601514969098/AADITYA /HDFC/7065556/KN3817, 5975</v>
      </c>
      <c r="Q2398" s="8">
        <v>2026.0</v>
      </c>
      <c r="R2398" s="8" t="s">
        <v>6777</v>
      </c>
    </row>
    <row r="2399">
      <c r="A2399" s="4" t="s">
        <v>18</v>
      </c>
      <c r="B2399" s="2" t="s">
        <v>7495</v>
      </c>
      <c r="C2399" s="5">
        <v>46037.0</v>
      </c>
      <c r="D2399" s="5">
        <v>46037.0</v>
      </c>
      <c r="E2399" s="4" t="s">
        <v>7496</v>
      </c>
      <c r="F2399" s="9"/>
      <c r="G2399" s="11">
        <v>3000.0</v>
      </c>
      <c r="H2399" s="27"/>
      <c r="I2399" s="11">
        <v>13284.96</v>
      </c>
      <c r="J2399" s="2" t="s">
        <v>7497</v>
      </c>
      <c r="K2399" s="2" t="s">
        <v>127</v>
      </c>
      <c r="M2399" s="2" t="s">
        <v>114</v>
      </c>
      <c r="N2399" s="2" t="s">
        <v>169</v>
      </c>
      <c r="O2399" s="2">
        <v>1.10751038E8</v>
      </c>
      <c r="Q2399" s="8">
        <v>2026.0</v>
      </c>
      <c r="R2399" s="8" t="s">
        <v>6777</v>
      </c>
    </row>
    <row r="2400">
      <c r="C2400" s="28"/>
      <c r="D2400" s="28"/>
      <c r="E2400" s="29"/>
      <c r="F2400" s="30"/>
      <c r="G2400" s="31"/>
      <c r="H2400" s="32"/>
      <c r="I2400" s="33"/>
      <c r="Q2400" s="8"/>
      <c r="R2400" s="8"/>
    </row>
    <row r="2401">
      <c r="C2401" s="28"/>
      <c r="D2401" s="28"/>
      <c r="E2401" s="29"/>
      <c r="F2401" s="30"/>
      <c r="G2401" s="31"/>
      <c r="H2401" s="32"/>
      <c r="I2401" s="33"/>
      <c r="Q2401" s="8"/>
      <c r="R2401" s="8"/>
    </row>
    <row r="2402">
      <c r="C2402" s="28"/>
      <c r="D2402" s="28"/>
      <c r="E2402" s="29"/>
      <c r="F2402" s="30"/>
      <c r="G2402" s="31"/>
      <c r="H2402" s="32"/>
      <c r="I2402" s="33"/>
      <c r="Q2402" s="8"/>
      <c r="R2402" s="8"/>
    </row>
    <row r="2403">
      <c r="C2403" s="28"/>
      <c r="D2403" s="28"/>
      <c r="E2403" s="29"/>
      <c r="F2403" s="30"/>
      <c r="G2403" s="31"/>
      <c r="H2403" s="32"/>
      <c r="I2403" s="33"/>
      <c r="Q2403" s="8"/>
      <c r="R2403" s="8"/>
    </row>
    <row r="2404">
      <c r="C2404" s="28"/>
      <c r="D2404" s="28"/>
      <c r="E2404" s="29"/>
      <c r="F2404" s="30"/>
      <c r="G2404" s="31"/>
      <c r="H2404" s="32"/>
      <c r="I2404" s="33"/>
      <c r="Q2404" s="8"/>
      <c r="R2404" s="8"/>
    </row>
    <row r="2405">
      <c r="C2405" s="28"/>
      <c r="D2405" s="28"/>
      <c r="E2405" s="29"/>
      <c r="F2405" s="30"/>
      <c r="G2405" s="31"/>
      <c r="H2405" s="32"/>
      <c r="I2405" s="33"/>
      <c r="Q2405" s="8"/>
      <c r="R2405" s="8"/>
    </row>
    <row r="2406">
      <c r="C2406" s="28"/>
      <c r="D2406" s="28"/>
      <c r="E2406" s="29"/>
      <c r="F2406" s="30"/>
      <c r="G2406" s="31"/>
      <c r="H2406" s="32"/>
      <c r="I2406" s="33"/>
      <c r="Q2406" s="8"/>
      <c r="R2406" s="8"/>
    </row>
    <row r="2407">
      <c r="C2407" s="28"/>
      <c r="D2407" s="28"/>
      <c r="E2407" s="29"/>
      <c r="F2407" s="30"/>
      <c r="G2407" s="31"/>
      <c r="H2407" s="32"/>
      <c r="I2407" s="33"/>
      <c r="Q2407" s="8"/>
      <c r="R2407" s="8"/>
    </row>
    <row r="2408">
      <c r="C2408" s="28"/>
      <c r="D2408" s="28"/>
      <c r="E2408" s="29"/>
      <c r="F2408" s="30"/>
      <c r="G2408" s="31"/>
      <c r="H2408" s="32"/>
      <c r="I2408" s="33"/>
      <c r="Q2408" s="8"/>
      <c r="R2408" s="8"/>
    </row>
    <row r="2409">
      <c r="C2409" s="28"/>
      <c r="D2409" s="28"/>
      <c r="E2409" s="29"/>
      <c r="F2409" s="30"/>
      <c r="G2409" s="31"/>
      <c r="H2409" s="32"/>
      <c r="I2409" s="33"/>
      <c r="Q2409" s="8"/>
      <c r="R2409" s="8"/>
    </row>
    <row r="2410">
      <c r="C2410" s="28"/>
      <c r="D2410" s="28"/>
      <c r="E2410" s="29"/>
      <c r="F2410" s="30"/>
      <c r="G2410" s="31"/>
      <c r="H2410" s="32"/>
      <c r="I2410" s="33"/>
      <c r="Q2410" s="8"/>
      <c r="R2410" s="8"/>
    </row>
    <row r="2411">
      <c r="C2411" s="28"/>
      <c r="D2411" s="28"/>
      <c r="E2411" s="29"/>
      <c r="F2411" s="30"/>
      <c r="G2411" s="31"/>
      <c r="H2411" s="32"/>
      <c r="I2411" s="33"/>
      <c r="Q2411" s="8"/>
      <c r="R2411" s="8"/>
    </row>
    <row r="2412">
      <c r="C2412" s="28"/>
      <c r="D2412" s="28"/>
      <c r="E2412" s="29"/>
      <c r="F2412" s="30"/>
      <c r="G2412" s="31"/>
      <c r="H2412" s="32"/>
      <c r="I2412" s="33"/>
      <c r="Q2412" s="8"/>
      <c r="R2412" s="8"/>
    </row>
    <row r="2413">
      <c r="C2413" s="28"/>
      <c r="D2413" s="28"/>
      <c r="E2413" s="29"/>
      <c r="F2413" s="30"/>
      <c r="G2413" s="31"/>
      <c r="H2413" s="32"/>
      <c r="I2413" s="33"/>
      <c r="Q2413" s="8"/>
      <c r="R2413" s="8"/>
    </row>
    <row r="2414">
      <c r="C2414" s="28"/>
      <c r="D2414" s="28"/>
      <c r="E2414" s="29"/>
      <c r="F2414" s="30"/>
      <c r="G2414" s="31"/>
      <c r="H2414" s="32"/>
      <c r="I2414" s="33"/>
      <c r="Q2414" s="8"/>
      <c r="R2414" s="8"/>
    </row>
    <row r="2415">
      <c r="C2415" s="28"/>
      <c r="D2415" s="28"/>
      <c r="E2415" s="29"/>
      <c r="F2415" s="30"/>
      <c r="G2415" s="31"/>
      <c r="H2415" s="32"/>
      <c r="I2415" s="33"/>
      <c r="Q2415" s="8"/>
      <c r="R2415" s="8"/>
    </row>
    <row r="2416">
      <c r="C2416" s="28"/>
      <c r="D2416" s="28"/>
      <c r="E2416" s="29"/>
      <c r="F2416" s="30"/>
      <c r="G2416" s="31"/>
      <c r="H2416" s="32"/>
      <c r="I2416" s="33"/>
      <c r="Q2416" s="8"/>
      <c r="R2416" s="8"/>
    </row>
    <row r="2417">
      <c r="C2417" s="28"/>
      <c r="D2417" s="28"/>
      <c r="E2417" s="29"/>
      <c r="F2417" s="30"/>
      <c r="G2417" s="31"/>
      <c r="H2417" s="32"/>
      <c r="I2417" s="33"/>
      <c r="Q2417" s="8"/>
      <c r="R2417" s="8"/>
    </row>
    <row r="2418">
      <c r="C2418" s="28"/>
      <c r="D2418" s="28"/>
      <c r="E2418" s="29"/>
      <c r="F2418" s="30"/>
      <c r="G2418" s="31"/>
      <c r="H2418" s="32"/>
      <c r="I2418" s="33"/>
      <c r="Q2418" s="8"/>
      <c r="R2418" s="8"/>
    </row>
    <row r="2419">
      <c r="C2419" s="28"/>
      <c r="D2419" s="28"/>
      <c r="E2419" s="29"/>
      <c r="F2419" s="30"/>
      <c r="G2419" s="31"/>
      <c r="H2419" s="32"/>
      <c r="I2419" s="33"/>
      <c r="Q2419" s="8"/>
      <c r="R2419" s="8"/>
    </row>
    <row r="2420">
      <c r="C2420" s="28"/>
      <c r="D2420" s="28"/>
      <c r="E2420" s="29"/>
      <c r="F2420" s="30"/>
      <c r="G2420" s="31"/>
      <c r="H2420" s="32"/>
      <c r="I2420" s="33"/>
      <c r="Q2420" s="8"/>
      <c r="R2420" s="8"/>
    </row>
    <row r="2421">
      <c r="C2421" s="28"/>
      <c r="D2421" s="28"/>
      <c r="E2421" s="29"/>
      <c r="F2421" s="30"/>
      <c r="G2421" s="31"/>
      <c r="H2421" s="32"/>
      <c r="I2421" s="33"/>
      <c r="Q2421" s="8"/>
      <c r="R2421" s="8"/>
    </row>
    <row r="2422">
      <c r="C2422" s="28"/>
      <c r="D2422" s="28"/>
      <c r="E2422" s="29"/>
      <c r="F2422" s="30"/>
      <c r="G2422" s="31"/>
      <c r="H2422" s="32"/>
      <c r="I2422" s="33"/>
      <c r="Q2422" s="8"/>
      <c r="R2422" s="8"/>
    </row>
    <row r="2423">
      <c r="C2423" s="28"/>
      <c r="D2423" s="28"/>
      <c r="E2423" s="29"/>
      <c r="F2423" s="30"/>
      <c r="G2423" s="31"/>
      <c r="H2423" s="32"/>
      <c r="I2423" s="33"/>
      <c r="Q2423" s="8"/>
      <c r="R2423" s="8"/>
    </row>
    <row r="2424">
      <c r="C2424" s="28"/>
      <c r="D2424" s="28"/>
      <c r="E2424" s="29"/>
      <c r="F2424" s="30"/>
      <c r="G2424" s="31"/>
      <c r="H2424" s="32"/>
      <c r="I2424" s="33"/>
      <c r="Q2424" s="8"/>
      <c r="R2424" s="8"/>
    </row>
    <row r="2425">
      <c r="C2425" s="28"/>
      <c r="D2425" s="28"/>
      <c r="E2425" s="29"/>
      <c r="F2425" s="30"/>
      <c r="G2425" s="31"/>
      <c r="H2425" s="32"/>
      <c r="I2425" s="33"/>
      <c r="Q2425" s="8"/>
      <c r="R2425" s="8"/>
    </row>
    <row r="2426">
      <c r="C2426" s="28"/>
      <c r="D2426" s="28"/>
      <c r="E2426" s="29"/>
      <c r="F2426" s="30"/>
      <c r="G2426" s="31"/>
      <c r="H2426" s="32"/>
      <c r="I2426" s="33"/>
      <c r="Q2426" s="8"/>
      <c r="R2426" s="8"/>
    </row>
    <row r="2427">
      <c r="C2427" s="28"/>
      <c r="D2427" s="28"/>
      <c r="E2427" s="29"/>
      <c r="F2427" s="30"/>
      <c r="G2427" s="31"/>
      <c r="H2427" s="32"/>
      <c r="I2427" s="33"/>
      <c r="Q2427" s="8"/>
      <c r="R2427" s="8"/>
    </row>
    <row r="2428">
      <c r="C2428" s="28"/>
      <c r="D2428" s="28"/>
      <c r="E2428" s="29"/>
      <c r="F2428" s="30"/>
      <c r="G2428" s="31"/>
      <c r="H2428" s="32"/>
      <c r="I2428" s="33"/>
      <c r="Q2428" s="8"/>
      <c r="R2428" s="8"/>
    </row>
    <row r="2429">
      <c r="C2429" s="28"/>
      <c r="D2429" s="28"/>
      <c r="E2429" s="29"/>
      <c r="F2429" s="30"/>
      <c r="G2429" s="31"/>
      <c r="H2429" s="32"/>
      <c r="I2429" s="33"/>
      <c r="Q2429" s="8"/>
      <c r="R2429" s="8"/>
    </row>
    <row r="2430">
      <c r="C2430" s="28"/>
      <c r="D2430" s="28"/>
      <c r="E2430" s="29"/>
      <c r="F2430" s="30"/>
      <c r="G2430" s="31"/>
      <c r="H2430" s="32"/>
      <c r="I2430" s="33"/>
      <c r="Q2430" s="8"/>
      <c r="R2430" s="8"/>
    </row>
    <row r="2431">
      <c r="C2431" s="28"/>
      <c r="D2431" s="28"/>
      <c r="E2431" s="29"/>
      <c r="F2431" s="30"/>
      <c r="G2431" s="31"/>
      <c r="H2431" s="32"/>
      <c r="I2431" s="33"/>
      <c r="Q2431" s="8"/>
      <c r="R2431" s="8"/>
    </row>
    <row r="2432">
      <c r="C2432" s="28"/>
      <c r="D2432" s="28"/>
      <c r="E2432" s="29"/>
      <c r="F2432" s="30"/>
      <c r="G2432" s="31"/>
      <c r="H2432" s="32"/>
      <c r="I2432" s="33"/>
      <c r="Q2432" s="8"/>
      <c r="R2432" s="8"/>
    </row>
    <row r="2433">
      <c r="C2433" s="28"/>
      <c r="D2433" s="28"/>
      <c r="E2433" s="29"/>
      <c r="F2433" s="30"/>
      <c r="G2433" s="31"/>
      <c r="H2433" s="32"/>
      <c r="I2433" s="33"/>
      <c r="Q2433" s="8"/>
      <c r="R2433" s="8"/>
    </row>
    <row r="2434">
      <c r="C2434" s="28"/>
      <c r="D2434" s="28"/>
      <c r="E2434" s="29"/>
      <c r="F2434" s="30"/>
      <c r="G2434" s="31"/>
      <c r="H2434" s="32"/>
      <c r="I2434" s="33"/>
      <c r="Q2434" s="8"/>
      <c r="R2434" s="8"/>
    </row>
    <row r="2435">
      <c r="C2435" s="28"/>
      <c r="D2435" s="28"/>
      <c r="E2435" s="29"/>
      <c r="F2435" s="30"/>
      <c r="G2435" s="31"/>
      <c r="H2435" s="32"/>
      <c r="I2435" s="33"/>
      <c r="Q2435" s="8"/>
      <c r="R2435" s="8"/>
    </row>
    <row r="2436">
      <c r="C2436" s="28"/>
      <c r="D2436" s="28"/>
      <c r="E2436" s="29"/>
      <c r="F2436" s="30"/>
      <c r="G2436" s="31"/>
      <c r="H2436" s="32"/>
      <c r="I2436" s="33"/>
      <c r="Q2436" s="8"/>
      <c r="R2436" s="8"/>
    </row>
    <row r="2437">
      <c r="C2437" s="28"/>
      <c r="D2437" s="28"/>
      <c r="E2437" s="29"/>
      <c r="F2437" s="30"/>
      <c r="G2437" s="31"/>
      <c r="H2437" s="32"/>
      <c r="I2437" s="33"/>
      <c r="Q2437" s="8"/>
      <c r="R2437" s="8"/>
    </row>
    <row r="2438">
      <c r="C2438" s="28"/>
      <c r="D2438" s="28"/>
      <c r="E2438" s="29"/>
      <c r="F2438" s="30"/>
      <c r="G2438" s="31"/>
      <c r="H2438" s="32"/>
      <c r="I2438" s="33"/>
      <c r="Q2438" s="8"/>
      <c r="R2438" s="8"/>
    </row>
    <row r="2439">
      <c r="C2439" s="28"/>
      <c r="D2439" s="28"/>
      <c r="E2439" s="29"/>
      <c r="F2439" s="30"/>
      <c r="G2439" s="31"/>
      <c r="H2439" s="32"/>
      <c r="I2439" s="33"/>
      <c r="Q2439" s="8"/>
      <c r="R2439" s="8"/>
    </row>
    <row r="2440">
      <c r="C2440" s="28"/>
      <c r="D2440" s="28"/>
      <c r="E2440" s="29"/>
      <c r="F2440" s="30"/>
      <c r="G2440" s="31"/>
      <c r="H2440" s="32"/>
      <c r="I2440" s="33"/>
      <c r="Q2440" s="8"/>
      <c r="R2440" s="8"/>
    </row>
    <row r="2441">
      <c r="C2441" s="28"/>
      <c r="D2441" s="28"/>
      <c r="E2441" s="29"/>
      <c r="F2441" s="30"/>
      <c r="G2441" s="31"/>
      <c r="H2441" s="32"/>
      <c r="I2441" s="33"/>
      <c r="Q2441" s="8"/>
      <c r="R2441" s="8"/>
    </row>
    <row r="2442">
      <c r="C2442" s="28"/>
      <c r="D2442" s="28"/>
      <c r="E2442" s="29"/>
      <c r="F2442" s="30"/>
      <c r="G2442" s="31"/>
      <c r="H2442" s="32"/>
      <c r="I2442" s="33"/>
      <c r="Q2442" s="8"/>
      <c r="R2442" s="8"/>
    </row>
    <row r="2443">
      <c r="C2443" s="28"/>
      <c r="D2443" s="28"/>
      <c r="E2443" s="29"/>
      <c r="F2443" s="30"/>
      <c r="G2443" s="31"/>
      <c r="H2443" s="32"/>
      <c r="I2443" s="33"/>
      <c r="Q2443" s="8"/>
      <c r="R2443" s="8"/>
    </row>
    <row r="2444">
      <c r="C2444" s="28"/>
      <c r="D2444" s="28"/>
      <c r="E2444" s="29"/>
      <c r="F2444" s="30"/>
      <c r="G2444" s="31"/>
      <c r="H2444" s="32"/>
      <c r="I2444" s="33"/>
      <c r="Q2444" s="8"/>
      <c r="R2444" s="8"/>
    </row>
    <row r="2445">
      <c r="C2445" s="28"/>
      <c r="D2445" s="28"/>
      <c r="E2445" s="29"/>
      <c r="F2445" s="30"/>
      <c r="G2445" s="31"/>
      <c r="H2445" s="32"/>
      <c r="I2445" s="33"/>
      <c r="Q2445" s="8"/>
      <c r="R2445" s="8"/>
    </row>
    <row r="2446">
      <c r="C2446" s="28"/>
      <c r="D2446" s="28"/>
      <c r="E2446" s="29"/>
      <c r="F2446" s="30"/>
      <c r="G2446" s="31"/>
      <c r="H2446" s="32"/>
      <c r="I2446" s="33"/>
      <c r="Q2446" s="8"/>
      <c r="R2446" s="8"/>
    </row>
    <row r="2447">
      <c r="C2447" s="28"/>
      <c r="D2447" s="28"/>
      <c r="E2447" s="29"/>
      <c r="F2447" s="30"/>
      <c r="G2447" s="31"/>
      <c r="H2447" s="32"/>
      <c r="I2447" s="33"/>
      <c r="Q2447" s="8"/>
      <c r="R2447" s="8"/>
    </row>
    <row r="2448">
      <c r="C2448" s="28"/>
      <c r="D2448" s="28"/>
      <c r="E2448" s="29"/>
      <c r="F2448" s="30"/>
      <c r="G2448" s="31"/>
      <c r="H2448" s="32"/>
      <c r="I2448" s="33"/>
      <c r="Q2448" s="8"/>
      <c r="R2448" s="8"/>
    </row>
    <row r="2449">
      <c r="C2449" s="28"/>
      <c r="D2449" s="28"/>
      <c r="E2449" s="29"/>
      <c r="F2449" s="30"/>
      <c r="G2449" s="31"/>
      <c r="H2449" s="32"/>
      <c r="I2449" s="33"/>
      <c r="Q2449" s="8"/>
      <c r="R2449" s="8"/>
    </row>
    <row r="2450">
      <c r="C2450" s="28"/>
      <c r="D2450" s="28"/>
      <c r="E2450" s="29"/>
      <c r="F2450" s="30"/>
      <c r="G2450" s="31"/>
      <c r="H2450" s="32"/>
      <c r="I2450" s="33"/>
      <c r="Q2450" s="8"/>
      <c r="R2450" s="8"/>
    </row>
    <row r="2451">
      <c r="C2451" s="28"/>
      <c r="D2451" s="28"/>
      <c r="E2451" s="29"/>
      <c r="F2451" s="30"/>
      <c r="G2451" s="31"/>
      <c r="H2451" s="32"/>
      <c r="I2451" s="33"/>
      <c r="Q2451" s="8"/>
      <c r="R2451" s="8"/>
    </row>
    <row r="2452">
      <c r="C2452" s="28"/>
      <c r="D2452" s="28"/>
      <c r="E2452" s="29"/>
      <c r="F2452" s="30"/>
      <c r="G2452" s="31"/>
      <c r="H2452" s="32"/>
      <c r="I2452" s="33"/>
      <c r="Q2452" s="8"/>
      <c r="R2452" s="8"/>
    </row>
    <row r="2453">
      <c r="C2453" s="28"/>
      <c r="D2453" s="28"/>
      <c r="E2453" s="29"/>
      <c r="F2453" s="30"/>
      <c r="G2453" s="31"/>
      <c r="H2453" s="32"/>
      <c r="I2453" s="33"/>
      <c r="Q2453" s="8"/>
      <c r="R2453" s="8"/>
    </row>
    <row r="2454">
      <c r="C2454" s="28"/>
      <c r="D2454" s="28"/>
      <c r="E2454" s="29"/>
      <c r="F2454" s="30"/>
      <c r="G2454" s="31"/>
      <c r="H2454" s="32"/>
      <c r="I2454" s="33"/>
      <c r="Q2454" s="8"/>
      <c r="R2454" s="8"/>
    </row>
    <row r="2455">
      <c r="C2455" s="28"/>
      <c r="D2455" s="28"/>
      <c r="E2455" s="29"/>
      <c r="F2455" s="30"/>
      <c r="G2455" s="31"/>
      <c r="H2455" s="32"/>
      <c r="I2455" s="33"/>
      <c r="Q2455" s="8"/>
      <c r="R2455" s="8"/>
    </row>
    <row r="2456">
      <c r="C2456" s="28"/>
      <c r="D2456" s="28"/>
      <c r="E2456" s="29"/>
      <c r="F2456" s="30"/>
      <c r="G2456" s="31"/>
      <c r="H2456" s="32"/>
      <c r="I2456" s="33"/>
      <c r="Q2456" s="8"/>
      <c r="R2456" s="8"/>
    </row>
    <row r="2457">
      <c r="C2457" s="28"/>
      <c r="D2457" s="28"/>
      <c r="E2457" s="29"/>
      <c r="F2457" s="30"/>
      <c r="G2457" s="31"/>
      <c r="H2457" s="32"/>
      <c r="I2457" s="33"/>
      <c r="Q2457" s="8"/>
      <c r="R2457" s="8"/>
    </row>
    <row r="2458">
      <c r="C2458" s="28"/>
      <c r="D2458" s="28"/>
      <c r="E2458" s="29"/>
      <c r="F2458" s="30"/>
      <c r="G2458" s="31"/>
      <c r="H2458" s="32"/>
      <c r="I2458" s="33"/>
      <c r="Q2458" s="8"/>
      <c r="R2458" s="8"/>
    </row>
    <row r="2459">
      <c r="C2459" s="28"/>
      <c r="D2459" s="28"/>
      <c r="E2459" s="29"/>
      <c r="F2459" s="30"/>
      <c r="G2459" s="31"/>
      <c r="H2459" s="32"/>
      <c r="I2459" s="33"/>
      <c r="Q2459" s="8"/>
      <c r="R2459" s="8"/>
    </row>
    <row r="2460">
      <c r="C2460" s="28"/>
      <c r="D2460" s="28"/>
      <c r="E2460" s="29"/>
      <c r="F2460" s="30"/>
      <c r="G2460" s="31"/>
      <c r="H2460" s="32"/>
      <c r="I2460" s="33"/>
      <c r="Q2460" s="8"/>
      <c r="R2460" s="8"/>
    </row>
    <row r="2461">
      <c r="C2461" s="28"/>
      <c r="D2461" s="28"/>
      <c r="E2461" s="29"/>
      <c r="F2461" s="30"/>
      <c r="G2461" s="31"/>
      <c r="H2461" s="32"/>
      <c r="I2461" s="33"/>
      <c r="Q2461" s="8"/>
      <c r="R2461" s="8"/>
    </row>
    <row r="2462">
      <c r="C2462" s="28"/>
      <c r="D2462" s="28"/>
      <c r="E2462" s="29"/>
      <c r="F2462" s="30"/>
      <c r="G2462" s="31"/>
      <c r="H2462" s="32"/>
      <c r="I2462" s="33"/>
      <c r="Q2462" s="8"/>
      <c r="R2462" s="8"/>
    </row>
    <row r="2463">
      <c r="C2463" s="28"/>
      <c r="D2463" s="28"/>
      <c r="E2463" s="29"/>
      <c r="F2463" s="30"/>
      <c r="G2463" s="31"/>
      <c r="H2463" s="32"/>
      <c r="I2463" s="33"/>
      <c r="Q2463" s="8"/>
      <c r="R2463" s="8"/>
    </row>
    <row r="2464">
      <c r="C2464" s="28"/>
      <c r="D2464" s="28"/>
      <c r="E2464" s="29"/>
      <c r="F2464" s="30"/>
      <c r="G2464" s="31"/>
      <c r="H2464" s="32"/>
      <c r="I2464" s="33"/>
      <c r="Q2464" s="8"/>
      <c r="R2464" s="8"/>
    </row>
    <row r="2465">
      <c r="C2465" s="28"/>
      <c r="D2465" s="28"/>
      <c r="E2465" s="29"/>
      <c r="F2465" s="30"/>
      <c r="G2465" s="31"/>
      <c r="H2465" s="32"/>
      <c r="I2465" s="33"/>
      <c r="Q2465" s="8"/>
      <c r="R2465" s="8"/>
    </row>
    <row r="2466">
      <c r="C2466" s="28"/>
      <c r="D2466" s="28"/>
      <c r="E2466" s="29"/>
      <c r="F2466" s="30"/>
      <c r="G2466" s="31"/>
      <c r="H2466" s="32"/>
      <c r="I2466" s="33"/>
      <c r="Q2466" s="8"/>
      <c r="R2466" s="8"/>
    </row>
    <row r="2467">
      <c r="C2467" s="28"/>
      <c r="D2467" s="28"/>
      <c r="E2467" s="29"/>
      <c r="F2467" s="30"/>
      <c r="G2467" s="31"/>
      <c r="H2467" s="32"/>
      <c r="I2467" s="33"/>
      <c r="Q2467" s="8"/>
      <c r="R2467" s="8"/>
    </row>
    <row r="2468">
      <c r="C2468" s="28"/>
      <c r="D2468" s="28"/>
      <c r="E2468" s="29"/>
      <c r="F2468" s="30"/>
      <c r="G2468" s="31"/>
      <c r="H2468" s="32"/>
      <c r="I2468" s="33"/>
      <c r="Q2468" s="8"/>
      <c r="R2468" s="8"/>
    </row>
    <row r="2469">
      <c r="C2469" s="28"/>
      <c r="D2469" s="28"/>
      <c r="E2469" s="29"/>
      <c r="F2469" s="30"/>
      <c r="G2469" s="31"/>
      <c r="H2469" s="32"/>
      <c r="I2469" s="33"/>
      <c r="Q2469" s="8"/>
      <c r="R2469" s="8"/>
    </row>
    <row r="2470">
      <c r="C2470" s="28"/>
      <c r="D2470" s="28"/>
      <c r="E2470" s="29"/>
      <c r="F2470" s="30"/>
      <c r="G2470" s="31"/>
      <c r="H2470" s="32"/>
      <c r="I2470" s="33"/>
      <c r="Q2470" s="8"/>
      <c r="R2470" s="8"/>
    </row>
    <row r="2471">
      <c r="C2471" s="28"/>
      <c r="D2471" s="28"/>
      <c r="E2471" s="29"/>
      <c r="F2471" s="30"/>
      <c r="G2471" s="31"/>
      <c r="H2471" s="32"/>
      <c r="I2471" s="33"/>
      <c r="Q2471" s="8"/>
      <c r="R2471" s="8"/>
    </row>
    <row r="2472">
      <c r="C2472" s="28"/>
      <c r="D2472" s="28"/>
      <c r="E2472" s="29"/>
      <c r="F2472" s="30"/>
      <c r="G2472" s="31"/>
      <c r="H2472" s="32"/>
      <c r="I2472" s="33"/>
      <c r="Q2472" s="8"/>
      <c r="R2472" s="8"/>
    </row>
    <row r="2473">
      <c r="C2473" s="28"/>
      <c r="D2473" s="28"/>
      <c r="E2473" s="29"/>
      <c r="F2473" s="30"/>
      <c r="G2473" s="31"/>
      <c r="H2473" s="32"/>
      <c r="I2473" s="33"/>
      <c r="Q2473" s="8"/>
      <c r="R2473" s="8"/>
    </row>
    <row r="2474">
      <c r="C2474" s="28"/>
      <c r="D2474" s="28"/>
      <c r="E2474" s="29"/>
      <c r="F2474" s="30"/>
      <c r="G2474" s="31"/>
      <c r="H2474" s="32"/>
      <c r="I2474" s="33"/>
      <c r="Q2474" s="8"/>
      <c r="R2474" s="8"/>
    </row>
    <row r="2475">
      <c r="C2475" s="28"/>
      <c r="D2475" s="28"/>
      <c r="E2475" s="29"/>
      <c r="F2475" s="30"/>
      <c r="G2475" s="31"/>
      <c r="H2475" s="32"/>
      <c r="I2475" s="33"/>
      <c r="Q2475" s="8"/>
      <c r="R2475" s="8"/>
    </row>
    <row r="2476">
      <c r="C2476" s="28"/>
      <c r="D2476" s="28"/>
      <c r="E2476" s="29"/>
      <c r="F2476" s="30"/>
      <c r="G2476" s="31"/>
      <c r="H2476" s="32"/>
      <c r="I2476" s="33"/>
      <c r="Q2476" s="8"/>
      <c r="R2476" s="8"/>
    </row>
    <row r="2477">
      <c r="C2477" s="28"/>
      <c r="D2477" s="28"/>
      <c r="E2477" s="29"/>
      <c r="F2477" s="30"/>
      <c r="G2477" s="31"/>
      <c r="H2477" s="32"/>
      <c r="I2477" s="33"/>
      <c r="Q2477" s="8"/>
      <c r="R2477" s="8"/>
    </row>
    <row r="2478">
      <c r="C2478" s="28"/>
      <c r="D2478" s="28"/>
      <c r="E2478" s="29"/>
      <c r="F2478" s="30"/>
      <c r="G2478" s="31"/>
      <c r="H2478" s="32"/>
      <c r="I2478" s="33"/>
      <c r="Q2478" s="8"/>
      <c r="R2478" s="8"/>
    </row>
    <row r="2479">
      <c r="C2479" s="28"/>
      <c r="D2479" s="28"/>
      <c r="E2479" s="29"/>
      <c r="F2479" s="30"/>
      <c r="G2479" s="31"/>
      <c r="H2479" s="32"/>
      <c r="I2479" s="33"/>
      <c r="Q2479" s="8"/>
      <c r="R2479" s="8"/>
    </row>
    <row r="2480">
      <c r="C2480" s="28"/>
      <c r="D2480" s="28"/>
      <c r="E2480" s="29"/>
      <c r="F2480" s="30"/>
      <c r="G2480" s="31"/>
      <c r="H2480" s="32"/>
      <c r="I2480" s="33"/>
      <c r="Q2480" s="8"/>
      <c r="R2480" s="8"/>
    </row>
    <row r="2481">
      <c r="C2481" s="28"/>
      <c r="D2481" s="28"/>
      <c r="E2481" s="29"/>
      <c r="F2481" s="30"/>
      <c r="G2481" s="31"/>
      <c r="H2481" s="32"/>
      <c r="I2481" s="33"/>
      <c r="Q2481" s="8"/>
      <c r="R2481" s="8"/>
    </row>
    <row r="2482">
      <c r="C2482" s="28"/>
      <c r="D2482" s="28"/>
      <c r="E2482" s="29"/>
      <c r="F2482" s="30"/>
      <c r="G2482" s="31"/>
      <c r="H2482" s="32"/>
      <c r="I2482" s="33"/>
      <c r="Q2482" s="8"/>
      <c r="R2482" s="8"/>
    </row>
    <row r="2483">
      <c r="C2483" s="28"/>
      <c r="D2483" s="28"/>
      <c r="E2483" s="29"/>
      <c r="F2483" s="30"/>
      <c r="G2483" s="31"/>
      <c r="H2483" s="32"/>
      <c r="I2483" s="33"/>
      <c r="Q2483" s="8"/>
      <c r="R2483" s="8"/>
    </row>
    <row r="2484">
      <c r="C2484" s="28"/>
      <c r="D2484" s="28"/>
      <c r="E2484" s="29"/>
      <c r="F2484" s="30"/>
      <c r="G2484" s="31"/>
      <c r="H2484" s="32"/>
      <c r="I2484" s="33"/>
      <c r="Q2484" s="8"/>
      <c r="R2484" s="8"/>
    </row>
    <row r="2485">
      <c r="C2485" s="28"/>
      <c r="D2485" s="28"/>
      <c r="E2485" s="29"/>
      <c r="F2485" s="30"/>
      <c r="G2485" s="31"/>
      <c r="H2485" s="32"/>
      <c r="I2485" s="33"/>
      <c r="Q2485" s="8"/>
      <c r="R2485" s="8"/>
    </row>
    <row r="2486">
      <c r="C2486" s="28"/>
      <c r="D2486" s="28"/>
      <c r="E2486" s="29"/>
      <c r="F2486" s="30"/>
      <c r="G2486" s="31"/>
      <c r="H2486" s="32"/>
      <c r="I2486" s="33"/>
      <c r="Q2486" s="8"/>
      <c r="R2486" s="8"/>
    </row>
    <row r="2487">
      <c r="C2487" s="28"/>
      <c r="D2487" s="28"/>
      <c r="E2487" s="29"/>
      <c r="F2487" s="30"/>
      <c r="G2487" s="31"/>
      <c r="H2487" s="32"/>
      <c r="I2487" s="33"/>
      <c r="Q2487" s="8"/>
      <c r="R2487" s="8"/>
    </row>
    <row r="2488">
      <c r="C2488" s="28"/>
      <c r="D2488" s="28"/>
      <c r="E2488" s="29"/>
      <c r="F2488" s="30"/>
      <c r="G2488" s="31"/>
      <c r="H2488" s="32"/>
      <c r="I2488" s="33"/>
      <c r="Q2488" s="8"/>
      <c r="R2488" s="8"/>
    </row>
    <row r="2489">
      <c r="C2489" s="28"/>
      <c r="D2489" s="28"/>
      <c r="E2489" s="29"/>
      <c r="F2489" s="30"/>
      <c r="G2489" s="31"/>
      <c r="H2489" s="32"/>
      <c r="I2489" s="33"/>
      <c r="Q2489" s="8"/>
      <c r="R2489" s="8"/>
    </row>
    <row r="2490">
      <c r="C2490" s="28"/>
      <c r="D2490" s="28"/>
      <c r="E2490" s="29"/>
      <c r="F2490" s="30"/>
      <c r="G2490" s="31"/>
      <c r="H2490" s="32"/>
      <c r="I2490" s="33"/>
      <c r="Q2490" s="8"/>
      <c r="R2490" s="8"/>
    </row>
    <row r="2491">
      <c r="C2491" s="28"/>
      <c r="D2491" s="28"/>
      <c r="E2491" s="29"/>
      <c r="F2491" s="30"/>
      <c r="G2491" s="31"/>
      <c r="H2491" s="32"/>
      <c r="I2491" s="33"/>
      <c r="Q2491" s="8"/>
      <c r="R2491" s="8"/>
    </row>
    <row r="2492">
      <c r="C2492" s="28"/>
      <c r="D2492" s="28"/>
      <c r="E2492" s="29"/>
      <c r="F2492" s="30"/>
      <c r="G2492" s="31"/>
      <c r="H2492" s="32"/>
      <c r="I2492" s="33"/>
      <c r="Q2492" s="8"/>
      <c r="R2492" s="8"/>
    </row>
    <row r="2493">
      <c r="C2493" s="28"/>
      <c r="D2493" s="28"/>
      <c r="E2493" s="29"/>
      <c r="F2493" s="30"/>
      <c r="G2493" s="31"/>
      <c r="H2493" s="32"/>
      <c r="I2493" s="33"/>
      <c r="Q2493" s="8"/>
      <c r="R2493" s="8"/>
    </row>
    <row r="2494">
      <c r="C2494" s="28"/>
      <c r="D2494" s="28"/>
      <c r="E2494" s="29"/>
      <c r="F2494" s="30"/>
      <c r="G2494" s="31"/>
      <c r="H2494" s="32"/>
      <c r="I2494" s="33"/>
      <c r="Q2494" s="8"/>
      <c r="R2494" s="8"/>
    </row>
    <row r="2495">
      <c r="C2495" s="28"/>
      <c r="D2495" s="28"/>
      <c r="E2495" s="29"/>
      <c r="F2495" s="30"/>
      <c r="G2495" s="31"/>
      <c r="H2495" s="32"/>
      <c r="I2495" s="33"/>
      <c r="Q2495" s="8"/>
      <c r="R2495" s="8"/>
    </row>
    <row r="2496">
      <c r="C2496" s="28"/>
      <c r="D2496" s="28"/>
      <c r="E2496" s="29"/>
      <c r="F2496" s="30"/>
      <c r="G2496" s="31"/>
      <c r="H2496" s="32"/>
      <c r="I2496" s="33"/>
      <c r="Q2496" s="8"/>
      <c r="R2496" s="8"/>
    </row>
    <row r="2497">
      <c r="C2497" s="28"/>
      <c r="D2497" s="28"/>
      <c r="E2497" s="29"/>
      <c r="F2497" s="30"/>
      <c r="G2497" s="31"/>
      <c r="H2497" s="32"/>
      <c r="I2497" s="33"/>
      <c r="Q2497" s="8"/>
      <c r="R2497" s="8"/>
    </row>
    <row r="2498">
      <c r="C2498" s="28"/>
      <c r="D2498" s="28"/>
      <c r="E2498" s="29"/>
      <c r="F2498" s="30"/>
      <c r="G2498" s="31"/>
      <c r="H2498" s="32"/>
      <c r="I2498" s="33"/>
      <c r="Q2498" s="8"/>
      <c r="R2498" s="8"/>
    </row>
    <row r="2499">
      <c r="C2499" s="28"/>
      <c r="D2499" s="28"/>
      <c r="E2499" s="29"/>
      <c r="F2499" s="30"/>
      <c r="G2499" s="31"/>
      <c r="H2499" s="32"/>
      <c r="I2499" s="33"/>
      <c r="Q2499" s="8"/>
      <c r="R2499" s="8"/>
    </row>
    <row r="2500">
      <c r="C2500" s="28"/>
      <c r="D2500" s="28"/>
      <c r="E2500" s="29"/>
      <c r="F2500" s="30"/>
      <c r="G2500" s="31"/>
      <c r="H2500" s="32"/>
      <c r="I2500" s="33"/>
      <c r="Q2500" s="8"/>
      <c r="R2500" s="8"/>
    </row>
    <row r="2501">
      <c r="C2501" s="28"/>
      <c r="D2501" s="28"/>
      <c r="E2501" s="29"/>
      <c r="F2501" s="30"/>
      <c r="G2501" s="31"/>
      <c r="H2501" s="32"/>
      <c r="I2501" s="33"/>
      <c r="Q2501" s="8"/>
      <c r="R2501" s="8"/>
    </row>
    <row r="2502">
      <c r="C2502" s="28"/>
      <c r="D2502" s="28"/>
      <c r="E2502" s="29"/>
      <c r="F2502" s="30"/>
      <c r="G2502" s="31"/>
      <c r="H2502" s="32"/>
      <c r="I2502" s="33"/>
      <c r="Q2502" s="8"/>
      <c r="R2502" s="8"/>
    </row>
    <row r="2503">
      <c r="C2503" s="28"/>
      <c r="D2503" s="28"/>
      <c r="E2503" s="29"/>
      <c r="F2503" s="30"/>
      <c r="G2503" s="31"/>
      <c r="H2503" s="32"/>
      <c r="I2503" s="33"/>
      <c r="Q2503" s="8"/>
      <c r="R2503" s="8"/>
    </row>
    <row r="2504">
      <c r="C2504" s="28"/>
      <c r="D2504" s="28"/>
      <c r="E2504" s="29"/>
      <c r="F2504" s="30"/>
      <c r="G2504" s="31"/>
      <c r="H2504" s="32"/>
      <c r="I2504" s="33"/>
      <c r="Q2504" s="8"/>
      <c r="R2504" s="8"/>
    </row>
    <row r="2505">
      <c r="C2505" s="28"/>
      <c r="D2505" s="28"/>
      <c r="E2505" s="29"/>
      <c r="F2505" s="30"/>
      <c r="G2505" s="31"/>
      <c r="H2505" s="32"/>
      <c r="I2505" s="33"/>
      <c r="Q2505" s="8"/>
      <c r="R2505" s="8"/>
    </row>
    <row r="2506">
      <c r="C2506" s="28"/>
      <c r="D2506" s="28"/>
      <c r="E2506" s="29"/>
      <c r="F2506" s="30"/>
      <c r="G2506" s="31"/>
      <c r="H2506" s="32"/>
      <c r="I2506" s="33"/>
      <c r="Q2506" s="8"/>
      <c r="R2506" s="8"/>
    </row>
    <row r="2507">
      <c r="C2507" s="28"/>
      <c r="D2507" s="28"/>
      <c r="E2507" s="29"/>
      <c r="F2507" s="30"/>
      <c r="G2507" s="31"/>
      <c r="H2507" s="32"/>
      <c r="I2507" s="33"/>
      <c r="Q2507" s="8"/>
      <c r="R2507" s="8"/>
    </row>
    <row r="2508">
      <c r="C2508" s="28"/>
      <c r="D2508" s="28"/>
      <c r="E2508" s="29"/>
      <c r="F2508" s="30"/>
      <c r="G2508" s="31"/>
      <c r="H2508" s="32"/>
      <c r="I2508" s="33"/>
      <c r="Q2508" s="8"/>
      <c r="R2508" s="8"/>
    </row>
    <row r="2509">
      <c r="C2509" s="28"/>
      <c r="D2509" s="28"/>
      <c r="E2509" s="29"/>
      <c r="F2509" s="30"/>
      <c r="G2509" s="31"/>
      <c r="H2509" s="32"/>
      <c r="I2509" s="33"/>
      <c r="Q2509" s="8"/>
      <c r="R2509" s="8"/>
    </row>
    <row r="2510">
      <c r="C2510" s="28"/>
      <c r="D2510" s="28"/>
      <c r="E2510" s="29"/>
      <c r="F2510" s="30"/>
      <c r="G2510" s="31"/>
      <c r="H2510" s="32"/>
      <c r="I2510" s="33"/>
      <c r="Q2510" s="8"/>
      <c r="R2510" s="8"/>
    </row>
    <row r="2511">
      <c r="C2511" s="28"/>
      <c r="D2511" s="28"/>
      <c r="E2511" s="29"/>
      <c r="F2511" s="30"/>
      <c r="G2511" s="31"/>
      <c r="H2511" s="32"/>
      <c r="I2511" s="33"/>
      <c r="Q2511" s="8"/>
      <c r="R2511" s="8"/>
    </row>
    <row r="2512">
      <c r="C2512" s="28"/>
      <c r="D2512" s="28"/>
      <c r="E2512" s="29"/>
      <c r="F2512" s="30"/>
      <c r="G2512" s="31"/>
      <c r="H2512" s="32"/>
      <c r="I2512" s="33"/>
      <c r="Q2512" s="8"/>
      <c r="R2512" s="8"/>
    </row>
    <row r="2513">
      <c r="C2513" s="28"/>
      <c r="D2513" s="28"/>
      <c r="E2513" s="29"/>
      <c r="F2513" s="30"/>
      <c r="G2513" s="31"/>
      <c r="H2513" s="32"/>
      <c r="I2513" s="33"/>
      <c r="Q2513" s="8"/>
      <c r="R2513" s="8"/>
    </row>
    <row r="2514">
      <c r="C2514" s="28"/>
      <c r="D2514" s="28"/>
      <c r="E2514" s="29"/>
      <c r="F2514" s="30"/>
      <c r="G2514" s="31"/>
      <c r="H2514" s="32"/>
      <c r="I2514" s="33"/>
      <c r="Q2514" s="8"/>
      <c r="R2514" s="8"/>
    </row>
    <row r="2515">
      <c r="C2515" s="28"/>
      <c r="D2515" s="28"/>
      <c r="E2515" s="29"/>
      <c r="F2515" s="30"/>
      <c r="G2515" s="31"/>
      <c r="H2515" s="32"/>
      <c r="I2515" s="33"/>
      <c r="Q2515" s="8"/>
      <c r="R2515" s="8"/>
    </row>
    <row r="2516">
      <c r="C2516" s="28"/>
      <c r="D2516" s="28"/>
      <c r="E2516" s="29"/>
      <c r="F2516" s="30"/>
      <c r="G2516" s="31"/>
      <c r="H2516" s="32"/>
      <c r="I2516" s="33"/>
      <c r="Q2516" s="8"/>
      <c r="R2516" s="8"/>
    </row>
    <row r="2517">
      <c r="C2517" s="28"/>
      <c r="D2517" s="28"/>
      <c r="E2517" s="29"/>
      <c r="F2517" s="30"/>
      <c r="G2517" s="31"/>
      <c r="H2517" s="32"/>
      <c r="I2517" s="33"/>
      <c r="Q2517" s="8"/>
      <c r="R2517" s="8"/>
    </row>
    <row r="2518">
      <c r="C2518" s="28"/>
      <c r="D2518" s="28"/>
      <c r="E2518" s="29"/>
      <c r="F2518" s="30"/>
      <c r="G2518" s="31"/>
      <c r="H2518" s="32"/>
      <c r="I2518" s="33"/>
      <c r="Q2518" s="8"/>
      <c r="R2518" s="8"/>
    </row>
    <row r="2519">
      <c r="C2519" s="28"/>
      <c r="D2519" s="28"/>
      <c r="E2519" s="29"/>
      <c r="F2519" s="30"/>
      <c r="G2519" s="31"/>
      <c r="H2519" s="32"/>
      <c r="I2519" s="33"/>
      <c r="Q2519" s="8"/>
      <c r="R2519" s="8"/>
    </row>
    <row r="2520">
      <c r="C2520" s="28"/>
      <c r="D2520" s="28"/>
      <c r="E2520" s="29"/>
      <c r="F2520" s="30"/>
      <c r="G2520" s="31"/>
      <c r="H2520" s="32"/>
      <c r="I2520" s="33"/>
      <c r="Q2520" s="8"/>
      <c r="R2520" s="8"/>
    </row>
    <row r="2521">
      <c r="C2521" s="28"/>
      <c r="D2521" s="28"/>
      <c r="E2521" s="29"/>
      <c r="F2521" s="30"/>
      <c r="G2521" s="31"/>
      <c r="H2521" s="32"/>
      <c r="I2521" s="33"/>
      <c r="Q2521" s="8"/>
      <c r="R2521" s="8"/>
    </row>
    <row r="2522">
      <c r="C2522" s="28"/>
      <c r="D2522" s="28"/>
      <c r="E2522" s="29"/>
      <c r="F2522" s="30"/>
      <c r="G2522" s="31"/>
      <c r="H2522" s="32"/>
      <c r="I2522" s="33"/>
      <c r="Q2522" s="8"/>
      <c r="R2522" s="8"/>
    </row>
    <row r="2523">
      <c r="C2523" s="28"/>
      <c r="D2523" s="28"/>
      <c r="E2523" s="29"/>
      <c r="F2523" s="30"/>
      <c r="G2523" s="31"/>
      <c r="H2523" s="32"/>
      <c r="I2523" s="33"/>
      <c r="Q2523" s="8"/>
      <c r="R2523" s="8"/>
    </row>
    <row r="2524">
      <c r="C2524" s="28"/>
      <c r="D2524" s="28"/>
      <c r="E2524" s="29"/>
      <c r="F2524" s="30"/>
      <c r="G2524" s="31"/>
      <c r="H2524" s="32"/>
      <c r="I2524" s="33"/>
      <c r="Q2524" s="8"/>
      <c r="R2524" s="8"/>
    </row>
    <row r="2525">
      <c r="C2525" s="28"/>
      <c r="D2525" s="28"/>
      <c r="E2525" s="29"/>
      <c r="F2525" s="30"/>
      <c r="G2525" s="31"/>
      <c r="H2525" s="32"/>
      <c r="I2525" s="33"/>
      <c r="Q2525" s="8"/>
      <c r="R2525" s="8"/>
    </row>
    <row r="2526">
      <c r="C2526" s="28"/>
      <c r="D2526" s="28"/>
      <c r="E2526" s="29"/>
      <c r="F2526" s="30"/>
      <c r="G2526" s="31"/>
      <c r="H2526" s="32"/>
      <c r="I2526" s="33"/>
      <c r="Q2526" s="8"/>
      <c r="R2526" s="8"/>
    </row>
    <row r="2527">
      <c r="C2527" s="28"/>
      <c r="D2527" s="28"/>
      <c r="E2527" s="29"/>
      <c r="F2527" s="30"/>
      <c r="G2527" s="31"/>
      <c r="H2527" s="32"/>
      <c r="I2527" s="33"/>
      <c r="Q2527" s="8"/>
      <c r="R2527" s="8"/>
    </row>
    <row r="2528">
      <c r="C2528" s="28"/>
      <c r="D2528" s="28"/>
      <c r="E2528" s="29"/>
      <c r="F2528" s="30"/>
      <c r="G2528" s="31"/>
      <c r="H2528" s="32"/>
      <c r="I2528" s="33"/>
      <c r="Q2528" s="8"/>
      <c r="R2528" s="8"/>
    </row>
    <row r="2529">
      <c r="C2529" s="28"/>
      <c r="D2529" s="28"/>
      <c r="E2529" s="29"/>
      <c r="F2529" s="30"/>
      <c r="G2529" s="31"/>
      <c r="H2529" s="32"/>
      <c r="I2529" s="33"/>
      <c r="Q2529" s="8"/>
      <c r="R2529" s="8"/>
    </row>
    <row r="2530">
      <c r="C2530" s="28"/>
      <c r="D2530" s="28"/>
      <c r="E2530" s="29"/>
      <c r="F2530" s="30"/>
      <c r="G2530" s="31"/>
      <c r="H2530" s="32"/>
      <c r="I2530" s="33"/>
      <c r="Q2530" s="8"/>
      <c r="R2530" s="8"/>
    </row>
    <row r="2531">
      <c r="C2531" s="28"/>
      <c r="D2531" s="28"/>
      <c r="E2531" s="29"/>
      <c r="F2531" s="30"/>
      <c r="G2531" s="31"/>
      <c r="H2531" s="32"/>
      <c r="I2531" s="33"/>
      <c r="Q2531" s="8"/>
      <c r="R2531" s="8"/>
    </row>
    <row r="2532">
      <c r="C2532" s="28"/>
      <c r="D2532" s="28"/>
      <c r="E2532" s="29"/>
      <c r="F2532" s="30"/>
      <c r="G2532" s="31"/>
      <c r="H2532" s="32"/>
      <c r="I2532" s="33"/>
      <c r="Q2532" s="8"/>
      <c r="R2532" s="8"/>
    </row>
    <row r="2533">
      <c r="C2533" s="28"/>
      <c r="D2533" s="28"/>
      <c r="E2533" s="29"/>
      <c r="F2533" s="30"/>
      <c r="G2533" s="31"/>
      <c r="H2533" s="32"/>
      <c r="I2533" s="33"/>
      <c r="Q2533" s="8"/>
      <c r="R2533" s="8"/>
    </row>
    <row r="2534">
      <c r="C2534" s="28"/>
      <c r="D2534" s="28"/>
      <c r="E2534" s="29"/>
      <c r="F2534" s="30"/>
      <c r="G2534" s="31"/>
      <c r="H2534" s="32"/>
      <c r="I2534" s="33"/>
      <c r="Q2534" s="8"/>
      <c r="R2534" s="8"/>
    </row>
    <row r="2535">
      <c r="C2535" s="28"/>
      <c r="D2535" s="28"/>
      <c r="E2535" s="29"/>
      <c r="F2535" s="30"/>
      <c r="G2535" s="31"/>
      <c r="H2535" s="32"/>
      <c r="I2535" s="33"/>
      <c r="Q2535" s="8"/>
      <c r="R2535" s="8"/>
    </row>
    <row r="2536">
      <c r="C2536" s="28"/>
      <c r="D2536" s="28"/>
      <c r="E2536" s="29"/>
      <c r="F2536" s="30"/>
      <c r="G2536" s="31"/>
      <c r="H2536" s="32"/>
      <c r="I2536" s="33"/>
      <c r="Q2536" s="8"/>
      <c r="R2536" s="8"/>
    </row>
    <row r="2537">
      <c r="C2537" s="28"/>
      <c r="D2537" s="28"/>
      <c r="E2537" s="29"/>
      <c r="F2537" s="30"/>
      <c r="G2537" s="31"/>
      <c r="H2537" s="32"/>
      <c r="I2537" s="33"/>
      <c r="Q2537" s="8"/>
      <c r="R2537" s="8"/>
    </row>
    <row r="2538">
      <c r="C2538" s="28"/>
      <c r="D2538" s="28"/>
      <c r="E2538" s="29"/>
      <c r="F2538" s="30"/>
      <c r="G2538" s="31"/>
      <c r="H2538" s="32"/>
      <c r="I2538" s="33"/>
      <c r="Q2538" s="8"/>
      <c r="R2538" s="8"/>
    </row>
    <row r="2539">
      <c r="C2539" s="28"/>
      <c r="D2539" s="28"/>
      <c r="E2539" s="29"/>
      <c r="F2539" s="30"/>
      <c r="G2539" s="31"/>
      <c r="H2539" s="32"/>
      <c r="I2539" s="33"/>
      <c r="Q2539" s="8"/>
      <c r="R2539" s="8"/>
    </row>
    <row r="2540">
      <c r="C2540" s="28"/>
      <c r="D2540" s="28"/>
      <c r="E2540" s="29"/>
      <c r="F2540" s="30"/>
      <c r="G2540" s="31"/>
      <c r="H2540" s="32"/>
      <c r="I2540" s="33"/>
      <c r="Q2540" s="8"/>
      <c r="R2540" s="8"/>
    </row>
    <row r="2541">
      <c r="C2541" s="28"/>
      <c r="D2541" s="28"/>
      <c r="E2541" s="29"/>
      <c r="F2541" s="30"/>
      <c r="G2541" s="31"/>
      <c r="H2541" s="32"/>
      <c r="I2541" s="33"/>
      <c r="Q2541" s="8"/>
      <c r="R2541" s="8"/>
    </row>
    <row r="2542">
      <c r="C2542" s="28"/>
      <c r="D2542" s="28"/>
      <c r="E2542" s="29"/>
      <c r="F2542" s="30"/>
      <c r="G2542" s="31"/>
      <c r="H2542" s="32"/>
      <c r="I2542" s="33"/>
      <c r="Q2542" s="8"/>
      <c r="R2542" s="8"/>
    </row>
    <row r="2543">
      <c r="C2543" s="28"/>
      <c r="D2543" s="28"/>
      <c r="E2543" s="29"/>
      <c r="F2543" s="30"/>
      <c r="G2543" s="31"/>
      <c r="H2543" s="32"/>
      <c r="I2543" s="33"/>
      <c r="Q2543" s="8"/>
      <c r="R2543" s="8"/>
    </row>
    <row r="2544">
      <c r="C2544" s="28"/>
      <c r="D2544" s="28"/>
      <c r="E2544" s="29"/>
      <c r="F2544" s="30"/>
      <c r="G2544" s="31"/>
      <c r="H2544" s="32"/>
      <c r="I2544" s="33"/>
      <c r="Q2544" s="8"/>
      <c r="R2544" s="8"/>
    </row>
    <row r="2545">
      <c r="C2545" s="28"/>
      <c r="D2545" s="28"/>
      <c r="E2545" s="29"/>
      <c r="F2545" s="30"/>
      <c r="G2545" s="31"/>
      <c r="H2545" s="32"/>
      <c r="I2545" s="33"/>
      <c r="Q2545" s="8"/>
      <c r="R2545" s="8"/>
    </row>
    <row r="2546">
      <c r="C2546" s="28"/>
      <c r="D2546" s="28"/>
      <c r="E2546" s="29"/>
      <c r="F2546" s="30"/>
      <c r="G2546" s="31"/>
      <c r="H2546" s="32"/>
      <c r="I2546" s="33"/>
      <c r="Q2546" s="8"/>
      <c r="R2546" s="8"/>
    </row>
    <row r="2547">
      <c r="C2547" s="28"/>
      <c r="D2547" s="28"/>
      <c r="E2547" s="29"/>
      <c r="F2547" s="30"/>
      <c r="G2547" s="31"/>
      <c r="H2547" s="32"/>
      <c r="I2547" s="33"/>
      <c r="Q2547" s="8"/>
      <c r="R2547" s="8"/>
    </row>
    <row r="2548">
      <c r="C2548" s="28"/>
      <c r="D2548" s="28"/>
      <c r="E2548" s="29"/>
      <c r="F2548" s="30"/>
      <c r="G2548" s="31"/>
      <c r="H2548" s="32"/>
      <c r="I2548" s="33"/>
      <c r="Q2548" s="8"/>
      <c r="R2548" s="8"/>
    </row>
    <row r="2549">
      <c r="C2549" s="28"/>
      <c r="D2549" s="28"/>
      <c r="E2549" s="29"/>
      <c r="F2549" s="30"/>
      <c r="G2549" s="31"/>
      <c r="H2549" s="32"/>
      <c r="I2549" s="33"/>
      <c r="Q2549" s="8"/>
      <c r="R2549" s="8"/>
    </row>
    <row r="2550">
      <c r="C2550" s="28"/>
      <c r="D2550" s="28"/>
      <c r="E2550" s="29"/>
      <c r="F2550" s="30"/>
      <c r="G2550" s="31"/>
      <c r="H2550" s="32"/>
      <c r="I2550" s="33"/>
      <c r="Q2550" s="8"/>
      <c r="R2550" s="8"/>
    </row>
    <row r="2551">
      <c r="C2551" s="28"/>
      <c r="D2551" s="28"/>
      <c r="E2551" s="29"/>
      <c r="F2551" s="30"/>
      <c r="G2551" s="31"/>
      <c r="H2551" s="32"/>
      <c r="I2551" s="33"/>
      <c r="Q2551" s="8"/>
      <c r="R2551" s="8"/>
    </row>
    <row r="2552">
      <c r="C2552" s="28"/>
      <c r="D2552" s="28"/>
      <c r="E2552" s="29"/>
      <c r="F2552" s="30"/>
      <c r="G2552" s="31"/>
      <c r="H2552" s="32"/>
      <c r="I2552" s="33"/>
      <c r="Q2552" s="8"/>
      <c r="R2552" s="8"/>
    </row>
    <row r="2553">
      <c r="C2553" s="28"/>
      <c r="D2553" s="28"/>
      <c r="E2553" s="29"/>
      <c r="F2553" s="30"/>
      <c r="G2553" s="31"/>
      <c r="H2553" s="32"/>
      <c r="I2553" s="33"/>
      <c r="Q2553" s="8"/>
      <c r="R2553" s="8"/>
    </row>
    <row r="2554">
      <c r="C2554" s="28"/>
      <c r="D2554" s="28"/>
      <c r="E2554" s="29"/>
      <c r="F2554" s="30"/>
      <c r="G2554" s="31"/>
      <c r="H2554" s="32"/>
      <c r="I2554" s="33"/>
      <c r="Q2554" s="8"/>
      <c r="R2554" s="8"/>
    </row>
    <row r="2555">
      <c r="C2555" s="28"/>
      <c r="D2555" s="28"/>
      <c r="E2555" s="29"/>
      <c r="F2555" s="30"/>
      <c r="G2555" s="31"/>
      <c r="H2555" s="32"/>
      <c r="I2555" s="33"/>
      <c r="Q2555" s="8"/>
      <c r="R2555" s="8"/>
    </row>
    <row r="2556">
      <c r="C2556" s="28"/>
      <c r="D2556" s="28"/>
      <c r="E2556" s="29"/>
      <c r="F2556" s="30"/>
      <c r="G2556" s="31"/>
      <c r="H2556" s="32"/>
      <c r="I2556" s="33"/>
      <c r="Q2556" s="8"/>
      <c r="R2556" s="8"/>
    </row>
    <row r="2557">
      <c r="C2557" s="28"/>
      <c r="D2557" s="28"/>
      <c r="E2557" s="29"/>
      <c r="F2557" s="30"/>
      <c r="G2557" s="31"/>
      <c r="H2557" s="32"/>
      <c r="I2557" s="33"/>
      <c r="Q2557" s="8"/>
      <c r="R2557" s="8"/>
    </row>
    <row r="2558">
      <c r="C2558" s="28"/>
      <c r="D2558" s="28"/>
      <c r="E2558" s="29"/>
      <c r="F2558" s="30"/>
      <c r="G2558" s="31"/>
      <c r="H2558" s="32"/>
      <c r="I2558" s="33"/>
      <c r="Q2558" s="8"/>
      <c r="R2558" s="8"/>
    </row>
    <row r="2559">
      <c r="C2559" s="28"/>
      <c r="D2559" s="28"/>
      <c r="E2559" s="29"/>
      <c r="F2559" s="30"/>
      <c r="G2559" s="31"/>
      <c r="H2559" s="32"/>
      <c r="I2559" s="33"/>
      <c r="Q2559" s="8"/>
      <c r="R2559" s="8"/>
    </row>
    <row r="2560">
      <c r="C2560" s="28"/>
      <c r="D2560" s="28"/>
      <c r="E2560" s="29"/>
      <c r="F2560" s="30"/>
      <c r="G2560" s="31"/>
      <c r="H2560" s="32"/>
      <c r="I2560" s="33"/>
      <c r="Q2560" s="8"/>
      <c r="R2560" s="8"/>
    </row>
    <row r="2561">
      <c r="C2561" s="28"/>
      <c r="D2561" s="28"/>
      <c r="E2561" s="29"/>
      <c r="F2561" s="30"/>
      <c r="G2561" s="31"/>
      <c r="H2561" s="32"/>
      <c r="I2561" s="33"/>
      <c r="Q2561" s="8"/>
      <c r="R2561" s="8"/>
    </row>
    <row r="2562">
      <c r="C2562" s="28"/>
      <c r="D2562" s="28"/>
      <c r="E2562" s="29"/>
      <c r="F2562" s="30"/>
      <c r="G2562" s="31"/>
      <c r="H2562" s="32"/>
      <c r="I2562" s="33"/>
      <c r="Q2562" s="8"/>
      <c r="R2562" s="8"/>
    </row>
    <row r="2563">
      <c r="C2563" s="28"/>
      <c r="D2563" s="28"/>
      <c r="E2563" s="29"/>
      <c r="F2563" s="30"/>
      <c r="G2563" s="31"/>
      <c r="H2563" s="32"/>
      <c r="I2563" s="33"/>
      <c r="Q2563" s="8"/>
      <c r="R2563" s="8"/>
    </row>
    <row r="2564">
      <c r="C2564" s="28"/>
      <c r="D2564" s="28"/>
      <c r="E2564" s="29"/>
      <c r="F2564" s="30"/>
      <c r="G2564" s="31"/>
      <c r="H2564" s="32"/>
      <c r="I2564" s="33"/>
      <c r="Q2564" s="8"/>
      <c r="R2564" s="8"/>
    </row>
    <row r="2565">
      <c r="C2565" s="28"/>
      <c r="D2565" s="28"/>
      <c r="E2565" s="29"/>
      <c r="F2565" s="30"/>
      <c r="G2565" s="31"/>
      <c r="H2565" s="32"/>
      <c r="I2565" s="33"/>
      <c r="Q2565" s="8"/>
      <c r="R2565" s="8"/>
    </row>
    <row r="2566">
      <c r="C2566" s="28"/>
      <c r="D2566" s="28"/>
      <c r="E2566" s="29"/>
      <c r="F2566" s="30"/>
      <c r="G2566" s="31"/>
      <c r="H2566" s="32"/>
      <c r="I2566" s="33"/>
      <c r="Q2566" s="8"/>
      <c r="R2566" s="8"/>
    </row>
    <row r="2567">
      <c r="C2567" s="28"/>
      <c r="D2567" s="28"/>
      <c r="E2567" s="29"/>
      <c r="F2567" s="30"/>
      <c r="G2567" s="31"/>
      <c r="H2567" s="32"/>
      <c r="I2567" s="33"/>
      <c r="Q2567" s="8"/>
      <c r="R2567" s="8"/>
    </row>
    <row r="2568">
      <c r="C2568" s="28"/>
      <c r="D2568" s="28"/>
      <c r="E2568" s="29"/>
      <c r="F2568" s="30"/>
      <c r="G2568" s="31"/>
      <c r="H2568" s="32"/>
      <c r="I2568" s="33"/>
      <c r="Q2568" s="8"/>
      <c r="R2568" s="8"/>
    </row>
    <row r="2569">
      <c r="C2569" s="28"/>
      <c r="D2569" s="28"/>
      <c r="E2569" s="29"/>
      <c r="F2569" s="30"/>
      <c r="G2569" s="31"/>
      <c r="H2569" s="32"/>
      <c r="I2569" s="33"/>
      <c r="Q2569" s="8"/>
      <c r="R2569" s="8"/>
    </row>
    <row r="2570">
      <c r="C2570" s="28"/>
      <c r="D2570" s="28"/>
      <c r="E2570" s="29"/>
      <c r="F2570" s="30"/>
      <c r="G2570" s="31"/>
      <c r="H2570" s="32"/>
      <c r="I2570" s="33"/>
      <c r="Q2570" s="8"/>
      <c r="R2570" s="8"/>
    </row>
    <row r="2571">
      <c r="C2571" s="28"/>
      <c r="D2571" s="28"/>
      <c r="E2571" s="29"/>
      <c r="F2571" s="30"/>
      <c r="G2571" s="31"/>
      <c r="H2571" s="32"/>
      <c r="I2571" s="33"/>
      <c r="Q2571" s="8"/>
      <c r="R2571" s="8"/>
    </row>
    <row r="2572">
      <c r="C2572" s="28"/>
      <c r="D2572" s="28"/>
      <c r="E2572" s="29"/>
      <c r="F2572" s="30"/>
      <c r="G2572" s="31"/>
      <c r="H2572" s="32"/>
      <c r="I2572" s="33"/>
      <c r="Q2572" s="8"/>
      <c r="R2572" s="8"/>
    </row>
    <row r="2573">
      <c r="C2573" s="28"/>
      <c r="D2573" s="28"/>
      <c r="E2573" s="29"/>
      <c r="F2573" s="30"/>
      <c r="G2573" s="31"/>
      <c r="H2573" s="32"/>
      <c r="I2573" s="33"/>
      <c r="Q2573" s="8"/>
      <c r="R2573" s="8"/>
    </row>
    <row r="2574">
      <c r="C2574" s="28"/>
      <c r="D2574" s="28"/>
      <c r="E2574" s="29"/>
      <c r="F2574" s="30"/>
      <c r="G2574" s="31"/>
      <c r="H2574" s="32"/>
      <c r="I2574" s="33"/>
      <c r="Q2574" s="8"/>
      <c r="R2574" s="8"/>
    </row>
    <row r="2575">
      <c r="C2575" s="28"/>
      <c r="D2575" s="28"/>
      <c r="E2575" s="29"/>
      <c r="F2575" s="30"/>
      <c r="G2575" s="31"/>
      <c r="H2575" s="32"/>
      <c r="I2575" s="33"/>
      <c r="Q2575" s="8"/>
      <c r="R2575" s="8"/>
    </row>
    <row r="2576">
      <c r="C2576" s="28"/>
      <c r="D2576" s="28"/>
      <c r="E2576" s="29"/>
      <c r="F2576" s="30"/>
      <c r="G2576" s="31"/>
      <c r="H2576" s="32"/>
      <c r="I2576" s="33"/>
      <c r="Q2576" s="8"/>
      <c r="R2576" s="8"/>
    </row>
    <row r="2577">
      <c r="C2577" s="28"/>
      <c r="D2577" s="28"/>
      <c r="E2577" s="29"/>
      <c r="F2577" s="30"/>
      <c r="G2577" s="31"/>
      <c r="H2577" s="32"/>
      <c r="I2577" s="33"/>
      <c r="Q2577" s="8"/>
      <c r="R2577" s="8"/>
    </row>
    <row r="2578">
      <c r="C2578" s="28"/>
      <c r="D2578" s="28"/>
      <c r="E2578" s="29"/>
      <c r="F2578" s="30"/>
      <c r="G2578" s="31"/>
      <c r="H2578" s="32"/>
      <c r="I2578" s="33"/>
      <c r="Q2578" s="8"/>
      <c r="R2578" s="8"/>
    </row>
    <row r="2579">
      <c r="C2579" s="28"/>
      <c r="D2579" s="28"/>
      <c r="E2579" s="29"/>
      <c r="F2579" s="30"/>
      <c r="G2579" s="31"/>
      <c r="H2579" s="32"/>
      <c r="I2579" s="33"/>
      <c r="Q2579" s="8"/>
      <c r="R2579" s="8"/>
    </row>
    <row r="2580">
      <c r="C2580" s="28"/>
      <c r="D2580" s="28"/>
      <c r="E2580" s="29"/>
      <c r="F2580" s="30"/>
      <c r="G2580" s="31"/>
      <c r="H2580" s="32"/>
      <c r="I2580" s="33"/>
      <c r="Q2580" s="8"/>
      <c r="R2580" s="8"/>
    </row>
    <row r="2581">
      <c r="C2581" s="28"/>
      <c r="D2581" s="28"/>
      <c r="E2581" s="29"/>
      <c r="F2581" s="30"/>
      <c r="G2581" s="31"/>
      <c r="H2581" s="32"/>
      <c r="I2581" s="33"/>
      <c r="Q2581" s="8"/>
      <c r="R2581" s="8"/>
    </row>
    <row r="2582">
      <c r="C2582" s="28"/>
      <c r="D2582" s="28"/>
      <c r="E2582" s="29"/>
      <c r="F2582" s="30"/>
      <c r="G2582" s="31"/>
      <c r="H2582" s="32"/>
      <c r="I2582" s="33"/>
      <c r="Q2582" s="8"/>
      <c r="R2582" s="8"/>
    </row>
    <row r="2583">
      <c r="C2583" s="28"/>
      <c r="D2583" s="28"/>
      <c r="E2583" s="29"/>
      <c r="F2583" s="30"/>
      <c r="G2583" s="31"/>
      <c r="H2583" s="32"/>
      <c r="I2583" s="33"/>
      <c r="Q2583" s="8"/>
      <c r="R2583" s="8"/>
    </row>
    <row r="2584">
      <c r="C2584" s="28"/>
      <c r="D2584" s="28"/>
      <c r="E2584" s="29"/>
      <c r="F2584" s="30"/>
      <c r="G2584" s="31"/>
      <c r="H2584" s="32"/>
      <c r="I2584" s="33"/>
      <c r="Q2584" s="8"/>
      <c r="R2584" s="8"/>
    </row>
    <row r="2585">
      <c r="C2585" s="28"/>
      <c r="D2585" s="28"/>
      <c r="E2585" s="29"/>
      <c r="F2585" s="30"/>
      <c r="G2585" s="31"/>
      <c r="H2585" s="32"/>
      <c r="I2585" s="33"/>
      <c r="Q2585" s="8"/>
      <c r="R2585" s="8"/>
    </row>
    <row r="2586">
      <c r="C2586" s="28"/>
      <c r="D2586" s="28"/>
      <c r="E2586" s="29"/>
      <c r="F2586" s="30"/>
      <c r="G2586" s="31"/>
      <c r="H2586" s="32"/>
      <c r="I2586" s="33"/>
      <c r="Q2586" s="8"/>
      <c r="R2586" s="8"/>
    </row>
    <row r="2587">
      <c r="C2587" s="28"/>
      <c r="D2587" s="28"/>
      <c r="E2587" s="29"/>
      <c r="F2587" s="30"/>
      <c r="G2587" s="31"/>
      <c r="H2587" s="32"/>
      <c r="I2587" s="33"/>
      <c r="Q2587" s="8"/>
      <c r="R2587" s="8"/>
    </row>
    <row r="2588">
      <c r="C2588" s="28"/>
      <c r="D2588" s="28"/>
      <c r="E2588" s="29"/>
      <c r="F2588" s="30"/>
      <c r="G2588" s="31"/>
      <c r="H2588" s="32"/>
      <c r="I2588" s="33"/>
      <c r="Q2588" s="8"/>
      <c r="R2588" s="8"/>
    </row>
    <row r="2589">
      <c r="C2589" s="28"/>
      <c r="D2589" s="28"/>
      <c r="E2589" s="29"/>
      <c r="F2589" s="30"/>
      <c r="G2589" s="31"/>
      <c r="H2589" s="32"/>
      <c r="I2589" s="33"/>
      <c r="Q2589" s="8"/>
      <c r="R2589" s="8"/>
    </row>
    <row r="2590">
      <c r="C2590" s="28"/>
      <c r="D2590" s="28"/>
      <c r="E2590" s="29"/>
      <c r="F2590" s="30"/>
      <c r="G2590" s="31"/>
      <c r="H2590" s="32"/>
      <c r="I2590" s="33"/>
      <c r="Q2590" s="8"/>
      <c r="R2590" s="8"/>
    </row>
    <row r="2591">
      <c r="C2591" s="28"/>
      <c r="D2591" s="28"/>
      <c r="E2591" s="29"/>
      <c r="F2591" s="30"/>
      <c r="G2591" s="31"/>
      <c r="H2591" s="32"/>
      <c r="I2591" s="33"/>
      <c r="Q2591" s="8"/>
      <c r="R2591" s="8"/>
    </row>
    <row r="2592">
      <c r="C2592" s="28"/>
      <c r="D2592" s="28"/>
      <c r="E2592" s="29"/>
      <c r="F2592" s="30"/>
      <c r="G2592" s="31"/>
      <c r="H2592" s="32"/>
      <c r="I2592" s="33"/>
      <c r="Q2592" s="8"/>
      <c r="R2592" s="8"/>
    </row>
    <row r="2593">
      <c r="C2593" s="28"/>
      <c r="D2593" s="28"/>
      <c r="E2593" s="29"/>
      <c r="F2593" s="30"/>
      <c r="G2593" s="31"/>
      <c r="H2593" s="32"/>
      <c r="I2593" s="33"/>
      <c r="Q2593" s="8"/>
      <c r="R2593" s="8"/>
    </row>
    <row r="2594">
      <c r="C2594" s="28"/>
      <c r="D2594" s="28"/>
      <c r="E2594" s="29"/>
      <c r="F2594" s="30"/>
      <c r="G2594" s="31"/>
      <c r="H2594" s="32"/>
      <c r="I2594" s="33"/>
      <c r="Q2594" s="8"/>
      <c r="R2594" s="8"/>
    </row>
    <row r="2595">
      <c r="C2595" s="28"/>
      <c r="D2595" s="28"/>
      <c r="E2595" s="29"/>
      <c r="F2595" s="30"/>
      <c r="G2595" s="31"/>
      <c r="H2595" s="32"/>
      <c r="I2595" s="33"/>
      <c r="Q2595" s="8"/>
      <c r="R2595" s="8"/>
    </row>
    <row r="2596">
      <c r="C2596" s="28"/>
      <c r="D2596" s="28"/>
      <c r="E2596" s="29"/>
      <c r="F2596" s="30"/>
      <c r="G2596" s="31"/>
      <c r="H2596" s="32"/>
      <c r="I2596" s="33"/>
      <c r="Q2596" s="8"/>
      <c r="R2596" s="8"/>
    </row>
    <row r="2597">
      <c r="C2597" s="28"/>
      <c r="D2597" s="28"/>
      <c r="E2597" s="29"/>
      <c r="F2597" s="30"/>
      <c r="G2597" s="31"/>
      <c r="H2597" s="32"/>
      <c r="I2597" s="33"/>
      <c r="Q2597" s="8"/>
      <c r="R2597" s="8"/>
    </row>
    <row r="2598">
      <c r="C2598" s="28"/>
      <c r="D2598" s="28"/>
      <c r="E2598" s="29"/>
      <c r="F2598" s="30"/>
      <c r="G2598" s="31"/>
      <c r="H2598" s="32"/>
      <c r="I2598" s="33"/>
      <c r="Q2598" s="8"/>
      <c r="R2598" s="8"/>
    </row>
    <row r="2599">
      <c r="C2599" s="28"/>
      <c r="D2599" s="28"/>
      <c r="E2599" s="29"/>
      <c r="F2599" s="30"/>
      <c r="G2599" s="31"/>
      <c r="H2599" s="32"/>
      <c r="I2599" s="33"/>
      <c r="Q2599" s="8"/>
      <c r="R2599" s="8"/>
    </row>
    <row r="2600">
      <c r="C2600" s="28"/>
      <c r="D2600" s="28"/>
      <c r="E2600" s="29"/>
      <c r="F2600" s="30"/>
      <c r="G2600" s="31"/>
      <c r="H2600" s="32"/>
      <c r="I2600" s="33"/>
      <c r="Q2600" s="8"/>
      <c r="R2600" s="8"/>
    </row>
    <row r="2601">
      <c r="C2601" s="28"/>
      <c r="D2601" s="28"/>
      <c r="E2601" s="29"/>
      <c r="F2601" s="30"/>
      <c r="G2601" s="31"/>
      <c r="H2601" s="32"/>
      <c r="I2601" s="33"/>
      <c r="Q2601" s="8"/>
      <c r="R2601" s="8"/>
    </row>
    <row r="2602">
      <c r="C2602" s="28"/>
      <c r="D2602" s="28"/>
      <c r="E2602" s="29"/>
      <c r="F2602" s="30"/>
      <c r="G2602" s="31"/>
      <c r="H2602" s="32"/>
      <c r="I2602" s="33"/>
      <c r="Q2602" s="8"/>
      <c r="R2602" s="8"/>
    </row>
    <row r="2603">
      <c r="C2603" s="28"/>
      <c r="D2603" s="28"/>
      <c r="E2603" s="29"/>
      <c r="F2603" s="30"/>
      <c r="G2603" s="31"/>
      <c r="H2603" s="32"/>
      <c r="I2603" s="33"/>
      <c r="Q2603" s="8"/>
      <c r="R2603" s="8"/>
    </row>
    <row r="2604">
      <c r="C2604" s="28"/>
      <c r="D2604" s="28"/>
      <c r="E2604" s="29"/>
      <c r="F2604" s="30"/>
      <c r="G2604" s="31"/>
      <c r="H2604" s="32"/>
      <c r="I2604" s="33"/>
      <c r="Q2604" s="8"/>
      <c r="R2604" s="8"/>
    </row>
    <row r="2605">
      <c r="C2605" s="28"/>
      <c r="D2605" s="28"/>
      <c r="E2605" s="29"/>
      <c r="F2605" s="30"/>
      <c r="G2605" s="31"/>
      <c r="H2605" s="32"/>
      <c r="I2605" s="33"/>
      <c r="Q2605" s="8"/>
      <c r="R2605" s="8"/>
    </row>
    <row r="2606">
      <c r="C2606" s="28"/>
      <c r="D2606" s="28"/>
      <c r="E2606" s="29"/>
      <c r="F2606" s="30"/>
      <c r="G2606" s="31"/>
      <c r="H2606" s="32"/>
      <c r="I2606" s="33"/>
      <c r="Q2606" s="8"/>
      <c r="R2606" s="8"/>
    </row>
    <row r="2607">
      <c r="C2607" s="28"/>
      <c r="D2607" s="28"/>
      <c r="E2607" s="29"/>
      <c r="F2607" s="30"/>
      <c r="G2607" s="31"/>
      <c r="H2607" s="32"/>
      <c r="I2607" s="33"/>
      <c r="Q2607" s="8"/>
      <c r="R2607" s="8"/>
    </row>
    <row r="2608">
      <c r="C2608" s="28"/>
      <c r="D2608" s="28"/>
      <c r="E2608" s="29"/>
      <c r="F2608" s="30"/>
      <c r="G2608" s="31"/>
      <c r="H2608" s="32"/>
      <c r="I2608" s="33"/>
      <c r="Q2608" s="8"/>
      <c r="R2608" s="8"/>
    </row>
    <row r="2609">
      <c r="C2609" s="28"/>
      <c r="D2609" s="28"/>
      <c r="E2609" s="29"/>
      <c r="F2609" s="30"/>
      <c r="G2609" s="31"/>
      <c r="H2609" s="32"/>
      <c r="I2609" s="33"/>
      <c r="Q2609" s="8"/>
      <c r="R2609" s="8"/>
    </row>
    <row r="2610">
      <c r="C2610" s="28"/>
      <c r="D2610" s="28"/>
      <c r="E2610" s="29"/>
      <c r="F2610" s="30"/>
      <c r="G2610" s="31"/>
      <c r="H2610" s="32"/>
      <c r="I2610" s="33"/>
      <c r="Q2610" s="8"/>
      <c r="R2610" s="8"/>
    </row>
    <row r="2611">
      <c r="C2611" s="28"/>
      <c r="D2611" s="28"/>
      <c r="E2611" s="29"/>
      <c r="F2611" s="30"/>
      <c r="G2611" s="31"/>
      <c r="H2611" s="32"/>
      <c r="I2611" s="33"/>
      <c r="Q2611" s="8"/>
      <c r="R2611" s="8"/>
    </row>
    <row r="2612">
      <c r="C2612" s="28"/>
      <c r="D2612" s="28"/>
      <c r="E2612" s="29"/>
      <c r="F2612" s="30"/>
      <c r="G2612" s="31"/>
      <c r="H2612" s="32"/>
      <c r="I2612" s="33"/>
      <c r="Q2612" s="8"/>
      <c r="R2612" s="8"/>
    </row>
    <row r="2613">
      <c r="C2613" s="28"/>
      <c r="D2613" s="28"/>
      <c r="E2613" s="29"/>
      <c r="F2613" s="30"/>
      <c r="G2613" s="31"/>
      <c r="H2613" s="32"/>
      <c r="I2613" s="33"/>
      <c r="Q2613" s="8"/>
      <c r="R2613" s="8"/>
    </row>
    <row r="2614">
      <c r="C2614" s="28"/>
      <c r="D2614" s="28"/>
      <c r="E2614" s="29"/>
      <c r="F2614" s="30"/>
      <c r="G2614" s="31"/>
      <c r="H2614" s="32"/>
      <c r="I2614" s="33"/>
      <c r="Q2614" s="8"/>
      <c r="R2614" s="8"/>
    </row>
    <row r="2615">
      <c r="C2615" s="28"/>
      <c r="D2615" s="28"/>
      <c r="E2615" s="29"/>
      <c r="F2615" s="30"/>
      <c r="G2615" s="31"/>
      <c r="H2615" s="32"/>
      <c r="I2615" s="33"/>
      <c r="Q2615" s="8"/>
      <c r="R2615" s="8"/>
    </row>
    <row r="2616">
      <c r="C2616" s="28"/>
      <c r="D2616" s="28"/>
      <c r="E2616" s="29"/>
      <c r="F2616" s="30"/>
      <c r="G2616" s="31"/>
      <c r="H2616" s="32"/>
      <c r="I2616" s="33"/>
      <c r="Q2616" s="8"/>
      <c r="R2616" s="8"/>
    </row>
    <row r="2617">
      <c r="C2617" s="28"/>
      <c r="D2617" s="28"/>
      <c r="E2617" s="29"/>
      <c r="F2617" s="30"/>
      <c r="G2617" s="31"/>
      <c r="H2617" s="32"/>
      <c r="I2617" s="33"/>
      <c r="Q2617" s="8"/>
      <c r="R2617" s="8"/>
    </row>
    <row r="2618">
      <c r="C2618" s="28"/>
      <c r="D2618" s="28"/>
      <c r="E2618" s="29"/>
      <c r="F2618" s="30"/>
      <c r="G2618" s="31"/>
      <c r="H2618" s="32"/>
      <c r="I2618" s="33"/>
      <c r="Q2618" s="8"/>
      <c r="R2618" s="8"/>
    </row>
    <row r="2619">
      <c r="C2619" s="28"/>
      <c r="D2619" s="28"/>
      <c r="E2619" s="29"/>
      <c r="F2619" s="30"/>
      <c r="G2619" s="31"/>
      <c r="H2619" s="32"/>
      <c r="I2619" s="33"/>
      <c r="Q2619" s="8"/>
      <c r="R2619" s="8"/>
    </row>
    <row r="2620">
      <c r="C2620" s="28"/>
      <c r="D2620" s="28"/>
      <c r="E2620" s="29"/>
      <c r="F2620" s="30"/>
      <c r="G2620" s="31"/>
      <c r="H2620" s="32"/>
      <c r="I2620" s="33"/>
      <c r="Q2620" s="8"/>
      <c r="R2620" s="8"/>
    </row>
    <row r="2621">
      <c r="C2621" s="28"/>
      <c r="D2621" s="28"/>
      <c r="E2621" s="29"/>
      <c r="F2621" s="30"/>
      <c r="G2621" s="31"/>
      <c r="H2621" s="32"/>
      <c r="I2621" s="33"/>
      <c r="Q2621" s="8"/>
      <c r="R2621" s="8"/>
    </row>
    <row r="2622">
      <c r="C2622" s="28"/>
      <c r="D2622" s="28"/>
      <c r="E2622" s="29"/>
      <c r="F2622" s="30"/>
      <c r="G2622" s="31"/>
      <c r="H2622" s="32"/>
      <c r="I2622" s="33"/>
      <c r="Q2622" s="8"/>
      <c r="R2622" s="8"/>
    </row>
    <row r="2623">
      <c r="C2623" s="28"/>
      <c r="D2623" s="28"/>
      <c r="E2623" s="29"/>
      <c r="F2623" s="30"/>
      <c r="G2623" s="31"/>
      <c r="H2623" s="32"/>
      <c r="I2623" s="33"/>
      <c r="Q2623" s="8"/>
      <c r="R2623" s="8"/>
    </row>
    <row r="2624">
      <c r="C2624" s="28"/>
      <c r="D2624" s="28"/>
      <c r="E2624" s="29"/>
      <c r="F2624" s="30"/>
      <c r="G2624" s="31"/>
      <c r="H2624" s="32"/>
      <c r="I2624" s="33"/>
      <c r="Q2624" s="8"/>
      <c r="R2624" s="8"/>
    </row>
    <row r="2625">
      <c r="C2625" s="28"/>
      <c r="D2625" s="28"/>
      <c r="E2625" s="29"/>
      <c r="F2625" s="30"/>
      <c r="G2625" s="31"/>
      <c r="H2625" s="32"/>
      <c r="I2625" s="33"/>
      <c r="Q2625" s="8"/>
      <c r="R2625" s="8"/>
    </row>
    <row r="2626">
      <c r="C2626" s="28"/>
      <c r="D2626" s="28"/>
      <c r="E2626" s="29"/>
      <c r="F2626" s="30"/>
      <c r="G2626" s="31"/>
      <c r="H2626" s="32"/>
      <c r="I2626" s="33"/>
      <c r="Q2626" s="8"/>
      <c r="R2626" s="8"/>
    </row>
    <row r="2627">
      <c r="C2627" s="28"/>
      <c r="D2627" s="28"/>
      <c r="E2627" s="29"/>
      <c r="F2627" s="30"/>
      <c r="G2627" s="31"/>
      <c r="H2627" s="32"/>
      <c r="I2627" s="33"/>
      <c r="Q2627" s="8"/>
      <c r="R2627" s="8"/>
    </row>
    <row r="2628">
      <c r="C2628" s="28"/>
      <c r="D2628" s="28"/>
      <c r="E2628" s="29"/>
      <c r="F2628" s="30"/>
      <c r="G2628" s="31"/>
      <c r="H2628" s="32"/>
      <c r="I2628" s="33"/>
      <c r="Q2628" s="8"/>
      <c r="R2628" s="8"/>
    </row>
    <row r="2629">
      <c r="C2629" s="28"/>
      <c r="D2629" s="28"/>
      <c r="E2629" s="29"/>
      <c r="F2629" s="30"/>
      <c r="G2629" s="31"/>
      <c r="H2629" s="32"/>
      <c r="I2629" s="33"/>
      <c r="Q2629" s="8"/>
      <c r="R2629" s="8"/>
    </row>
    <row r="2630">
      <c r="C2630" s="28"/>
      <c r="D2630" s="28"/>
      <c r="E2630" s="29"/>
      <c r="F2630" s="30"/>
      <c r="G2630" s="31"/>
      <c r="H2630" s="32"/>
      <c r="I2630" s="33"/>
      <c r="Q2630" s="8"/>
      <c r="R2630" s="8"/>
    </row>
    <row r="2631">
      <c r="C2631" s="28"/>
      <c r="D2631" s="28"/>
      <c r="E2631" s="29"/>
      <c r="F2631" s="30"/>
      <c r="G2631" s="31"/>
      <c r="H2631" s="32"/>
      <c r="I2631" s="33"/>
      <c r="Q2631" s="8"/>
      <c r="R2631" s="8"/>
    </row>
    <row r="2632">
      <c r="C2632" s="28"/>
      <c r="D2632" s="28"/>
      <c r="E2632" s="29"/>
      <c r="F2632" s="30"/>
      <c r="G2632" s="31"/>
      <c r="H2632" s="32"/>
      <c r="I2632" s="33"/>
      <c r="Q2632" s="8"/>
      <c r="R2632" s="8"/>
    </row>
    <row r="2633">
      <c r="C2633" s="28"/>
      <c r="D2633" s="28"/>
      <c r="E2633" s="29"/>
      <c r="F2633" s="30"/>
      <c r="G2633" s="31"/>
      <c r="H2633" s="32"/>
      <c r="I2633" s="33"/>
      <c r="Q2633" s="8"/>
      <c r="R2633" s="8"/>
    </row>
    <row r="2634">
      <c r="C2634" s="28"/>
      <c r="D2634" s="28"/>
      <c r="E2634" s="29"/>
      <c r="F2634" s="30"/>
      <c r="G2634" s="31"/>
      <c r="H2634" s="32"/>
      <c r="I2634" s="33"/>
      <c r="Q2634" s="8"/>
      <c r="R2634" s="8"/>
    </row>
    <row r="2635">
      <c r="C2635" s="28"/>
      <c r="D2635" s="28"/>
      <c r="E2635" s="29"/>
      <c r="F2635" s="30"/>
      <c r="G2635" s="31"/>
      <c r="H2635" s="32"/>
      <c r="I2635" s="33"/>
      <c r="Q2635" s="8"/>
      <c r="R2635" s="8"/>
    </row>
    <row r="2636">
      <c r="C2636" s="28"/>
      <c r="D2636" s="28"/>
      <c r="E2636" s="29"/>
      <c r="F2636" s="30"/>
      <c r="G2636" s="31"/>
      <c r="H2636" s="32"/>
      <c r="I2636" s="33"/>
      <c r="Q2636" s="8"/>
      <c r="R2636" s="8"/>
    </row>
    <row r="2637">
      <c r="C2637" s="28"/>
      <c r="D2637" s="28"/>
      <c r="E2637" s="29"/>
      <c r="F2637" s="30"/>
      <c r="G2637" s="31"/>
      <c r="H2637" s="32"/>
      <c r="I2637" s="33"/>
      <c r="Q2637" s="8"/>
      <c r="R2637" s="8"/>
    </row>
    <row r="2638">
      <c r="C2638" s="28"/>
      <c r="D2638" s="28"/>
      <c r="E2638" s="29"/>
      <c r="F2638" s="30"/>
      <c r="G2638" s="31"/>
      <c r="H2638" s="32"/>
      <c r="I2638" s="33"/>
      <c r="Q2638" s="8"/>
      <c r="R2638" s="8"/>
    </row>
    <row r="2639">
      <c r="C2639" s="28"/>
      <c r="D2639" s="28"/>
      <c r="E2639" s="29"/>
      <c r="F2639" s="30"/>
      <c r="G2639" s="31"/>
      <c r="H2639" s="32"/>
      <c r="I2639" s="33"/>
      <c r="Q2639" s="8"/>
      <c r="R2639" s="8"/>
    </row>
    <row r="2640">
      <c r="C2640" s="28"/>
      <c r="D2640" s="28"/>
      <c r="E2640" s="29"/>
      <c r="F2640" s="30"/>
      <c r="G2640" s="31"/>
      <c r="H2640" s="32"/>
      <c r="I2640" s="33"/>
      <c r="Q2640" s="8"/>
      <c r="R2640" s="8"/>
    </row>
    <row r="2641">
      <c r="C2641" s="28"/>
      <c r="D2641" s="28"/>
      <c r="E2641" s="29"/>
      <c r="F2641" s="30"/>
      <c r="G2641" s="31"/>
      <c r="H2641" s="32"/>
      <c r="I2641" s="33"/>
      <c r="Q2641" s="8"/>
      <c r="R2641" s="8"/>
    </row>
    <row r="2642">
      <c r="C2642" s="28"/>
      <c r="D2642" s="28"/>
      <c r="E2642" s="29"/>
      <c r="F2642" s="30"/>
      <c r="G2642" s="31"/>
      <c r="H2642" s="32"/>
      <c r="I2642" s="33"/>
      <c r="Q2642" s="8"/>
      <c r="R2642" s="8"/>
    </row>
    <row r="2643">
      <c r="C2643" s="28"/>
      <c r="D2643" s="28"/>
      <c r="E2643" s="29"/>
      <c r="F2643" s="30"/>
      <c r="G2643" s="31"/>
      <c r="H2643" s="32"/>
      <c r="I2643" s="33"/>
      <c r="Q2643" s="8"/>
      <c r="R2643" s="8"/>
    </row>
    <row r="2644">
      <c r="C2644" s="28"/>
      <c r="D2644" s="28"/>
      <c r="E2644" s="29"/>
      <c r="F2644" s="30"/>
      <c r="G2644" s="31"/>
      <c r="H2644" s="32"/>
      <c r="I2644" s="33"/>
      <c r="Q2644" s="8"/>
      <c r="R2644" s="8"/>
    </row>
    <row r="2645">
      <c r="C2645" s="28"/>
      <c r="D2645" s="28"/>
      <c r="E2645" s="29"/>
      <c r="F2645" s="30"/>
      <c r="G2645" s="31"/>
      <c r="H2645" s="32"/>
      <c r="I2645" s="33"/>
      <c r="Q2645" s="8"/>
      <c r="R2645" s="8"/>
    </row>
    <row r="2646">
      <c r="C2646" s="28"/>
      <c r="D2646" s="28"/>
      <c r="E2646" s="29"/>
      <c r="F2646" s="30"/>
      <c r="G2646" s="31"/>
      <c r="H2646" s="32"/>
      <c r="I2646" s="33"/>
      <c r="Q2646" s="8"/>
      <c r="R2646" s="8"/>
    </row>
    <row r="2647">
      <c r="C2647" s="28"/>
      <c r="D2647" s="28"/>
      <c r="E2647" s="29"/>
      <c r="F2647" s="30"/>
      <c r="G2647" s="31"/>
      <c r="H2647" s="32"/>
      <c r="I2647" s="33"/>
      <c r="Q2647" s="8"/>
      <c r="R2647" s="8"/>
    </row>
    <row r="2648">
      <c r="C2648" s="28"/>
      <c r="D2648" s="28"/>
      <c r="E2648" s="29"/>
      <c r="F2648" s="30"/>
      <c r="G2648" s="31"/>
      <c r="H2648" s="32"/>
      <c r="I2648" s="33"/>
      <c r="Q2648" s="8"/>
      <c r="R2648" s="8"/>
    </row>
    <row r="2649">
      <c r="C2649" s="28"/>
      <c r="D2649" s="28"/>
      <c r="E2649" s="29"/>
      <c r="F2649" s="30"/>
      <c r="G2649" s="31"/>
      <c r="H2649" s="32"/>
      <c r="I2649" s="33"/>
      <c r="Q2649" s="8"/>
      <c r="R2649" s="8"/>
    </row>
    <row r="2650">
      <c r="C2650" s="28"/>
      <c r="D2650" s="28"/>
      <c r="E2650" s="29"/>
      <c r="F2650" s="30"/>
      <c r="G2650" s="31"/>
      <c r="H2650" s="32"/>
      <c r="I2650" s="33"/>
      <c r="Q2650" s="8"/>
      <c r="R2650" s="8"/>
    </row>
    <row r="2651">
      <c r="C2651" s="28"/>
      <c r="D2651" s="28"/>
      <c r="E2651" s="29"/>
      <c r="F2651" s="30"/>
      <c r="G2651" s="31"/>
      <c r="H2651" s="32"/>
      <c r="I2651" s="33"/>
      <c r="Q2651" s="8"/>
      <c r="R2651" s="8"/>
    </row>
    <row r="2652">
      <c r="C2652" s="28"/>
      <c r="D2652" s="28"/>
      <c r="E2652" s="29"/>
      <c r="F2652" s="30"/>
      <c r="G2652" s="31"/>
      <c r="H2652" s="32"/>
      <c r="I2652" s="33"/>
      <c r="Q2652" s="8"/>
      <c r="R2652" s="8"/>
    </row>
    <row r="2653">
      <c r="C2653" s="28"/>
      <c r="D2653" s="28"/>
      <c r="E2653" s="29"/>
      <c r="F2653" s="30"/>
      <c r="G2653" s="31"/>
      <c r="H2653" s="32"/>
      <c r="I2653" s="33"/>
      <c r="Q2653" s="8"/>
      <c r="R2653" s="8"/>
    </row>
    <row r="2654">
      <c r="C2654" s="28"/>
      <c r="D2654" s="28"/>
      <c r="E2654" s="29"/>
      <c r="F2654" s="30"/>
      <c r="G2654" s="31"/>
      <c r="H2654" s="32"/>
      <c r="I2654" s="33"/>
      <c r="Q2654" s="8"/>
      <c r="R2654" s="8"/>
    </row>
    <row r="2655">
      <c r="C2655" s="28"/>
      <c r="D2655" s="28"/>
      <c r="E2655" s="29"/>
      <c r="F2655" s="30"/>
      <c r="G2655" s="31"/>
      <c r="H2655" s="32"/>
      <c r="I2655" s="33"/>
      <c r="Q2655" s="8"/>
      <c r="R2655" s="8"/>
    </row>
    <row r="2656">
      <c r="C2656" s="28"/>
      <c r="D2656" s="28"/>
      <c r="E2656" s="29"/>
      <c r="F2656" s="30"/>
      <c r="G2656" s="31"/>
      <c r="H2656" s="32"/>
      <c r="I2656" s="33"/>
      <c r="Q2656" s="8"/>
      <c r="R2656" s="8"/>
    </row>
    <row r="2657">
      <c r="C2657" s="28"/>
      <c r="D2657" s="28"/>
      <c r="E2657" s="29"/>
      <c r="F2657" s="30"/>
      <c r="G2657" s="31"/>
      <c r="H2657" s="32"/>
      <c r="I2657" s="33"/>
      <c r="Q2657" s="8"/>
      <c r="R2657" s="8"/>
    </row>
    <row r="2658">
      <c r="C2658" s="28"/>
      <c r="D2658" s="28"/>
      <c r="E2658" s="29"/>
      <c r="F2658" s="30"/>
      <c r="G2658" s="31"/>
      <c r="H2658" s="32"/>
      <c r="I2658" s="33"/>
      <c r="Q2658" s="8"/>
      <c r="R2658" s="8"/>
    </row>
    <row r="2659">
      <c r="C2659" s="28"/>
      <c r="D2659" s="28"/>
      <c r="E2659" s="29"/>
      <c r="F2659" s="30"/>
      <c r="G2659" s="31"/>
      <c r="H2659" s="32"/>
      <c r="I2659" s="33"/>
      <c r="Q2659" s="8"/>
      <c r="R2659" s="8"/>
    </row>
    <row r="2660">
      <c r="C2660" s="28"/>
      <c r="D2660" s="28"/>
      <c r="E2660" s="29"/>
      <c r="F2660" s="30"/>
      <c r="G2660" s="31"/>
      <c r="H2660" s="32"/>
      <c r="I2660" s="33"/>
      <c r="Q2660" s="8"/>
      <c r="R2660" s="8"/>
    </row>
    <row r="2661">
      <c r="C2661" s="28"/>
      <c r="D2661" s="28"/>
      <c r="E2661" s="29"/>
      <c r="F2661" s="30"/>
      <c r="G2661" s="31"/>
      <c r="H2661" s="32"/>
      <c r="I2661" s="33"/>
      <c r="Q2661" s="8"/>
      <c r="R2661" s="8"/>
    </row>
    <row r="2662">
      <c r="C2662" s="28"/>
      <c r="D2662" s="28"/>
      <c r="E2662" s="29"/>
      <c r="F2662" s="30"/>
      <c r="G2662" s="31"/>
      <c r="H2662" s="32"/>
      <c r="I2662" s="33"/>
      <c r="Q2662" s="8"/>
      <c r="R2662" s="8"/>
    </row>
    <row r="2663">
      <c r="C2663" s="28"/>
      <c r="D2663" s="28"/>
      <c r="E2663" s="29"/>
      <c r="F2663" s="30"/>
      <c r="G2663" s="31"/>
      <c r="H2663" s="32"/>
      <c r="I2663" s="33"/>
      <c r="Q2663" s="8"/>
      <c r="R2663" s="8"/>
    </row>
    <row r="2664">
      <c r="C2664" s="28"/>
      <c r="D2664" s="28"/>
      <c r="E2664" s="29"/>
      <c r="F2664" s="30"/>
      <c r="G2664" s="31"/>
      <c r="H2664" s="32"/>
      <c r="I2664" s="33"/>
      <c r="Q2664" s="8"/>
      <c r="R2664" s="8"/>
    </row>
    <row r="2665">
      <c r="C2665" s="28"/>
      <c r="D2665" s="28"/>
      <c r="E2665" s="29"/>
      <c r="F2665" s="30"/>
      <c r="G2665" s="31"/>
      <c r="H2665" s="32"/>
      <c r="I2665" s="33"/>
      <c r="Q2665" s="8"/>
      <c r="R2665" s="8"/>
    </row>
    <row r="2666">
      <c r="C2666" s="28"/>
      <c r="D2666" s="28"/>
      <c r="E2666" s="29"/>
      <c r="F2666" s="30"/>
      <c r="G2666" s="31"/>
      <c r="H2666" s="32"/>
      <c r="I2666" s="33"/>
      <c r="Q2666" s="8"/>
      <c r="R2666" s="8"/>
    </row>
    <row r="2667">
      <c r="C2667" s="28"/>
      <c r="D2667" s="28"/>
      <c r="E2667" s="29"/>
      <c r="F2667" s="30"/>
      <c r="G2667" s="31"/>
      <c r="H2667" s="32"/>
      <c r="I2667" s="33"/>
      <c r="Q2667" s="8"/>
      <c r="R2667" s="8"/>
    </row>
    <row r="2668">
      <c r="C2668" s="28"/>
      <c r="D2668" s="28"/>
      <c r="E2668" s="29"/>
      <c r="F2668" s="30"/>
      <c r="G2668" s="31"/>
      <c r="H2668" s="32"/>
      <c r="I2668" s="33"/>
      <c r="Q2668" s="8"/>
      <c r="R2668" s="8"/>
    </row>
    <row r="2669">
      <c r="C2669" s="28"/>
      <c r="D2669" s="28"/>
      <c r="E2669" s="29"/>
      <c r="F2669" s="30"/>
      <c r="G2669" s="31"/>
      <c r="H2669" s="32"/>
      <c r="I2669" s="33"/>
      <c r="Q2669" s="8"/>
      <c r="R2669" s="8"/>
    </row>
    <row r="2670">
      <c r="C2670" s="28"/>
      <c r="D2670" s="28"/>
      <c r="E2670" s="29"/>
      <c r="F2670" s="30"/>
      <c r="G2670" s="31"/>
      <c r="H2670" s="32"/>
      <c r="I2670" s="33"/>
      <c r="Q2670" s="8"/>
      <c r="R2670" s="8"/>
    </row>
    <row r="2671">
      <c r="C2671" s="28"/>
      <c r="D2671" s="28"/>
      <c r="E2671" s="29"/>
      <c r="F2671" s="30"/>
      <c r="G2671" s="31"/>
      <c r="H2671" s="32"/>
      <c r="I2671" s="33"/>
      <c r="Q2671" s="8"/>
      <c r="R2671" s="8"/>
    </row>
    <row r="2672">
      <c r="C2672" s="28"/>
      <c r="D2672" s="28"/>
      <c r="E2672" s="29"/>
      <c r="F2672" s="30"/>
      <c r="G2672" s="31"/>
      <c r="H2672" s="32"/>
      <c r="I2672" s="33"/>
      <c r="Q2672" s="8"/>
      <c r="R2672" s="8"/>
    </row>
    <row r="2673">
      <c r="C2673" s="28"/>
      <c r="D2673" s="28"/>
      <c r="E2673" s="29"/>
      <c r="F2673" s="30"/>
      <c r="G2673" s="31"/>
      <c r="H2673" s="32"/>
      <c r="I2673" s="33"/>
      <c r="Q2673" s="8"/>
      <c r="R2673" s="8"/>
    </row>
    <row r="2674">
      <c r="C2674" s="28"/>
      <c r="D2674" s="28"/>
      <c r="E2674" s="29"/>
      <c r="F2674" s="30"/>
      <c r="G2674" s="31"/>
      <c r="H2674" s="32"/>
      <c r="I2674" s="33"/>
      <c r="Q2674" s="8"/>
      <c r="R2674" s="8"/>
    </row>
    <row r="2675">
      <c r="C2675" s="28"/>
      <c r="D2675" s="28"/>
      <c r="E2675" s="29"/>
      <c r="F2675" s="30"/>
      <c r="G2675" s="31"/>
      <c r="H2675" s="32"/>
      <c r="I2675" s="33"/>
      <c r="Q2675" s="8"/>
      <c r="R2675" s="8"/>
    </row>
    <row r="2676">
      <c r="C2676" s="28"/>
      <c r="D2676" s="28"/>
      <c r="E2676" s="29"/>
      <c r="F2676" s="30"/>
      <c r="G2676" s="31"/>
      <c r="H2676" s="32"/>
      <c r="I2676" s="33"/>
      <c r="Q2676" s="8"/>
      <c r="R2676" s="8"/>
    </row>
    <row r="2677">
      <c r="C2677" s="28"/>
      <c r="D2677" s="28"/>
      <c r="E2677" s="29"/>
      <c r="F2677" s="30"/>
      <c r="G2677" s="31"/>
      <c r="H2677" s="32"/>
      <c r="I2677" s="33"/>
      <c r="Q2677" s="8"/>
      <c r="R2677" s="8"/>
    </row>
    <row r="2678">
      <c r="C2678" s="28"/>
      <c r="D2678" s="28"/>
      <c r="E2678" s="29"/>
      <c r="F2678" s="30"/>
      <c r="G2678" s="31"/>
      <c r="H2678" s="32"/>
      <c r="I2678" s="33"/>
      <c r="Q2678" s="8"/>
      <c r="R2678" s="8"/>
    </row>
    <row r="2679">
      <c r="C2679" s="28"/>
      <c r="D2679" s="28"/>
      <c r="E2679" s="29"/>
      <c r="F2679" s="30"/>
      <c r="G2679" s="31"/>
      <c r="H2679" s="32"/>
      <c r="I2679" s="33"/>
      <c r="Q2679" s="8"/>
      <c r="R2679" s="8"/>
    </row>
    <row r="2680">
      <c r="C2680" s="28"/>
      <c r="D2680" s="28"/>
      <c r="E2680" s="29"/>
      <c r="F2680" s="30"/>
      <c r="G2680" s="31"/>
      <c r="H2680" s="32"/>
      <c r="I2680" s="33"/>
      <c r="Q2680" s="8"/>
      <c r="R2680" s="8"/>
    </row>
    <row r="2681">
      <c r="C2681" s="28"/>
      <c r="D2681" s="28"/>
      <c r="E2681" s="29"/>
      <c r="F2681" s="30"/>
      <c r="G2681" s="31"/>
      <c r="H2681" s="32"/>
      <c r="I2681" s="33"/>
      <c r="Q2681" s="8"/>
      <c r="R2681" s="8"/>
    </row>
    <row r="2682">
      <c r="C2682" s="28"/>
      <c r="D2682" s="28"/>
      <c r="E2682" s="29"/>
      <c r="F2682" s="30"/>
      <c r="G2682" s="31"/>
      <c r="H2682" s="32"/>
      <c r="I2682" s="33"/>
      <c r="Q2682" s="8"/>
      <c r="R2682" s="8"/>
    </row>
    <row r="2683">
      <c r="C2683" s="28"/>
      <c r="D2683" s="28"/>
      <c r="E2683" s="29"/>
      <c r="F2683" s="30"/>
      <c r="G2683" s="31"/>
      <c r="H2683" s="32"/>
      <c r="I2683" s="33"/>
      <c r="Q2683" s="8"/>
      <c r="R2683" s="8"/>
    </row>
    <row r="2684">
      <c r="C2684" s="28"/>
      <c r="D2684" s="28"/>
      <c r="E2684" s="29"/>
      <c r="F2684" s="30"/>
      <c r="G2684" s="31"/>
      <c r="H2684" s="32"/>
      <c r="I2684" s="33"/>
      <c r="Q2684" s="8"/>
      <c r="R2684" s="8"/>
    </row>
    <row r="2685">
      <c r="C2685" s="28"/>
      <c r="D2685" s="28"/>
      <c r="E2685" s="29"/>
      <c r="F2685" s="30"/>
      <c r="G2685" s="31"/>
      <c r="H2685" s="32"/>
      <c r="I2685" s="33"/>
      <c r="Q2685" s="8"/>
      <c r="R2685" s="8"/>
    </row>
    <row r="2686">
      <c r="C2686" s="28"/>
      <c r="D2686" s="28"/>
      <c r="E2686" s="29"/>
      <c r="F2686" s="30"/>
      <c r="G2686" s="31"/>
      <c r="H2686" s="32"/>
      <c r="I2686" s="33"/>
      <c r="Q2686" s="8"/>
      <c r="R2686" s="8"/>
    </row>
    <row r="2687">
      <c r="C2687" s="28"/>
      <c r="D2687" s="28"/>
      <c r="E2687" s="29"/>
      <c r="F2687" s="30"/>
      <c r="G2687" s="31"/>
      <c r="H2687" s="32"/>
      <c r="I2687" s="33"/>
      <c r="Q2687" s="8"/>
      <c r="R2687" s="8"/>
    </row>
    <row r="2688">
      <c r="C2688" s="28"/>
      <c r="D2688" s="28"/>
      <c r="E2688" s="29"/>
      <c r="F2688" s="30"/>
      <c r="G2688" s="31"/>
      <c r="H2688" s="32"/>
      <c r="I2688" s="33"/>
      <c r="Q2688" s="8"/>
      <c r="R2688" s="8"/>
    </row>
    <row r="2689">
      <c r="C2689" s="28"/>
      <c r="D2689" s="28"/>
      <c r="E2689" s="29"/>
      <c r="F2689" s="30"/>
      <c r="G2689" s="31"/>
      <c r="H2689" s="32"/>
      <c r="I2689" s="33"/>
      <c r="Q2689" s="8"/>
      <c r="R2689" s="8"/>
    </row>
    <row r="2690">
      <c r="C2690" s="28"/>
      <c r="D2690" s="28"/>
      <c r="E2690" s="29"/>
      <c r="F2690" s="30"/>
      <c r="G2690" s="31"/>
      <c r="H2690" s="32"/>
      <c r="I2690" s="33"/>
      <c r="Q2690" s="8"/>
      <c r="R2690" s="8"/>
    </row>
    <row r="2691">
      <c r="C2691" s="28"/>
      <c r="D2691" s="28"/>
      <c r="E2691" s="29"/>
      <c r="F2691" s="30"/>
      <c r="G2691" s="31"/>
      <c r="H2691" s="32"/>
      <c r="I2691" s="33"/>
      <c r="Q2691" s="8"/>
      <c r="R2691" s="8"/>
    </row>
    <row r="2692">
      <c r="C2692" s="28"/>
      <c r="D2692" s="28"/>
      <c r="E2692" s="29"/>
      <c r="F2692" s="30"/>
      <c r="G2692" s="31"/>
      <c r="H2692" s="32"/>
      <c r="I2692" s="33"/>
      <c r="Q2692" s="8"/>
      <c r="R2692" s="8"/>
    </row>
    <row r="2693">
      <c r="C2693" s="28"/>
      <c r="D2693" s="28"/>
      <c r="E2693" s="29"/>
      <c r="F2693" s="30"/>
      <c r="G2693" s="31"/>
      <c r="H2693" s="32"/>
      <c r="I2693" s="33"/>
      <c r="Q2693" s="8"/>
      <c r="R2693" s="8"/>
    </row>
    <row r="2694">
      <c r="C2694" s="28"/>
      <c r="D2694" s="28"/>
      <c r="E2694" s="29"/>
      <c r="F2694" s="30"/>
      <c r="G2694" s="31"/>
      <c r="H2694" s="32"/>
      <c r="I2694" s="33"/>
      <c r="Q2694" s="8"/>
      <c r="R2694" s="8"/>
    </row>
    <row r="2695">
      <c r="C2695" s="28"/>
      <c r="D2695" s="28"/>
      <c r="E2695" s="29"/>
      <c r="F2695" s="30"/>
      <c r="G2695" s="31"/>
      <c r="H2695" s="32"/>
      <c r="I2695" s="33"/>
      <c r="Q2695" s="8"/>
      <c r="R2695" s="8"/>
    </row>
    <row r="2696">
      <c r="C2696" s="28"/>
      <c r="D2696" s="28"/>
      <c r="E2696" s="29"/>
      <c r="F2696" s="30"/>
      <c r="G2696" s="31"/>
      <c r="H2696" s="32"/>
      <c r="I2696" s="33"/>
      <c r="Q2696" s="8"/>
      <c r="R2696" s="8"/>
    </row>
    <row r="2697">
      <c r="C2697" s="28"/>
      <c r="D2697" s="28"/>
      <c r="E2697" s="29"/>
      <c r="F2697" s="30"/>
      <c r="G2697" s="31"/>
      <c r="H2697" s="32"/>
      <c r="I2697" s="33"/>
      <c r="Q2697" s="8"/>
      <c r="R2697" s="8"/>
    </row>
    <row r="2698">
      <c r="C2698" s="28"/>
      <c r="D2698" s="28"/>
      <c r="E2698" s="29"/>
      <c r="F2698" s="30"/>
      <c r="G2698" s="31"/>
      <c r="H2698" s="32"/>
      <c r="I2698" s="33"/>
      <c r="Q2698" s="8"/>
      <c r="R2698" s="8"/>
    </row>
    <row r="2699">
      <c r="C2699" s="28"/>
      <c r="D2699" s="28"/>
      <c r="E2699" s="29"/>
      <c r="F2699" s="30"/>
      <c r="G2699" s="31"/>
      <c r="H2699" s="32"/>
      <c r="I2699" s="33"/>
      <c r="Q2699" s="8"/>
      <c r="R2699" s="8"/>
    </row>
    <row r="2700">
      <c r="C2700" s="28"/>
      <c r="D2700" s="28"/>
      <c r="E2700" s="29"/>
      <c r="F2700" s="30"/>
      <c r="G2700" s="31"/>
      <c r="H2700" s="32"/>
      <c r="I2700" s="33"/>
      <c r="Q2700" s="8"/>
      <c r="R2700" s="8"/>
    </row>
    <row r="2701">
      <c r="C2701" s="28"/>
      <c r="D2701" s="28"/>
      <c r="E2701" s="29"/>
      <c r="F2701" s="30"/>
      <c r="G2701" s="31"/>
      <c r="H2701" s="32"/>
      <c r="I2701" s="33"/>
      <c r="Q2701" s="8"/>
      <c r="R2701" s="8"/>
    </row>
    <row r="2702">
      <c r="C2702" s="28"/>
      <c r="D2702" s="28"/>
      <c r="E2702" s="29"/>
      <c r="F2702" s="30"/>
      <c r="G2702" s="31"/>
      <c r="H2702" s="32"/>
      <c r="I2702" s="33"/>
      <c r="Q2702" s="8"/>
      <c r="R2702" s="8"/>
    </row>
    <row r="2703">
      <c r="C2703" s="28"/>
      <c r="D2703" s="28"/>
      <c r="E2703" s="29"/>
      <c r="F2703" s="30"/>
      <c r="G2703" s="31"/>
      <c r="H2703" s="32"/>
      <c r="I2703" s="33"/>
      <c r="Q2703" s="8"/>
      <c r="R2703" s="8"/>
    </row>
    <row r="2704">
      <c r="C2704" s="28"/>
      <c r="D2704" s="28"/>
      <c r="E2704" s="29"/>
      <c r="F2704" s="30"/>
      <c r="G2704" s="31"/>
      <c r="H2704" s="32"/>
      <c r="I2704" s="33"/>
      <c r="Q2704" s="8"/>
      <c r="R2704" s="8"/>
    </row>
    <row r="2705">
      <c r="C2705" s="28"/>
      <c r="D2705" s="28"/>
      <c r="E2705" s="29"/>
      <c r="F2705" s="30"/>
      <c r="G2705" s="31"/>
      <c r="H2705" s="32"/>
      <c r="I2705" s="33"/>
      <c r="Q2705" s="8"/>
      <c r="R2705" s="8"/>
    </row>
    <row r="2706">
      <c r="C2706" s="28"/>
      <c r="D2706" s="28"/>
      <c r="E2706" s="29"/>
      <c r="F2706" s="30"/>
      <c r="G2706" s="31"/>
      <c r="H2706" s="32"/>
      <c r="I2706" s="33"/>
      <c r="Q2706" s="8"/>
      <c r="R2706" s="8"/>
    </row>
    <row r="2707">
      <c r="C2707" s="28"/>
      <c r="D2707" s="28"/>
      <c r="E2707" s="29"/>
      <c r="F2707" s="30"/>
      <c r="G2707" s="31"/>
      <c r="H2707" s="32"/>
      <c r="I2707" s="33"/>
      <c r="Q2707" s="8"/>
      <c r="R2707" s="8"/>
    </row>
    <row r="2708">
      <c r="C2708" s="28"/>
      <c r="D2708" s="28"/>
      <c r="E2708" s="29"/>
      <c r="F2708" s="30"/>
      <c r="G2708" s="31"/>
      <c r="H2708" s="32"/>
      <c r="I2708" s="33"/>
      <c r="Q2708" s="8"/>
      <c r="R2708" s="8"/>
    </row>
    <row r="2709">
      <c r="C2709" s="28"/>
      <c r="D2709" s="28"/>
      <c r="E2709" s="29"/>
      <c r="F2709" s="30"/>
      <c r="G2709" s="31"/>
      <c r="H2709" s="32"/>
      <c r="I2709" s="33"/>
      <c r="Q2709" s="8"/>
      <c r="R2709" s="8"/>
    </row>
    <row r="2710">
      <c r="C2710" s="28"/>
      <c r="D2710" s="28"/>
      <c r="E2710" s="29"/>
      <c r="F2710" s="30"/>
      <c r="G2710" s="31"/>
      <c r="H2710" s="32"/>
      <c r="I2710" s="33"/>
      <c r="Q2710" s="8"/>
      <c r="R2710" s="8"/>
    </row>
    <row r="2711">
      <c r="C2711" s="28"/>
      <c r="D2711" s="28"/>
      <c r="E2711" s="29"/>
      <c r="F2711" s="30"/>
      <c r="G2711" s="31"/>
      <c r="H2711" s="32"/>
      <c r="I2711" s="33"/>
      <c r="Q2711" s="8"/>
      <c r="R2711" s="8"/>
    </row>
    <row r="2712">
      <c r="C2712" s="28"/>
      <c r="D2712" s="28"/>
      <c r="E2712" s="29"/>
      <c r="F2712" s="30"/>
      <c r="G2712" s="31"/>
      <c r="H2712" s="32"/>
      <c r="I2712" s="33"/>
      <c r="Q2712" s="8"/>
      <c r="R2712" s="8"/>
    </row>
    <row r="2713">
      <c r="C2713" s="28"/>
      <c r="D2713" s="28"/>
      <c r="E2713" s="29"/>
      <c r="F2713" s="30"/>
      <c r="G2713" s="31"/>
      <c r="H2713" s="32"/>
      <c r="I2713" s="33"/>
      <c r="Q2713" s="8"/>
      <c r="R2713" s="8"/>
    </row>
    <row r="2714">
      <c r="C2714" s="28"/>
      <c r="D2714" s="28"/>
      <c r="E2714" s="29"/>
      <c r="F2714" s="30"/>
      <c r="G2714" s="31"/>
      <c r="H2714" s="32"/>
      <c r="I2714" s="33"/>
      <c r="Q2714" s="8"/>
      <c r="R2714" s="8"/>
    </row>
    <row r="2715">
      <c r="C2715" s="28"/>
      <c r="D2715" s="28"/>
      <c r="E2715" s="29"/>
      <c r="F2715" s="30"/>
      <c r="G2715" s="31"/>
      <c r="H2715" s="32"/>
      <c r="I2715" s="33"/>
      <c r="Q2715" s="8"/>
      <c r="R2715" s="8"/>
    </row>
    <row r="2716">
      <c r="C2716" s="28"/>
      <c r="D2716" s="28"/>
      <c r="E2716" s="29"/>
      <c r="F2716" s="30"/>
      <c r="G2716" s="31"/>
      <c r="H2716" s="32"/>
      <c r="I2716" s="33"/>
      <c r="Q2716" s="8"/>
      <c r="R2716" s="8"/>
    </row>
    <row r="2717">
      <c r="C2717" s="28"/>
      <c r="D2717" s="28"/>
      <c r="E2717" s="29"/>
      <c r="F2717" s="30"/>
      <c r="G2717" s="31"/>
      <c r="H2717" s="32"/>
      <c r="I2717" s="33"/>
      <c r="Q2717" s="8"/>
      <c r="R2717" s="8"/>
    </row>
    <row r="2718">
      <c r="C2718" s="28"/>
      <c r="D2718" s="28"/>
      <c r="E2718" s="29"/>
      <c r="F2718" s="30"/>
      <c r="G2718" s="31"/>
      <c r="H2718" s="32"/>
      <c r="I2718" s="33"/>
      <c r="Q2718" s="8"/>
      <c r="R2718" s="8"/>
    </row>
    <row r="2719">
      <c r="C2719" s="28"/>
      <c r="D2719" s="28"/>
      <c r="E2719" s="29"/>
      <c r="F2719" s="30"/>
      <c r="G2719" s="31"/>
      <c r="H2719" s="32"/>
      <c r="I2719" s="33"/>
      <c r="Q2719" s="8"/>
      <c r="R2719" s="8"/>
    </row>
    <row r="2720">
      <c r="C2720" s="28"/>
      <c r="D2720" s="28"/>
      <c r="E2720" s="29"/>
      <c r="F2720" s="30"/>
      <c r="G2720" s="31"/>
      <c r="H2720" s="32"/>
      <c r="I2720" s="33"/>
      <c r="Q2720" s="8"/>
      <c r="R2720" s="8"/>
    </row>
    <row r="2721">
      <c r="C2721" s="28"/>
      <c r="D2721" s="28"/>
      <c r="E2721" s="29"/>
      <c r="F2721" s="30"/>
      <c r="G2721" s="31"/>
      <c r="H2721" s="32"/>
      <c r="I2721" s="33"/>
      <c r="Q2721" s="8"/>
      <c r="R2721" s="8"/>
    </row>
    <row r="2722">
      <c r="C2722" s="28"/>
      <c r="D2722" s="28"/>
      <c r="E2722" s="29"/>
      <c r="F2722" s="30"/>
      <c r="G2722" s="31"/>
      <c r="H2722" s="32"/>
      <c r="I2722" s="33"/>
      <c r="Q2722" s="8"/>
      <c r="R2722" s="8"/>
    </row>
    <row r="2723">
      <c r="C2723" s="28"/>
      <c r="D2723" s="28"/>
      <c r="E2723" s="29"/>
      <c r="F2723" s="30"/>
      <c r="G2723" s="31"/>
      <c r="H2723" s="32"/>
      <c r="I2723" s="33"/>
      <c r="Q2723" s="8"/>
      <c r="R2723" s="8"/>
    </row>
    <row r="2724">
      <c r="C2724" s="28"/>
      <c r="D2724" s="28"/>
      <c r="E2724" s="29"/>
      <c r="F2724" s="30"/>
      <c r="G2724" s="31"/>
      <c r="H2724" s="32"/>
      <c r="I2724" s="33"/>
      <c r="Q2724" s="8"/>
      <c r="R2724" s="8"/>
    </row>
    <row r="2725">
      <c r="C2725" s="28"/>
      <c r="D2725" s="28"/>
      <c r="E2725" s="29"/>
      <c r="F2725" s="30"/>
      <c r="G2725" s="31"/>
      <c r="H2725" s="32"/>
      <c r="I2725" s="33"/>
      <c r="Q2725" s="8"/>
      <c r="R2725" s="8"/>
    </row>
    <row r="2726">
      <c r="C2726" s="28"/>
      <c r="D2726" s="28"/>
      <c r="E2726" s="29"/>
      <c r="F2726" s="30"/>
      <c r="G2726" s="31"/>
      <c r="H2726" s="32"/>
      <c r="I2726" s="33"/>
      <c r="Q2726" s="8"/>
      <c r="R2726" s="8"/>
    </row>
    <row r="2727">
      <c r="C2727" s="28"/>
      <c r="D2727" s="28"/>
      <c r="E2727" s="29"/>
      <c r="F2727" s="30"/>
      <c r="G2727" s="31"/>
      <c r="H2727" s="32"/>
      <c r="I2727" s="33"/>
      <c r="Q2727" s="8"/>
      <c r="R2727" s="8"/>
    </row>
    <row r="2728">
      <c r="C2728" s="28"/>
      <c r="D2728" s="28"/>
      <c r="E2728" s="29"/>
      <c r="F2728" s="30"/>
      <c r="G2728" s="31"/>
      <c r="H2728" s="32"/>
      <c r="I2728" s="33"/>
      <c r="Q2728" s="8"/>
      <c r="R2728" s="8"/>
    </row>
    <row r="2729">
      <c r="C2729" s="28"/>
      <c r="D2729" s="28"/>
      <c r="E2729" s="29"/>
      <c r="F2729" s="30"/>
      <c r="G2729" s="31"/>
      <c r="H2729" s="32"/>
      <c r="I2729" s="33"/>
      <c r="Q2729" s="8"/>
      <c r="R2729" s="8"/>
    </row>
    <row r="2730">
      <c r="C2730" s="28"/>
      <c r="D2730" s="28"/>
      <c r="E2730" s="29"/>
      <c r="F2730" s="30"/>
      <c r="G2730" s="31"/>
      <c r="H2730" s="32"/>
      <c r="I2730" s="33"/>
      <c r="Q2730" s="8"/>
      <c r="R2730" s="8"/>
    </row>
    <row r="2731">
      <c r="C2731" s="28"/>
      <c r="D2731" s="28"/>
      <c r="E2731" s="29"/>
      <c r="F2731" s="30"/>
      <c r="G2731" s="31"/>
      <c r="H2731" s="32"/>
      <c r="I2731" s="33"/>
      <c r="Q2731" s="8"/>
      <c r="R2731" s="8"/>
    </row>
    <row r="2732">
      <c r="C2732" s="28"/>
      <c r="D2732" s="28"/>
      <c r="E2732" s="29"/>
      <c r="F2732" s="30"/>
      <c r="G2732" s="31"/>
      <c r="H2732" s="32"/>
      <c r="I2732" s="33"/>
      <c r="Q2732" s="8"/>
      <c r="R2732" s="8"/>
    </row>
    <row r="2733">
      <c r="C2733" s="28"/>
      <c r="D2733" s="28"/>
      <c r="E2733" s="29"/>
      <c r="F2733" s="30"/>
      <c r="G2733" s="31"/>
      <c r="H2733" s="32"/>
      <c r="I2733" s="33"/>
      <c r="Q2733" s="8"/>
      <c r="R2733" s="8"/>
    </row>
    <row r="2734">
      <c r="C2734" s="28"/>
      <c r="D2734" s="28"/>
      <c r="E2734" s="29"/>
      <c r="F2734" s="30"/>
      <c r="G2734" s="31"/>
      <c r="H2734" s="32"/>
      <c r="I2734" s="33"/>
      <c r="Q2734" s="8"/>
      <c r="R2734" s="8"/>
    </row>
    <row r="2735">
      <c r="C2735" s="28"/>
      <c r="D2735" s="28"/>
      <c r="E2735" s="29"/>
      <c r="F2735" s="30"/>
      <c r="G2735" s="31"/>
      <c r="H2735" s="32"/>
      <c r="I2735" s="33"/>
      <c r="Q2735" s="8"/>
      <c r="R2735" s="8"/>
    </row>
    <row r="2736">
      <c r="C2736" s="28"/>
      <c r="D2736" s="28"/>
      <c r="E2736" s="29"/>
      <c r="F2736" s="30"/>
      <c r="G2736" s="31"/>
      <c r="H2736" s="32"/>
      <c r="I2736" s="33"/>
      <c r="Q2736" s="8"/>
      <c r="R2736" s="8"/>
    </row>
    <row r="2737">
      <c r="C2737" s="28"/>
      <c r="D2737" s="28"/>
      <c r="E2737" s="29"/>
      <c r="F2737" s="30"/>
      <c r="G2737" s="31"/>
      <c r="H2737" s="32"/>
      <c r="I2737" s="33"/>
      <c r="Q2737" s="8"/>
      <c r="R2737" s="8"/>
    </row>
    <row r="2738">
      <c r="C2738" s="28"/>
      <c r="D2738" s="28"/>
      <c r="E2738" s="29"/>
      <c r="F2738" s="30"/>
      <c r="G2738" s="31"/>
      <c r="H2738" s="32"/>
      <c r="I2738" s="33"/>
      <c r="Q2738" s="8"/>
      <c r="R2738" s="8"/>
    </row>
    <row r="2739">
      <c r="C2739" s="28"/>
      <c r="D2739" s="28"/>
      <c r="E2739" s="29"/>
      <c r="F2739" s="30"/>
      <c r="G2739" s="31"/>
      <c r="H2739" s="32"/>
      <c r="I2739" s="33"/>
      <c r="Q2739" s="8"/>
      <c r="R2739" s="8"/>
    </row>
    <row r="2740">
      <c r="C2740" s="28"/>
      <c r="D2740" s="28"/>
      <c r="E2740" s="29"/>
      <c r="F2740" s="30"/>
      <c r="G2740" s="31"/>
      <c r="H2740" s="32"/>
      <c r="I2740" s="33"/>
      <c r="Q2740" s="8"/>
      <c r="R2740" s="8"/>
    </row>
    <row r="2741">
      <c r="C2741" s="28"/>
      <c r="D2741" s="28"/>
      <c r="E2741" s="29"/>
      <c r="F2741" s="30"/>
      <c r="G2741" s="31"/>
      <c r="H2741" s="32"/>
      <c r="I2741" s="33"/>
      <c r="Q2741" s="8"/>
      <c r="R2741" s="8"/>
    </row>
    <row r="2742">
      <c r="C2742" s="28"/>
      <c r="D2742" s="28"/>
      <c r="E2742" s="29"/>
      <c r="F2742" s="30"/>
      <c r="G2742" s="31"/>
      <c r="H2742" s="32"/>
      <c r="I2742" s="33"/>
      <c r="Q2742" s="8"/>
      <c r="R2742" s="8"/>
    </row>
    <row r="2743">
      <c r="C2743" s="28"/>
      <c r="D2743" s="28"/>
      <c r="E2743" s="29"/>
      <c r="F2743" s="30"/>
      <c r="G2743" s="31"/>
      <c r="H2743" s="32"/>
      <c r="I2743" s="33"/>
      <c r="Q2743" s="8"/>
      <c r="R2743" s="8"/>
    </row>
    <row r="2744">
      <c r="C2744" s="28"/>
      <c r="D2744" s="28"/>
      <c r="E2744" s="29"/>
      <c r="F2744" s="30"/>
      <c r="G2744" s="31"/>
      <c r="H2744" s="32"/>
      <c r="I2744" s="33"/>
      <c r="Q2744" s="8"/>
      <c r="R2744" s="8"/>
    </row>
    <row r="2745">
      <c r="C2745" s="28"/>
      <c r="D2745" s="28"/>
      <c r="E2745" s="29"/>
      <c r="F2745" s="30"/>
      <c r="G2745" s="31"/>
      <c r="H2745" s="32"/>
      <c r="I2745" s="33"/>
      <c r="Q2745" s="8"/>
      <c r="R2745" s="8"/>
    </row>
    <row r="2746">
      <c r="C2746" s="28"/>
      <c r="D2746" s="28"/>
      <c r="E2746" s="29"/>
      <c r="F2746" s="30"/>
      <c r="G2746" s="31"/>
      <c r="H2746" s="32"/>
      <c r="I2746" s="33"/>
      <c r="Q2746" s="8"/>
      <c r="R2746" s="8"/>
    </row>
    <row r="2747">
      <c r="C2747" s="28"/>
      <c r="D2747" s="28"/>
      <c r="E2747" s="29"/>
      <c r="F2747" s="30"/>
      <c r="G2747" s="31"/>
      <c r="H2747" s="32"/>
      <c r="I2747" s="33"/>
      <c r="Q2747" s="8"/>
      <c r="R2747" s="8"/>
    </row>
    <row r="2748">
      <c r="C2748" s="28"/>
      <c r="D2748" s="28"/>
      <c r="E2748" s="29"/>
      <c r="F2748" s="30"/>
      <c r="G2748" s="31"/>
      <c r="H2748" s="32"/>
      <c r="I2748" s="33"/>
      <c r="Q2748" s="8"/>
      <c r="R2748" s="8"/>
    </row>
    <row r="2749">
      <c r="C2749" s="28"/>
      <c r="D2749" s="28"/>
      <c r="E2749" s="29"/>
      <c r="F2749" s="30"/>
      <c r="G2749" s="31"/>
      <c r="H2749" s="32"/>
      <c r="I2749" s="33"/>
      <c r="Q2749" s="8"/>
      <c r="R2749" s="8"/>
    </row>
    <row r="2750">
      <c r="C2750" s="28"/>
      <c r="D2750" s="28"/>
      <c r="E2750" s="29"/>
      <c r="F2750" s="30"/>
      <c r="G2750" s="31"/>
      <c r="H2750" s="32"/>
      <c r="I2750" s="33"/>
      <c r="Q2750" s="8"/>
      <c r="R2750" s="8"/>
    </row>
    <row r="2751">
      <c r="C2751" s="28"/>
      <c r="D2751" s="28"/>
      <c r="E2751" s="29"/>
      <c r="F2751" s="30"/>
      <c r="G2751" s="31"/>
      <c r="H2751" s="32"/>
      <c r="I2751" s="33"/>
      <c r="Q2751" s="8"/>
      <c r="R2751" s="8"/>
    </row>
    <row r="2752">
      <c r="C2752" s="28"/>
      <c r="D2752" s="28"/>
      <c r="E2752" s="29"/>
      <c r="F2752" s="30"/>
      <c r="G2752" s="31"/>
      <c r="H2752" s="32"/>
      <c r="I2752" s="33"/>
      <c r="Q2752" s="8"/>
      <c r="R2752" s="8"/>
    </row>
    <row r="2753">
      <c r="C2753" s="28"/>
      <c r="D2753" s="28"/>
      <c r="E2753" s="29"/>
      <c r="F2753" s="30"/>
      <c r="G2753" s="31"/>
      <c r="H2753" s="32"/>
      <c r="I2753" s="33"/>
      <c r="Q2753" s="8"/>
      <c r="R2753" s="8"/>
    </row>
    <row r="2754">
      <c r="C2754" s="28"/>
      <c r="D2754" s="28"/>
      <c r="E2754" s="29"/>
      <c r="F2754" s="30"/>
      <c r="G2754" s="31"/>
      <c r="H2754" s="32"/>
      <c r="I2754" s="33"/>
      <c r="Q2754" s="8"/>
      <c r="R2754" s="8"/>
    </row>
    <row r="2755">
      <c r="C2755" s="28"/>
      <c r="D2755" s="28"/>
      <c r="E2755" s="29"/>
      <c r="F2755" s="30"/>
      <c r="G2755" s="31"/>
      <c r="H2755" s="32"/>
      <c r="I2755" s="33"/>
      <c r="Q2755" s="8"/>
      <c r="R2755" s="8"/>
    </row>
    <row r="2756">
      <c r="C2756" s="28"/>
      <c r="D2756" s="28"/>
      <c r="E2756" s="29"/>
      <c r="F2756" s="30"/>
      <c r="G2756" s="31"/>
      <c r="H2756" s="32"/>
      <c r="I2756" s="33"/>
      <c r="Q2756" s="8"/>
      <c r="R2756" s="8"/>
    </row>
    <row r="2757">
      <c r="C2757" s="28"/>
      <c r="D2757" s="28"/>
      <c r="E2757" s="29"/>
      <c r="F2757" s="30"/>
      <c r="G2757" s="31"/>
      <c r="H2757" s="32"/>
      <c r="I2757" s="33"/>
      <c r="Q2757" s="8"/>
      <c r="R2757" s="8"/>
    </row>
    <row r="2758">
      <c r="C2758" s="28"/>
      <c r="D2758" s="28"/>
      <c r="E2758" s="29"/>
      <c r="F2758" s="30"/>
      <c r="G2758" s="31"/>
      <c r="H2758" s="32"/>
      <c r="I2758" s="33"/>
      <c r="Q2758" s="8"/>
      <c r="R2758" s="8"/>
    </row>
    <row r="2759">
      <c r="C2759" s="28"/>
      <c r="D2759" s="28"/>
      <c r="E2759" s="29"/>
      <c r="F2759" s="30"/>
      <c r="G2759" s="31"/>
      <c r="H2759" s="32"/>
      <c r="I2759" s="33"/>
      <c r="Q2759" s="8"/>
      <c r="R2759" s="8"/>
    </row>
    <row r="2760">
      <c r="C2760" s="28"/>
      <c r="D2760" s="28"/>
      <c r="E2760" s="29"/>
      <c r="F2760" s="30"/>
      <c r="G2760" s="31"/>
      <c r="H2760" s="32"/>
      <c r="I2760" s="33"/>
      <c r="Q2760" s="8"/>
      <c r="R2760" s="8"/>
    </row>
    <row r="2761">
      <c r="C2761" s="28"/>
      <c r="D2761" s="28"/>
      <c r="E2761" s="29"/>
      <c r="F2761" s="30"/>
      <c r="G2761" s="31"/>
      <c r="H2761" s="32"/>
      <c r="I2761" s="33"/>
      <c r="Q2761" s="8"/>
      <c r="R2761" s="8"/>
    </row>
    <row r="2762">
      <c r="C2762" s="28"/>
      <c r="D2762" s="28"/>
      <c r="E2762" s="29"/>
      <c r="F2762" s="30"/>
      <c r="G2762" s="31"/>
      <c r="H2762" s="32"/>
      <c r="I2762" s="33"/>
      <c r="Q2762" s="8"/>
      <c r="R2762" s="8"/>
    </row>
    <row r="2763">
      <c r="C2763" s="28"/>
      <c r="D2763" s="28"/>
      <c r="E2763" s="29"/>
      <c r="F2763" s="30"/>
      <c r="G2763" s="31"/>
      <c r="H2763" s="32"/>
      <c r="I2763" s="33"/>
      <c r="Q2763" s="8"/>
      <c r="R2763" s="8"/>
    </row>
    <row r="2764">
      <c r="C2764" s="28"/>
      <c r="D2764" s="28"/>
      <c r="E2764" s="29"/>
      <c r="F2764" s="30"/>
      <c r="G2764" s="31"/>
      <c r="H2764" s="32"/>
      <c r="I2764" s="33"/>
      <c r="Q2764" s="8"/>
      <c r="R2764" s="8"/>
    </row>
    <row r="2765">
      <c r="C2765" s="28"/>
      <c r="D2765" s="28"/>
      <c r="E2765" s="29"/>
      <c r="F2765" s="30"/>
      <c r="G2765" s="31"/>
      <c r="H2765" s="32"/>
      <c r="I2765" s="33"/>
      <c r="Q2765" s="8"/>
      <c r="R2765" s="8"/>
    </row>
    <row r="2766">
      <c r="C2766" s="28"/>
      <c r="D2766" s="28"/>
      <c r="E2766" s="29"/>
      <c r="F2766" s="30"/>
      <c r="G2766" s="31"/>
      <c r="H2766" s="32"/>
      <c r="I2766" s="33"/>
      <c r="Q2766" s="8"/>
      <c r="R2766" s="8"/>
    </row>
    <row r="2767">
      <c r="C2767" s="28"/>
      <c r="D2767" s="28"/>
      <c r="E2767" s="29"/>
      <c r="F2767" s="30"/>
      <c r="G2767" s="31"/>
      <c r="H2767" s="32"/>
      <c r="I2767" s="33"/>
      <c r="Q2767" s="8"/>
      <c r="R2767" s="8"/>
    </row>
    <row r="2768">
      <c r="C2768" s="28"/>
      <c r="D2768" s="28"/>
      <c r="E2768" s="29"/>
      <c r="F2768" s="30"/>
      <c r="G2768" s="31"/>
      <c r="H2768" s="32"/>
      <c r="I2768" s="33"/>
      <c r="Q2768" s="8"/>
      <c r="R2768" s="8"/>
    </row>
    <row r="2769">
      <c r="C2769" s="28"/>
      <c r="D2769" s="28"/>
      <c r="E2769" s="29"/>
      <c r="F2769" s="30"/>
      <c r="G2769" s="31"/>
      <c r="H2769" s="32"/>
      <c r="I2769" s="33"/>
      <c r="Q2769" s="8"/>
      <c r="R2769" s="8"/>
    </row>
    <row r="2770">
      <c r="C2770" s="28"/>
      <c r="D2770" s="28"/>
      <c r="E2770" s="29"/>
      <c r="F2770" s="30"/>
      <c r="G2770" s="31"/>
      <c r="H2770" s="32"/>
      <c r="I2770" s="33"/>
      <c r="Q2770" s="8"/>
      <c r="R2770" s="8"/>
    </row>
    <row r="2771">
      <c r="C2771" s="28"/>
      <c r="D2771" s="28"/>
      <c r="E2771" s="29"/>
      <c r="F2771" s="30"/>
      <c r="G2771" s="31"/>
      <c r="H2771" s="32"/>
      <c r="I2771" s="33"/>
      <c r="Q2771" s="8"/>
      <c r="R2771" s="8"/>
    </row>
    <row r="2772">
      <c r="C2772" s="28"/>
      <c r="D2772" s="28"/>
      <c r="E2772" s="29"/>
      <c r="F2772" s="30"/>
      <c r="G2772" s="31"/>
      <c r="H2772" s="32"/>
      <c r="I2772" s="33"/>
      <c r="Q2772" s="8"/>
      <c r="R2772" s="8"/>
    </row>
    <row r="2773">
      <c r="C2773" s="28"/>
      <c r="D2773" s="28"/>
      <c r="E2773" s="29"/>
      <c r="F2773" s="30"/>
      <c r="G2773" s="31"/>
      <c r="H2773" s="32"/>
      <c r="I2773" s="33"/>
      <c r="Q2773" s="8"/>
      <c r="R2773" s="8"/>
    </row>
    <row r="2774">
      <c r="C2774" s="28"/>
      <c r="D2774" s="28"/>
      <c r="E2774" s="29"/>
      <c r="F2774" s="30"/>
      <c r="G2774" s="31"/>
      <c r="H2774" s="32"/>
      <c r="I2774" s="33"/>
      <c r="Q2774" s="8"/>
      <c r="R2774" s="8"/>
    </row>
    <row r="2775">
      <c r="C2775" s="28"/>
      <c r="D2775" s="28"/>
      <c r="E2775" s="29"/>
      <c r="F2775" s="30"/>
      <c r="G2775" s="31"/>
      <c r="H2775" s="32"/>
      <c r="I2775" s="33"/>
      <c r="Q2775" s="8"/>
      <c r="R2775" s="8"/>
    </row>
    <row r="2776">
      <c r="C2776" s="28"/>
      <c r="D2776" s="28"/>
      <c r="E2776" s="29"/>
      <c r="F2776" s="30"/>
      <c r="G2776" s="31"/>
      <c r="H2776" s="32"/>
      <c r="I2776" s="33"/>
      <c r="Q2776" s="8"/>
      <c r="R2776" s="8"/>
    </row>
    <row r="2777">
      <c r="C2777" s="28"/>
      <c r="D2777" s="28"/>
      <c r="E2777" s="29"/>
      <c r="F2777" s="30"/>
      <c r="G2777" s="31"/>
      <c r="H2777" s="32"/>
      <c r="I2777" s="33"/>
      <c r="Q2777" s="8"/>
      <c r="R2777" s="8"/>
    </row>
    <row r="2778">
      <c r="C2778" s="28"/>
      <c r="D2778" s="28"/>
      <c r="E2778" s="29"/>
      <c r="F2778" s="30"/>
      <c r="G2778" s="31"/>
      <c r="H2778" s="32"/>
      <c r="I2778" s="33"/>
      <c r="Q2778" s="8"/>
      <c r="R2778" s="8"/>
    </row>
    <row r="2779">
      <c r="C2779" s="28"/>
      <c r="D2779" s="28"/>
      <c r="E2779" s="29"/>
      <c r="F2779" s="30"/>
      <c r="G2779" s="31"/>
      <c r="H2779" s="32"/>
      <c r="I2779" s="33"/>
      <c r="Q2779" s="8"/>
      <c r="R2779" s="8"/>
    </row>
    <row r="2780">
      <c r="C2780" s="28"/>
      <c r="D2780" s="28"/>
      <c r="E2780" s="29"/>
      <c r="F2780" s="30"/>
      <c r="G2780" s="31"/>
      <c r="H2780" s="32"/>
      <c r="I2780" s="33"/>
      <c r="Q2780" s="8"/>
      <c r="R2780" s="8"/>
    </row>
    <row r="2781">
      <c r="C2781" s="28"/>
      <c r="D2781" s="28"/>
      <c r="E2781" s="29"/>
      <c r="F2781" s="30"/>
      <c r="G2781" s="31"/>
      <c r="H2781" s="32"/>
      <c r="I2781" s="33"/>
      <c r="Q2781" s="8"/>
      <c r="R2781" s="8"/>
    </row>
    <row r="2782">
      <c r="C2782" s="28"/>
      <c r="D2782" s="28"/>
      <c r="E2782" s="29"/>
      <c r="F2782" s="30"/>
      <c r="G2782" s="31"/>
      <c r="H2782" s="32"/>
      <c r="I2782" s="33"/>
      <c r="Q2782" s="8"/>
      <c r="R2782" s="8"/>
    </row>
    <row r="2783">
      <c r="C2783" s="28"/>
      <c r="D2783" s="28"/>
      <c r="E2783" s="29"/>
      <c r="F2783" s="30"/>
      <c r="G2783" s="31"/>
      <c r="H2783" s="32"/>
      <c r="I2783" s="33"/>
      <c r="Q2783" s="8"/>
      <c r="R2783" s="8"/>
    </row>
    <row r="2784">
      <c r="C2784" s="28"/>
      <c r="D2784" s="28"/>
      <c r="E2784" s="29"/>
      <c r="F2784" s="30"/>
      <c r="G2784" s="31"/>
      <c r="H2784" s="32"/>
      <c r="I2784" s="33"/>
      <c r="Q2784" s="8"/>
      <c r="R2784" s="8"/>
    </row>
    <row r="2785">
      <c r="C2785" s="28"/>
      <c r="D2785" s="28"/>
      <c r="E2785" s="29"/>
      <c r="F2785" s="30"/>
      <c r="G2785" s="31"/>
      <c r="H2785" s="32"/>
      <c r="I2785" s="33"/>
      <c r="Q2785" s="8"/>
      <c r="R2785" s="8"/>
    </row>
    <row r="2786">
      <c r="C2786" s="28"/>
      <c r="D2786" s="28"/>
      <c r="E2786" s="29"/>
      <c r="F2786" s="30"/>
      <c r="G2786" s="31"/>
      <c r="H2786" s="32"/>
      <c r="I2786" s="33"/>
      <c r="Q2786" s="8"/>
      <c r="R2786" s="8"/>
    </row>
    <row r="2787">
      <c r="C2787" s="28"/>
      <c r="D2787" s="28"/>
      <c r="E2787" s="29"/>
      <c r="F2787" s="30"/>
      <c r="G2787" s="31"/>
      <c r="H2787" s="32"/>
      <c r="I2787" s="33"/>
      <c r="Q2787" s="8"/>
      <c r="R2787" s="8"/>
    </row>
    <row r="2788">
      <c r="C2788" s="28"/>
      <c r="D2788" s="28"/>
      <c r="E2788" s="29"/>
      <c r="F2788" s="30"/>
      <c r="G2788" s="31"/>
      <c r="H2788" s="32"/>
      <c r="I2788" s="33"/>
      <c r="Q2788" s="8"/>
      <c r="R2788" s="8"/>
    </row>
    <row r="2789">
      <c r="C2789" s="28"/>
      <c r="D2789" s="28"/>
      <c r="E2789" s="29"/>
      <c r="F2789" s="30"/>
      <c r="G2789" s="31"/>
      <c r="H2789" s="32"/>
      <c r="I2789" s="33"/>
      <c r="Q2789" s="8"/>
      <c r="R2789" s="8"/>
    </row>
    <row r="2790">
      <c r="C2790" s="28"/>
      <c r="D2790" s="28"/>
      <c r="E2790" s="29"/>
      <c r="F2790" s="30"/>
      <c r="G2790" s="31"/>
      <c r="H2790" s="32"/>
      <c r="I2790" s="33"/>
      <c r="Q2790" s="8"/>
      <c r="R2790" s="8"/>
    </row>
    <row r="2791">
      <c r="C2791" s="28"/>
      <c r="D2791" s="28"/>
      <c r="E2791" s="29"/>
      <c r="F2791" s="30"/>
      <c r="G2791" s="31"/>
      <c r="H2791" s="32"/>
      <c r="I2791" s="33"/>
      <c r="Q2791" s="8"/>
      <c r="R2791" s="8"/>
    </row>
    <row r="2792">
      <c r="C2792" s="28"/>
      <c r="D2792" s="28"/>
      <c r="E2792" s="29"/>
      <c r="F2792" s="30"/>
      <c r="G2792" s="31"/>
      <c r="H2792" s="32"/>
      <c r="I2792" s="33"/>
      <c r="Q2792" s="8"/>
      <c r="R2792" s="8"/>
    </row>
    <row r="2793">
      <c r="C2793" s="28"/>
      <c r="D2793" s="28"/>
      <c r="E2793" s="29"/>
      <c r="F2793" s="30"/>
      <c r="G2793" s="31"/>
      <c r="H2793" s="32"/>
      <c r="I2793" s="33"/>
      <c r="Q2793" s="8"/>
      <c r="R2793" s="8"/>
    </row>
    <row r="2794">
      <c r="C2794" s="28"/>
      <c r="D2794" s="28"/>
      <c r="E2794" s="29"/>
      <c r="F2794" s="30"/>
      <c r="G2794" s="31"/>
      <c r="H2794" s="32"/>
      <c r="I2794" s="33"/>
      <c r="Q2794" s="8"/>
      <c r="R2794" s="8"/>
    </row>
    <row r="2795">
      <c r="C2795" s="28"/>
      <c r="D2795" s="28"/>
      <c r="E2795" s="29"/>
      <c r="F2795" s="30"/>
      <c r="G2795" s="31"/>
      <c r="H2795" s="32"/>
      <c r="I2795" s="33"/>
      <c r="Q2795" s="8"/>
      <c r="R2795" s="8"/>
    </row>
    <row r="2796">
      <c r="C2796" s="28"/>
      <c r="D2796" s="28"/>
      <c r="E2796" s="29"/>
      <c r="F2796" s="30"/>
      <c r="G2796" s="31"/>
      <c r="H2796" s="32"/>
      <c r="I2796" s="33"/>
      <c r="Q2796" s="8"/>
      <c r="R2796" s="8"/>
    </row>
    <row r="2797">
      <c r="C2797" s="28"/>
      <c r="D2797" s="28"/>
      <c r="E2797" s="29"/>
      <c r="F2797" s="30"/>
      <c r="G2797" s="31"/>
      <c r="H2797" s="32"/>
      <c r="I2797" s="33"/>
      <c r="Q2797" s="8"/>
      <c r="R2797" s="8"/>
    </row>
    <row r="2798">
      <c r="C2798" s="28"/>
      <c r="D2798" s="28"/>
      <c r="E2798" s="29"/>
      <c r="F2798" s="30"/>
      <c r="G2798" s="31"/>
      <c r="H2798" s="32"/>
      <c r="I2798" s="33"/>
      <c r="Q2798" s="8"/>
      <c r="R2798" s="8"/>
    </row>
    <row r="2799">
      <c r="C2799" s="28"/>
      <c r="D2799" s="28"/>
      <c r="E2799" s="29"/>
      <c r="F2799" s="30"/>
      <c r="G2799" s="31"/>
      <c r="H2799" s="32"/>
      <c r="I2799" s="33"/>
      <c r="Q2799" s="8"/>
      <c r="R2799" s="8"/>
    </row>
    <row r="2800">
      <c r="C2800" s="28"/>
      <c r="D2800" s="28"/>
      <c r="E2800" s="29"/>
      <c r="F2800" s="30"/>
      <c r="G2800" s="31"/>
      <c r="H2800" s="32"/>
      <c r="I2800" s="33"/>
      <c r="Q2800" s="8"/>
      <c r="R2800" s="8"/>
    </row>
    <row r="2801">
      <c r="C2801" s="28"/>
      <c r="D2801" s="28"/>
      <c r="E2801" s="29"/>
      <c r="F2801" s="30"/>
      <c r="G2801" s="31"/>
      <c r="H2801" s="32"/>
      <c r="I2801" s="33"/>
      <c r="Q2801" s="8"/>
      <c r="R2801" s="8"/>
    </row>
    <row r="2802">
      <c r="C2802" s="28"/>
      <c r="D2802" s="28"/>
      <c r="E2802" s="29"/>
      <c r="F2802" s="30"/>
      <c r="G2802" s="31"/>
      <c r="H2802" s="32"/>
      <c r="I2802" s="33"/>
      <c r="Q2802" s="8"/>
      <c r="R2802" s="8"/>
    </row>
    <row r="2803">
      <c r="C2803" s="28"/>
      <c r="D2803" s="28"/>
      <c r="E2803" s="29"/>
      <c r="F2803" s="30"/>
      <c r="G2803" s="31"/>
      <c r="H2803" s="32"/>
      <c r="I2803" s="33"/>
      <c r="Q2803" s="8"/>
      <c r="R2803" s="8"/>
    </row>
    <row r="2804">
      <c r="C2804" s="28"/>
      <c r="D2804" s="28"/>
      <c r="E2804" s="29"/>
      <c r="F2804" s="30"/>
      <c r="G2804" s="31"/>
      <c r="H2804" s="32"/>
      <c r="I2804" s="33"/>
      <c r="Q2804" s="8"/>
      <c r="R2804" s="8"/>
    </row>
    <row r="2805">
      <c r="C2805" s="28"/>
      <c r="D2805" s="28"/>
      <c r="E2805" s="29"/>
      <c r="F2805" s="30"/>
      <c r="G2805" s="31"/>
      <c r="H2805" s="32"/>
      <c r="I2805" s="33"/>
      <c r="Q2805" s="8"/>
      <c r="R2805" s="8"/>
    </row>
    <row r="2806">
      <c r="C2806" s="28"/>
      <c r="D2806" s="28"/>
      <c r="E2806" s="29"/>
      <c r="F2806" s="30"/>
      <c r="G2806" s="31"/>
      <c r="H2806" s="32"/>
      <c r="I2806" s="33"/>
      <c r="Q2806" s="8"/>
      <c r="R2806" s="8"/>
    </row>
    <row r="2807">
      <c r="C2807" s="28"/>
      <c r="D2807" s="28"/>
      <c r="E2807" s="29"/>
      <c r="F2807" s="30"/>
      <c r="G2807" s="31"/>
      <c r="H2807" s="32"/>
      <c r="I2807" s="33"/>
      <c r="Q2807" s="8"/>
      <c r="R2807" s="8"/>
    </row>
    <row r="2808">
      <c r="C2808" s="28"/>
      <c r="D2808" s="28"/>
      <c r="E2808" s="29"/>
      <c r="F2808" s="30"/>
      <c r="G2808" s="31"/>
      <c r="H2808" s="32"/>
      <c r="I2808" s="33"/>
      <c r="Q2808" s="8"/>
      <c r="R2808" s="8"/>
    </row>
    <row r="2809">
      <c r="C2809" s="28"/>
      <c r="D2809" s="28"/>
      <c r="E2809" s="29"/>
      <c r="F2809" s="30"/>
      <c r="G2809" s="31"/>
      <c r="H2809" s="32"/>
      <c r="I2809" s="33"/>
      <c r="Q2809" s="8"/>
      <c r="R2809" s="8"/>
    </row>
    <row r="2810">
      <c r="C2810" s="28"/>
      <c r="D2810" s="28"/>
      <c r="E2810" s="29"/>
      <c r="F2810" s="30"/>
      <c r="G2810" s="31"/>
      <c r="H2810" s="32"/>
      <c r="I2810" s="33"/>
      <c r="Q2810" s="8"/>
      <c r="R2810" s="8"/>
    </row>
    <row r="2811">
      <c r="C2811" s="28"/>
      <c r="D2811" s="28"/>
      <c r="E2811" s="29"/>
      <c r="F2811" s="30"/>
      <c r="G2811" s="31"/>
      <c r="H2811" s="32"/>
      <c r="I2811" s="33"/>
      <c r="Q2811" s="8"/>
      <c r="R2811" s="8"/>
    </row>
    <row r="2812">
      <c r="C2812" s="28"/>
      <c r="D2812" s="28"/>
      <c r="E2812" s="29"/>
      <c r="F2812" s="30"/>
      <c r="G2812" s="31"/>
      <c r="H2812" s="32"/>
      <c r="I2812" s="33"/>
      <c r="Q2812" s="8"/>
      <c r="R2812" s="8"/>
    </row>
    <row r="2813">
      <c r="C2813" s="28"/>
      <c r="D2813" s="28"/>
      <c r="E2813" s="29"/>
      <c r="F2813" s="30"/>
      <c r="G2813" s="31"/>
      <c r="H2813" s="32"/>
      <c r="I2813" s="33"/>
      <c r="Q2813" s="8"/>
      <c r="R2813" s="8"/>
    </row>
    <row r="2814">
      <c r="C2814" s="28"/>
      <c r="D2814" s="28"/>
      <c r="E2814" s="29"/>
      <c r="F2814" s="30"/>
      <c r="G2814" s="31"/>
      <c r="H2814" s="32"/>
      <c r="I2814" s="33"/>
      <c r="Q2814" s="8"/>
      <c r="R2814" s="8"/>
    </row>
    <row r="2815">
      <c r="C2815" s="28"/>
      <c r="D2815" s="28"/>
      <c r="E2815" s="29"/>
      <c r="F2815" s="30"/>
      <c r="G2815" s="31"/>
      <c r="H2815" s="32"/>
      <c r="I2815" s="33"/>
      <c r="Q2815" s="8"/>
      <c r="R2815" s="8"/>
    </row>
    <row r="2816">
      <c r="C2816" s="28"/>
      <c r="D2816" s="28"/>
      <c r="E2816" s="29"/>
      <c r="F2816" s="30"/>
      <c r="G2816" s="31"/>
      <c r="H2816" s="32"/>
      <c r="I2816" s="33"/>
      <c r="Q2816" s="8"/>
      <c r="R2816" s="8"/>
    </row>
    <row r="2817">
      <c r="C2817" s="28"/>
      <c r="D2817" s="28"/>
      <c r="E2817" s="29"/>
      <c r="F2817" s="30"/>
      <c r="G2817" s="31"/>
      <c r="H2817" s="32"/>
      <c r="I2817" s="33"/>
      <c r="Q2817" s="8"/>
      <c r="R2817" s="8"/>
    </row>
    <row r="2818">
      <c r="C2818" s="28"/>
      <c r="D2818" s="28"/>
      <c r="E2818" s="29"/>
      <c r="F2818" s="30"/>
      <c r="G2818" s="31"/>
      <c r="H2818" s="32"/>
      <c r="I2818" s="33"/>
      <c r="Q2818" s="8"/>
      <c r="R2818" s="8"/>
    </row>
    <row r="2819">
      <c r="C2819" s="28"/>
      <c r="D2819" s="28"/>
      <c r="E2819" s="29"/>
      <c r="F2819" s="30"/>
      <c r="G2819" s="31"/>
      <c r="H2819" s="32"/>
      <c r="I2819" s="33"/>
      <c r="Q2819" s="8"/>
      <c r="R2819" s="8"/>
    </row>
    <row r="2820">
      <c r="C2820" s="28"/>
      <c r="D2820" s="28"/>
      <c r="E2820" s="29"/>
      <c r="F2820" s="30"/>
      <c r="G2820" s="31"/>
      <c r="H2820" s="32"/>
      <c r="I2820" s="33"/>
      <c r="Q2820" s="8"/>
      <c r="R2820" s="8"/>
    </row>
    <row r="2821">
      <c r="C2821" s="28"/>
      <c r="D2821" s="28"/>
      <c r="E2821" s="29"/>
      <c r="F2821" s="30"/>
      <c r="G2821" s="31"/>
      <c r="H2821" s="32"/>
      <c r="I2821" s="33"/>
      <c r="Q2821" s="8"/>
      <c r="R2821" s="8"/>
    </row>
    <row r="2822">
      <c r="C2822" s="28"/>
      <c r="D2822" s="28"/>
      <c r="E2822" s="29"/>
      <c r="F2822" s="30"/>
      <c r="G2822" s="31"/>
      <c r="H2822" s="32"/>
      <c r="I2822" s="33"/>
      <c r="Q2822" s="8"/>
      <c r="R2822" s="8"/>
    </row>
    <row r="2823">
      <c r="C2823" s="28"/>
      <c r="D2823" s="28"/>
      <c r="E2823" s="29"/>
      <c r="F2823" s="30"/>
      <c r="G2823" s="31"/>
      <c r="H2823" s="32"/>
      <c r="I2823" s="33"/>
      <c r="Q2823" s="8"/>
      <c r="R2823" s="8"/>
    </row>
    <row r="2824">
      <c r="C2824" s="28"/>
      <c r="D2824" s="28"/>
      <c r="E2824" s="29"/>
      <c r="F2824" s="30"/>
      <c r="G2824" s="31"/>
      <c r="H2824" s="32"/>
      <c r="I2824" s="33"/>
      <c r="Q2824" s="8"/>
      <c r="R2824" s="8"/>
    </row>
    <row r="2825">
      <c r="C2825" s="28"/>
      <c r="D2825" s="28"/>
      <c r="E2825" s="29"/>
      <c r="F2825" s="30"/>
      <c r="G2825" s="31"/>
      <c r="H2825" s="32"/>
      <c r="I2825" s="33"/>
      <c r="Q2825" s="8"/>
      <c r="R2825" s="8"/>
    </row>
    <row r="2826">
      <c r="C2826" s="28"/>
      <c r="D2826" s="28"/>
      <c r="E2826" s="29"/>
      <c r="F2826" s="30"/>
      <c r="G2826" s="31"/>
      <c r="H2826" s="32"/>
      <c r="I2826" s="33"/>
      <c r="Q2826" s="8"/>
      <c r="R2826" s="8"/>
    </row>
    <row r="2827">
      <c r="C2827" s="28"/>
      <c r="D2827" s="28"/>
      <c r="E2827" s="29"/>
      <c r="F2827" s="30"/>
      <c r="G2827" s="31"/>
      <c r="H2827" s="32"/>
      <c r="I2827" s="33"/>
      <c r="Q2827" s="8"/>
      <c r="R2827" s="8"/>
    </row>
    <row r="2828">
      <c r="C2828" s="28"/>
      <c r="D2828" s="28"/>
      <c r="E2828" s="29"/>
      <c r="F2828" s="30"/>
      <c r="G2828" s="31"/>
      <c r="H2828" s="32"/>
      <c r="I2828" s="33"/>
      <c r="Q2828" s="8"/>
      <c r="R2828" s="8"/>
    </row>
    <row r="2829">
      <c r="C2829" s="28"/>
      <c r="D2829" s="28"/>
      <c r="E2829" s="29"/>
      <c r="F2829" s="30"/>
      <c r="G2829" s="31"/>
      <c r="H2829" s="32"/>
      <c r="I2829" s="33"/>
      <c r="Q2829" s="8"/>
      <c r="R2829" s="8"/>
    </row>
    <row r="2830">
      <c r="C2830" s="28"/>
      <c r="D2830" s="28"/>
      <c r="E2830" s="29"/>
      <c r="F2830" s="30"/>
      <c r="G2830" s="31"/>
      <c r="H2830" s="32"/>
      <c r="I2830" s="33"/>
      <c r="Q2830" s="8"/>
      <c r="R2830" s="8"/>
    </row>
    <row r="2831">
      <c r="C2831" s="28"/>
      <c r="D2831" s="28"/>
      <c r="E2831" s="29"/>
      <c r="F2831" s="30"/>
      <c r="G2831" s="31"/>
      <c r="H2831" s="32"/>
      <c r="I2831" s="33"/>
      <c r="Q2831" s="8"/>
      <c r="R2831" s="8"/>
    </row>
    <row r="2832">
      <c r="C2832" s="28"/>
      <c r="D2832" s="28"/>
      <c r="E2832" s="29"/>
      <c r="F2832" s="30"/>
      <c r="G2832" s="31"/>
      <c r="H2832" s="32"/>
      <c r="I2832" s="33"/>
      <c r="Q2832" s="8"/>
      <c r="R2832" s="8"/>
    </row>
    <row r="2833">
      <c r="C2833" s="28"/>
      <c r="D2833" s="28"/>
      <c r="E2833" s="29"/>
      <c r="F2833" s="30"/>
      <c r="G2833" s="31"/>
      <c r="H2833" s="32"/>
      <c r="I2833" s="33"/>
      <c r="Q2833" s="8"/>
      <c r="R2833" s="8"/>
    </row>
    <row r="2834">
      <c r="C2834" s="28"/>
      <c r="D2834" s="28"/>
      <c r="E2834" s="29"/>
      <c r="F2834" s="30"/>
      <c r="G2834" s="31"/>
      <c r="H2834" s="32"/>
      <c r="I2834" s="33"/>
      <c r="Q2834" s="8"/>
      <c r="R2834" s="8"/>
    </row>
    <row r="2835">
      <c r="C2835" s="28"/>
      <c r="D2835" s="28"/>
      <c r="E2835" s="29"/>
      <c r="F2835" s="30"/>
      <c r="G2835" s="31"/>
      <c r="H2835" s="32"/>
      <c r="I2835" s="33"/>
      <c r="Q2835" s="8"/>
      <c r="R2835" s="8"/>
    </row>
    <row r="2836">
      <c r="C2836" s="28"/>
      <c r="D2836" s="28"/>
      <c r="E2836" s="29"/>
      <c r="F2836" s="30"/>
      <c r="G2836" s="31"/>
      <c r="H2836" s="32"/>
      <c r="I2836" s="33"/>
      <c r="Q2836" s="8"/>
      <c r="R2836" s="8"/>
    </row>
    <row r="2837">
      <c r="C2837" s="28"/>
      <c r="D2837" s="28"/>
      <c r="E2837" s="29"/>
      <c r="F2837" s="30"/>
      <c r="G2837" s="31"/>
      <c r="H2837" s="32"/>
      <c r="I2837" s="33"/>
      <c r="Q2837" s="8"/>
      <c r="R2837" s="8"/>
    </row>
    <row r="2838">
      <c r="C2838" s="28"/>
      <c r="D2838" s="28"/>
      <c r="E2838" s="29"/>
      <c r="F2838" s="30"/>
      <c r="G2838" s="31"/>
      <c r="H2838" s="32"/>
      <c r="I2838" s="33"/>
      <c r="Q2838" s="8"/>
      <c r="R2838" s="8"/>
    </row>
    <row r="2839">
      <c r="C2839" s="28"/>
      <c r="D2839" s="28"/>
      <c r="E2839" s="29"/>
      <c r="F2839" s="30"/>
      <c r="G2839" s="31"/>
      <c r="H2839" s="32"/>
      <c r="I2839" s="33"/>
      <c r="Q2839" s="8"/>
      <c r="R2839" s="8"/>
    </row>
    <row r="2840">
      <c r="C2840" s="28"/>
      <c r="D2840" s="28"/>
      <c r="E2840" s="29"/>
      <c r="F2840" s="30"/>
      <c r="G2840" s="31"/>
      <c r="H2840" s="32"/>
      <c r="I2840" s="33"/>
      <c r="Q2840" s="8"/>
      <c r="R2840" s="8"/>
    </row>
    <row r="2841">
      <c r="C2841" s="28"/>
      <c r="D2841" s="28"/>
      <c r="E2841" s="29"/>
      <c r="F2841" s="30"/>
      <c r="G2841" s="31"/>
      <c r="H2841" s="32"/>
      <c r="I2841" s="33"/>
      <c r="Q2841" s="8"/>
      <c r="R2841" s="8"/>
    </row>
    <row r="2842">
      <c r="C2842" s="28"/>
      <c r="D2842" s="28"/>
      <c r="E2842" s="29"/>
      <c r="F2842" s="30"/>
      <c r="G2842" s="31"/>
      <c r="H2842" s="32"/>
      <c r="I2842" s="33"/>
      <c r="Q2842" s="8"/>
      <c r="R2842" s="8"/>
    </row>
    <row r="2843">
      <c r="C2843" s="28"/>
      <c r="D2843" s="28"/>
      <c r="E2843" s="29"/>
      <c r="F2843" s="30"/>
      <c r="G2843" s="31"/>
      <c r="H2843" s="32"/>
      <c r="I2843" s="33"/>
      <c r="Q2843" s="8"/>
      <c r="R2843" s="8"/>
    </row>
    <row r="2844">
      <c r="C2844" s="28"/>
      <c r="D2844" s="28"/>
      <c r="E2844" s="29"/>
      <c r="F2844" s="30"/>
      <c r="G2844" s="31"/>
      <c r="H2844" s="32"/>
      <c r="I2844" s="33"/>
      <c r="Q2844" s="8"/>
      <c r="R2844" s="8"/>
    </row>
    <row r="2845">
      <c r="C2845" s="28"/>
      <c r="D2845" s="28"/>
      <c r="E2845" s="29"/>
      <c r="F2845" s="30"/>
      <c r="G2845" s="31"/>
      <c r="H2845" s="32"/>
      <c r="I2845" s="33"/>
      <c r="Q2845" s="8"/>
      <c r="R2845" s="8"/>
    </row>
    <row r="2846">
      <c r="C2846" s="28"/>
      <c r="D2846" s="28"/>
      <c r="E2846" s="29"/>
      <c r="F2846" s="30"/>
      <c r="G2846" s="31"/>
      <c r="H2846" s="32"/>
      <c r="I2846" s="33"/>
      <c r="Q2846" s="8"/>
      <c r="R2846" s="8"/>
    </row>
    <row r="2847">
      <c r="C2847" s="28"/>
      <c r="D2847" s="28"/>
      <c r="E2847" s="29"/>
      <c r="F2847" s="30"/>
      <c r="G2847" s="31"/>
      <c r="H2847" s="32"/>
      <c r="I2847" s="33"/>
      <c r="Q2847" s="8"/>
      <c r="R2847" s="8"/>
    </row>
    <row r="2848">
      <c r="C2848" s="28"/>
      <c r="D2848" s="28"/>
      <c r="E2848" s="29"/>
      <c r="F2848" s="30"/>
      <c r="G2848" s="31"/>
      <c r="H2848" s="32"/>
      <c r="I2848" s="33"/>
      <c r="Q2848" s="8"/>
      <c r="R2848" s="8"/>
    </row>
    <row r="2849">
      <c r="C2849" s="28"/>
      <c r="D2849" s="28"/>
      <c r="E2849" s="29"/>
      <c r="F2849" s="30"/>
      <c r="G2849" s="31"/>
      <c r="H2849" s="32"/>
      <c r="I2849" s="33"/>
      <c r="Q2849" s="8"/>
      <c r="R2849" s="8"/>
    </row>
    <row r="2850">
      <c r="C2850" s="28"/>
      <c r="D2850" s="28"/>
      <c r="E2850" s="29"/>
      <c r="F2850" s="30"/>
      <c r="G2850" s="31"/>
      <c r="H2850" s="32"/>
      <c r="I2850" s="33"/>
      <c r="Q2850" s="8"/>
      <c r="R2850" s="8"/>
    </row>
    <row r="2851">
      <c r="C2851" s="28"/>
      <c r="D2851" s="28"/>
      <c r="E2851" s="29"/>
      <c r="F2851" s="30"/>
      <c r="G2851" s="31"/>
      <c r="H2851" s="32"/>
      <c r="I2851" s="33"/>
      <c r="Q2851" s="8"/>
      <c r="R2851" s="8"/>
    </row>
    <row r="2852">
      <c r="C2852" s="28"/>
      <c r="D2852" s="28"/>
      <c r="E2852" s="29"/>
      <c r="F2852" s="30"/>
      <c r="G2852" s="31"/>
      <c r="H2852" s="32"/>
      <c r="I2852" s="33"/>
      <c r="Q2852" s="8"/>
      <c r="R2852" s="8"/>
    </row>
    <row r="2853">
      <c r="C2853" s="28"/>
      <c r="D2853" s="28"/>
      <c r="E2853" s="29"/>
      <c r="F2853" s="30"/>
      <c r="G2853" s="31"/>
      <c r="H2853" s="32"/>
      <c r="I2853" s="33"/>
      <c r="Q2853" s="8"/>
      <c r="R2853" s="8"/>
    </row>
    <row r="2854">
      <c r="C2854" s="28"/>
      <c r="D2854" s="28"/>
      <c r="E2854" s="29"/>
      <c r="F2854" s="30"/>
      <c r="G2854" s="31"/>
      <c r="H2854" s="32"/>
      <c r="I2854" s="33"/>
      <c r="Q2854" s="8"/>
      <c r="R2854" s="8"/>
    </row>
    <row r="2855">
      <c r="C2855" s="28"/>
      <c r="D2855" s="28"/>
      <c r="E2855" s="29"/>
      <c r="F2855" s="30"/>
      <c r="G2855" s="31"/>
      <c r="H2855" s="32"/>
      <c r="I2855" s="33"/>
      <c r="Q2855" s="8"/>
      <c r="R2855" s="8"/>
    </row>
    <row r="2856">
      <c r="C2856" s="28"/>
      <c r="D2856" s="28"/>
      <c r="E2856" s="29"/>
      <c r="F2856" s="30"/>
      <c r="G2856" s="31"/>
      <c r="H2856" s="32"/>
      <c r="I2856" s="33"/>
      <c r="Q2856" s="8"/>
      <c r="R2856" s="8"/>
    </row>
    <row r="2857">
      <c r="C2857" s="28"/>
      <c r="D2857" s="28"/>
      <c r="E2857" s="29"/>
      <c r="F2857" s="30"/>
      <c r="G2857" s="31"/>
      <c r="H2857" s="32"/>
      <c r="I2857" s="33"/>
      <c r="Q2857" s="8"/>
      <c r="R2857" s="8"/>
    </row>
    <row r="2858">
      <c r="C2858" s="28"/>
      <c r="D2858" s="28"/>
      <c r="E2858" s="29"/>
      <c r="F2858" s="30"/>
      <c r="G2858" s="31"/>
      <c r="H2858" s="32"/>
      <c r="I2858" s="33"/>
      <c r="Q2858" s="8"/>
      <c r="R2858" s="8"/>
    </row>
    <row r="2859">
      <c r="C2859" s="28"/>
      <c r="D2859" s="28"/>
      <c r="E2859" s="29"/>
      <c r="F2859" s="30"/>
      <c r="G2859" s="31"/>
      <c r="H2859" s="32"/>
      <c r="I2859" s="33"/>
      <c r="Q2859" s="8"/>
      <c r="R2859" s="8"/>
    </row>
    <row r="2860">
      <c r="C2860" s="28"/>
      <c r="D2860" s="28"/>
      <c r="E2860" s="29"/>
      <c r="F2860" s="30"/>
      <c r="G2860" s="31"/>
      <c r="H2860" s="32"/>
      <c r="I2860" s="33"/>
      <c r="Q2860" s="8"/>
      <c r="R2860" s="8"/>
    </row>
    <row r="2861">
      <c r="C2861" s="28"/>
      <c r="D2861" s="28"/>
      <c r="E2861" s="29"/>
      <c r="F2861" s="30"/>
      <c r="G2861" s="31"/>
      <c r="H2861" s="32"/>
      <c r="I2861" s="33"/>
      <c r="Q2861" s="8"/>
      <c r="R2861" s="8"/>
    </row>
    <row r="2862">
      <c r="C2862" s="28"/>
      <c r="D2862" s="28"/>
      <c r="E2862" s="29"/>
      <c r="F2862" s="30"/>
      <c r="G2862" s="31"/>
      <c r="H2862" s="32"/>
      <c r="I2862" s="33"/>
      <c r="Q2862" s="8"/>
      <c r="R2862" s="8"/>
    </row>
    <row r="2863">
      <c r="C2863" s="28"/>
      <c r="D2863" s="28"/>
      <c r="E2863" s="29"/>
      <c r="F2863" s="30"/>
      <c r="G2863" s="31"/>
      <c r="H2863" s="32"/>
      <c r="I2863" s="33"/>
      <c r="Q2863" s="8"/>
      <c r="R2863" s="8"/>
    </row>
    <row r="2864">
      <c r="C2864" s="28"/>
      <c r="D2864" s="28"/>
      <c r="E2864" s="29"/>
      <c r="F2864" s="30"/>
      <c r="G2864" s="31"/>
      <c r="H2864" s="32"/>
      <c r="I2864" s="33"/>
      <c r="Q2864" s="8"/>
      <c r="R2864" s="8"/>
    </row>
    <row r="2865">
      <c r="C2865" s="28"/>
      <c r="D2865" s="28"/>
      <c r="E2865" s="29"/>
      <c r="F2865" s="30"/>
      <c r="G2865" s="31"/>
      <c r="H2865" s="32"/>
      <c r="I2865" s="33"/>
      <c r="Q2865" s="8"/>
      <c r="R2865" s="8"/>
    </row>
    <row r="2866">
      <c r="C2866" s="28"/>
      <c r="D2866" s="28"/>
      <c r="E2866" s="29"/>
      <c r="F2866" s="30"/>
      <c r="G2866" s="31"/>
      <c r="H2866" s="32"/>
      <c r="I2866" s="33"/>
      <c r="Q2866" s="8"/>
      <c r="R2866" s="8"/>
    </row>
    <row r="2867">
      <c r="C2867" s="28"/>
      <c r="D2867" s="28"/>
      <c r="E2867" s="29"/>
      <c r="F2867" s="30"/>
      <c r="G2867" s="31"/>
      <c r="H2867" s="32"/>
      <c r="I2867" s="33"/>
      <c r="Q2867" s="8"/>
      <c r="R2867" s="8"/>
    </row>
    <row r="2868">
      <c r="C2868" s="28"/>
      <c r="D2868" s="28"/>
      <c r="E2868" s="29"/>
      <c r="F2868" s="30"/>
      <c r="G2868" s="31"/>
      <c r="H2868" s="32"/>
      <c r="I2868" s="33"/>
      <c r="Q2868" s="8"/>
      <c r="R2868" s="8"/>
    </row>
    <row r="2869">
      <c r="C2869" s="28"/>
      <c r="D2869" s="28"/>
      <c r="E2869" s="29"/>
      <c r="F2869" s="30"/>
      <c r="G2869" s="31"/>
      <c r="H2869" s="32"/>
      <c r="I2869" s="33"/>
      <c r="Q2869" s="8"/>
      <c r="R2869" s="8"/>
    </row>
    <row r="2870">
      <c r="C2870" s="28"/>
      <c r="D2870" s="28"/>
      <c r="E2870" s="29"/>
      <c r="F2870" s="30"/>
      <c r="G2870" s="31"/>
      <c r="H2870" s="32"/>
      <c r="I2870" s="33"/>
      <c r="Q2870" s="8"/>
      <c r="R2870" s="8"/>
    </row>
    <row r="2871">
      <c r="C2871" s="28"/>
      <c r="D2871" s="28"/>
      <c r="E2871" s="29"/>
      <c r="F2871" s="30"/>
      <c r="G2871" s="31"/>
      <c r="H2871" s="32"/>
      <c r="I2871" s="33"/>
      <c r="Q2871" s="8"/>
      <c r="R2871" s="8"/>
    </row>
    <row r="2872">
      <c r="C2872" s="28"/>
      <c r="D2872" s="28"/>
      <c r="E2872" s="29"/>
      <c r="F2872" s="30"/>
      <c r="G2872" s="31"/>
      <c r="H2872" s="32"/>
      <c r="I2872" s="33"/>
      <c r="Q2872" s="8"/>
      <c r="R2872" s="8"/>
    </row>
    <row r="2873">
      <c r="C2873" s="28"/>
      <c r="D2873" s="28"/>
      <c r="E2873" s="29"/>
      <c r="F2873" s="30"/>
      <c r="G2873" s="31"/>
      <c r="H2873" s="32"/>
      <c r="I2873" s="33"/>
      <c r="Q2873" s="8"/>
      <c r="R2873" s="8"/>
    </row>
    <row r="2874">
      <c r="C2874" s="28"/>
      <c r="D2874" s="28"/>
      <c r="E2874" s="29"/>
      <c r="F2874" s="30"/>
      <c r="G2874" s="31"/>
      <c r="H2874" s="32"/>
      <c r="I2874" s="33"/>
      <c r="Q2874" s="8"/>
      <c r="R2874" s="8"/>
    </row>
    <row r="2875">
      <c r="C2875" s="28"/>
      <c r="D2875" s="28"/>
      <c r="E2875" s="29"/>
      <c r="F2875" s="30"/>
      <c r="G2875" s="31"/>
      <c r="H2875" s="32"/>
      <c r="I2875" s="33"/>
      <c r="Q2875" s="8"/>
      <c r="R2875" s="8"/>
    </row>
    <row r="2876">
      <c r="C2876" s="28"/>
      <c r="D2876" s="28"/>
      <c r="E2876" s="29"/>
      <c r="F2876" s="30"/>
      <c r="G2876" s="31"/>
      <c r="H2876" s="32"/>
      <c r="I2876" s="33"/>
      <c r="Q2876" s="8"/>
      <c r="R2876" s="8"/>
    </row>
    <row r="2877">
      <c r="C2877" s="28"/>
      <c r="D2877" s="28"/>
      <c r="E2877" s="29"/>
      <c r="F2877" s="30"/>
      <c r="G2877" s="31"/>
      <c r="H2877" s="32"/>
      <c r="I2877" s="33"/>
      <c r="Q2877" s="8"/>
      <c r="R2877" s="8"/>
    </row>
    <row r="2878">
      <c r="C2878" s="28"/>
      <c r="D2878" s="28"/>
      <c r="E2878" s="29"/>
      <c r="F2878" s="30"/>
      <c r="G2878" s="31"/>
      <c r="H2878" s="32"/>
      <c r="I2878" s="33"/>
      <c r="Q2878" s="8"/>
      <c r="R2878" s="8"/>
    </row>
    <row r="2879">
      <c r="C2879" s="28"/>
      <c r="D2879" s="28"/>
      <c r="E2879" s="29"/>
      <c r="F2879" s="30"/>
      <c r="G2879" s="31"/>
      <c r="H2879" s="32"/>
      <c r="I2879" s="33"/>
      <c r="Q2879" s="8"/>
      <c r="R2879" s="8"/>
    </row>
    <row r="2880">
      <c r="C2880" s="28"/>
      <c r="D2880" s="28"/>
      <c r="E2880" s="29"/>
      <c r="F2880" s="30"/>
      <c r="G2880" s="31"/>
      <c r="H2880" s="32"/>
      <c r="I2880" s="33"/>
      <c r="Q2880" s="8"/>
      <c r="R2880" s="8"/>
    </row>
    <row r="2881">
      <c r="C2881" s="28"/>
      <c r="D2881" s="28"/>
      <c r="E2881" s="29"/>
      <c r="F2881" s="30"/>
      <c r="G2881" s="31"/>
      <c r="H2881" s="32"/>
      <c r="I2881" s="33"/>
      <c r="Q2881" s="8"/>
      <c r="R2881" s="8"/>
    </row>
    <row r="2882">
      <c r="C2882" s="28"/>
      <c r="D2882" s="28"/>
      <c r="E2882" s="29"/>
      <c r="F2882" s="30"/>
      <c r="G2882" s="31"/>
      <c r="H2882" s="32"/>
      <c r="I2882" s="33"/>
      <c r="Q2882" s="8"/>
      <c r="R2882" s="8"/>
    </row>
    <row r="2883">
      <c r="C2883" s="28"/>
      <c r="D2883" s="28"/>
      <c r="E2883" s="29"/>
      <c r="F2883" s="30"/>
      <c r="G2883" s="31"/>
      <c r="H2883" s="32"/>
      <c r="I2883" s="33"/>
      <c r="Q2883" s="8"/>
      <c r="R2883" s="8"/>
    </row>
    <row r="2884">
      <c r="C2884" s="28"/>
      <c r="D2884" s="28"/>
      <c r="E2884" s="29"/>
      <c r="F2884" s="30"/>
      <c r="G2884" s="31"/>
      <c r="H2884" s="32"/>
      <c r="I2884" s="33"/>
      <c r="Q2884" s="8"/>
      <c r="R2884" s="8"/>
    </row>
    <row r="2885">
      <c r="C2885" s="28"/>
      <c r="D2885" s="28"/>
      <c r="E2885" s="29"/>
      <c r="F2885" s="30"/>
      <c r="G2885" s="31"/>
      <c r="H2885" s="32"/>
      <c r="I2885" s="33"/>
      <c r="Q2885" s="8"/>
      <c r="R2885" s="8"/>
    </row>
    <row r="2886">
      <c r="C2886" s="28"/>
      <c r="D2886" s="28"/>
      <c r="E2886" s="29"/>
      <c r="F2886" s="30"/>
      <c r="G2886" s="31"/>
      <c r="H2886" s="32"/>
      <c r="I2886" s="33"/>
      <c r="Q2886" s="8"/>
      <c r="R2886" s="8"/>
    </row>
    <row r="2887">
      <c r="C2887" s="28"/>
      <c r="D2887" s="28"/>
      <c r="E2887" s="29"/>
      <c r="F2887" s="30"/>
      <c r="G2887" s="31"/>
      <c r="H2887" s="32"/>
      <c r="I2887" s="33"/>
      <c r="Q2887" s="8"/>
      <c r="R2887" s="8"/>
    </row>
    <row r="2888">
      <c r="C2888" s="28"/>
      <c r="D2888" s="28"/>
      <c r="E2888" s="29"/>
      <c r="F2888" s="30"/>
      <c r="G2888" s="31"/>
      <c r="H2888" s="32"/>
      <c r="I2888" s="33"/>
      <c r="Q2888" s="8"/>
      <c r="R2888" s="8"/>
    </row>
    <row r="2889">
      <c r="C2889" s="28"/>
      <c r="D2889" s="28"/>
      <c r="E2889" s="29"/>
      <c r="F2889" s="30"/>
      <c r="G2889" s="31"/>
      <c r="H2889" s="32"/>
      <c r="I2889" s="33"/>
      <c r="Q2889" s="8"/>
      <c r="R2889" s="8"/>
    </row>
    <row r="2890">
      <c r="C2890" s="28"/>
      <c r="D2890" s="28"/>
      <c r="E2890" s="29"/>
      <c r="F2890" s="30"/>
      <c r="G2890" s="31"/>
      <c r="H2890" s="32"/>
      <c r="I2890" s="33"/>
      <c r="Q2890" s="8"/>
      <c r="R2890" s="8"/>
    </row>
    <row r="2891">
      <c r="C2891" s="28"/>
      <c r="D2891" s="28"/>
      <c r="E2891" s="29"/>
      <c r="F2891" s="30"/>
      <c r="G2891" s="31"/>
      <c r="H2891" s="32"/>
      <c r="I2891" s="33"/>
      <c r="Q2891" s="8"/>
      <c r="R2891" s="8"/>
    </row>
    <row r="2892">
      <c r="C2892" s="28"/>
      <c r="D2892" s="28"/>
      <c r="E2892" s="29"/>
      <c r="F2892" s="30"/>
      <c r="G2892" s="31"/>
      <c r="H2892" s="32"/>
      <c r="I2892" s="33"/>
      <c r="Q2892" s="8"/>
      <c r="R2892" s="8"/>
    </row>
    <row r="2893">
      <c r="C2893" s="28"/>
      <c r="D2893" s="28"/>
      <c r="E2893" s="29"/>
      <c r="F2893" s="30"/>
      <c r="G2893" s="31"/>
      <c r="H2893" s="32"/>
      <c r="I2893" s="33"/>
      <c r="Q2893" s="8"/>
      <c r="R2893" s="8"/>
    </row>
    <row r="2894">
      <c r="C2894" s="28"/>
      <c r="D2894" s="28"/>
      <c r="E2894" s="29"/>
      <c r="F2894" s="30"/>
      <c r="G2894" s="31"/>
      <c r="H2894" s="32"/>
      <c r="I2894" s="33"/>
      <c r="Q2894" s="8"/>
      <c r="R2894" s="8"/>
    </row>
    <row r="2895">
      <c r="C2895" s="28"/>
      <c r="D2895" s="28"/>
      <c r="E2895" s="29"/>
      <c r="F2895" s="30"/>
      <c r="G2895" s="31"/>
      <c r="H2895" s="32"/>
      <c r="I2895" s="33"/>
      <c r="Q2895" s="8"/>
      <c r="R2895" s="8"/>
    </row>
    <row r="2896">
      <c r="C2896" s="28"/>
      <c r="D2896" s="28"/>
      <c r="E2896" s="29"/>
      <c r="F2896" s="30"/>
      <c r="G2896" s="31"/>
      <c r="H2896" s="32"/>
      <c r="I2896" s="33"/>
      <c r="Q2896" s="8"/>
      <c r="R2896" s="8"/>
    </row>
    <row r="2897">
      <c r="C2897" s="28"/>
      <c r="D2897" s="28"/>
      <c r="E2897" s="29"/>
      <c r="F2897" s="30"/>
      <c r="G2897" s="31"/>
      <c r="H2897" s="32"/>
      <c r="I2897" s="33"/>
      <c r="Q2897" s="8"/>
      <c r="R2897" s="8"/>
    </row>
    <row r="2898">
      <c r="C2898" s="28"/>
      <c r="D2898" s="28"/>
      <c r="E2898" s="29"/>
      <c r="F2898" s="30"/>
      <c r="G2898" s="31"/>
      <c r="H2898" s="32"/>
      <c r="I2898" s="33"/>
      <c r="Q2898" s="8"/>
      <c r="R2898" s="8"/>
    </row>
    <row r="2899">
      <c r="C2899" s="28"/>
      <c r="D2899" s="28"/>
      <c r="E2899" s="29"/>
      <c r="F2899" s="30"/>
      <c r="G2899" s="31"/>
      <c r="H2899" s="32"/>
      <c r="I2899" s="33"/>
      <c r="Q2899" s="8"/>
      <c r="R2899" s="8"/>
    </row>
    <row r="2900">
      <c r="C2900" s="28"/>
      <c r="D2900" s="28"/>
      <c r="E2900" s="29"/>
      <c r="F2900" s="30"/>
      <c r="G2900" s="31"/>
      <c r="H2900" s="32"/>
      <c r="I2900" s="33"/>
      <c r="Q2900" s="8"/>
      <c r="R2900" s="8"/>
    </row>
    <row r="2901">
      <c r="C2901" s="28"/>
      <c r="D2901" s="28"/>
      <c r="E2901" s="29"/>
      <c r="F2901" s="30"/>
      <c r="G2901" s="31"/>
      <c r="H2901" s="32"/>
      <c r="I2901" s="33"/>
      <c r="Q2901" s="8"/>
      <c r="R2901" s="8"/>
    </row>
    <row r="2902">
      <c r="C2902" s="28"/>
      <c r="D2902" s="28"/>
      <c r="E2902" s="29"/>
      <c r="F2902" s="30"/>
      <c r="G2902" s="31"/>
      <c r="H2902" s="32"/>
      <c r="I2902" s="33"/>
      <c r="Q2902" s="8"/>
      <c r="R2902" s="8"/>
    </row>
    <row r="2903">
      <c r="C2903" s="28"/>
      <c r="D2903" s="28"/>
      <c r="E2903" s="29"/>
      <c r="F2903" s="30"/>
      <c r="G2903" s="31"/>
      <c r="H2903" s="32"/>
      <c r="I2903" s="33"/>
      <c r="Q2903" s="8"/>
      <c r="R2903" s="8"/>
    </row>
    <row r="2904">
      <c r="C2904" s="28"/>
      <c r="D2904" s="28"/>
      <c r="E2904" s="29"/>
      <c r="F2904" s="30"/>
      <c r="G2904" s="31"/>
      <c r="H2904" s="32"/>
      <c r="I2904" s="33"/>
      <c r="Q2904" s="8"/>
      <c r="R2904" s="8"/>
    </row>
    <row r="2905">
      <c r="C2905" s="28"/>
      <c r="D2905" s="28"/>
      <c r="E2905" s="29"/>
      <c r="F2905" s="30"/>
      <c r="G2905" s="31"/>
      <c r="H2905" s="32"/>
      <c r="I2905" s="33"/>
      <c r="Q2905" s="8"/>
      <c r="R2905" s="8"/>
    </row>
    <row r="2906">
      <c r="C2906" s="28"/>
      <c r="D2906" s="28"/>
      <c r="E2906" s="29"/>
      <c r="F2906" s="30"/>
      <c r="G2906" s="31"/>
      <c r="H2906" s="32"/>
      <c r="I2906" s="33"/>
      <c r="Q2906" s="8"/>
      <c r="R2906" s="8"/>
    </row>
    <row r="2907">
      <c r="C2907" s="28"/>
      <c r="D2907" s="28"/>
      <c r="E2907" s="29"/>
      <c r="F2907" s="30"/>
      <c r="G2907" s="31"/>
      <c r="H2907" s="32"/>
      <c r="I2907" s="33"/>
      <c r="Q2907" s="8"/>
      <c r="R2907" s="8"/>
    </row>
    <row r="2908">
      <c r="C2908" s="28"/>
      <c r="D2908" s="28"/>
      <c r="E2908" s="29"/>
      <c r="F2908" s="30"/>
      <c r="G2908" s="31"/>
      <c r="H2908" s="32"/>
      <c r="I2908" s="33"/>
      <c r="Q2908" s="8"/>
      <c r="R2908" s="8"/>
    </row>
    <row r="2909">
      <c r="C2909" s="28"/>
      <c r="D2909" s="28"/>
      <c r="E2909" s="29"/>
      <c r="F2909" s="30"/>
      <c r="G2909" s="31"/>
      <c r="H2909" s="32"/>
      <c r="I2909" s="33"/>
      <c r="Q2909" s="8"/>
      <c r="R2909" s="8"/>
    </row>
    <row r="2910">
      <c r="C2910" s="28"/>
      <c r="D2910" s="28"/>
      <c r="E2910" s="29"/>
      <c r="F2910" s="30"/>
      <c r="G2910" s="31"/>
      <c r="H2910" s="32"/>
      <c r="I2910" s="33"/>
      <c r="Q2910" s="8"/>
      <c r="R2910" s="8"/>
    </row>
    <row r="2911">
      <c r="C2911" s="28"/>
      <c r="D2911" s="28"/>
      <c r="E2911" s="29"/>
      <c r="F2911" s="30"/>
      <c r="G2911" s="31"/>
      <c r="H2911" s="32"/>
      <c r="I2911" s="33"/>
      <c r="Q2911" s="8"/>
      <c r="R2911" s="8"/>
    </row>
    <row r="2912">
      <c r="C2912" s="28"/>
      <c r="D2912" s="28"/>
      <c r="E2912" s="29"/>
      <c r="F2912" s="30"/>
      <c r="G2912" s="31"/>
      <c r="H2912" s="32"/>
      <c r="I2912" s="33"/>
      <c r="Q2912" s="8"/>
      <c r="R2912" s="8"/>
    </row>
    <row r="2913">
      <c r="C2913" s="28"/>
      <c r="D2913" s="28"/>
      <c r="E2913" s="29"/>
      <c r="F2913" s="30"/>
      <c r="G2913" s="31"/>
      <c r="H2913" s="32"/>
      <c r="I2913" s="33"/>
      <c r="Q2913" s="8"/>
      <c r="R2913" s="8"/>
    </row>
    <row r="2914">
      <c r="C2914" s="28"/>
      <c r="D2914" s="28"/>
      <c r="E2914" s="29"/>
      <c r="F2914" s="30"/>
      <c r="G2914" s="31"/>
      <c r="H2914" s="32"/>
      <c r="I2914" s="33"/>
      <c r="Q2914" s="8"/>
      <c r="R2914" s="8"/>
    </row>
    <row r="2915">
      <c r="C2915" s="28"/>
      <c r="D2915" s="28"/>
      <c r="E2915" s="29"/>
      <c r="F2915" s="30"/>
      <c r="G2915" s="31"/>
      <c r="H2915" s="32"/>
      <c r="I2915" s="33"/>
      <c r="Q2915" s="8"/>
      <c r="R2915" s="8"/>
    </row>
    <row r="2916">
      <c r="C2916" s="28"/>
      <c r="D2916" s="28"/>
      <c r="E2916" s="29"/>
      <c r="F2916" s="30"/>
      <c r="G2916" s="31"/>
      <c r="H2916" s="32"/>
      <c r="I2916" s="33"/>
      <c r="Q2916" s="8"/>
      <c r="R2916" s="8"/>
    </row>
    <row r="2917">
      <c r="C2917" s="28"/>
      <c r="D2917" s="28"/>
      <c r="E2917" s="29"/>
      <c r="F2917" s="30"/>
      <c r="G2917" s="31"/>
      <c r="H2917" s="32"/>
      <c r="I2917" s="33"/>
      <c r="Q2917" s="8"/>
      <c r="R2917" s="8"/>
    </row>
    <row r="2918">
      <c r="C2918" s="28"/>
      <c r="D2918" s="28"/>
      <c r="E2918" s="29"/>
      <c r="F2918" s="30"/>
      <c r="G2918" s="31"/>
      <c r="H2918" s="32"/>
      <c r="I2918" s="33"/>
      <c r="Q2918" s="8"/>
      <c r="R2918" s="8"/>
    </row>
    <row r="2919">
      <c r="C2919" s="28"/>
      <c r="D2919" s="28"/>
      <c r="E2919" s="29"/>
      <c r="F2919" s="30"/>
      <c r="G2919" s="31"/>
      <c r="H2919" s="32"/>
      <c r="I2919" s="33"/>
      <c r="Q2919" s="8"/>
      <c r="R2919" s="8"/>
    </row>
    <row r="2920">
      <c r="C2920" s="28"/>
      <c r="D2920" s="28"/>
      <c r="E2920" s="29"/>
      <c r="F2920" s="30"/>
      <c r="G2920" s="31"/>
      <c r="H2920" s="32"/>
      <c r="I2920" s="33"/>
      <c r="Q2920" s="8"/>
      <c r="R2920" s="8"/>
    </row>
    <row r="2921">
      <c r="C2921" s="28"/>
      <c r="D2921" s="28"/>
      <c r="E2921" s="29"/>
      <c r="F2921" s="30"/>
      <c r="G2921" s="31"/>
      <c r="H2921" s="32"/>
      <c r="I2921" s="33"/>
      <c r="Q2921" s="8"/>
      <c r="R2921" s="8"/>
    </row>
    <row r="2922">
      <c r="C2922" s="28"/>
      <c r="D2922" s="28"/>
      <c r="E2922" s="29"/>
      <c r="F2922" s="30"/>
      <c r="G2922" s="31"/>
      <c r="H2922" s="32"/>
      <c r="I2922" s="33"/>
      <c r="Q2922" s="8"/>
      <c r="R2922" s="8"/>
    </row>
    <row r="2923">
      <c r="C2923" s="28"/>
      <c r="D2923" s="28"/>
      <c r="E2923" s="29"/>
      <c r="F2923" s="30"/>
      <c r="G2923" s="31"/>
      <c r="H2923" s="32"/>
      <c r="I2923" s="33"/>
      <c r="Q2923" s="8"/>
      <c r="R2923" s="8"/>
    </row>
    <row r="2924">
      <c r="C2924" s="28"/>
      <c r="D2924" s="28"/>
      <c r="E2924" s="29"/>
      <c r="F2924" s="30"/>
      <c r="G2924" s="31"/>
      <c r="H2924" s="32"/>
      <c r="I2924" s="33"/>
      <c r="Q2924" s="8"/>
      <c r="R2924" s="8"/>
    </row>
    <row r="2925">
      <c r="C2925" s="28"/>
      <c r="D2925" s="28"/>
      <c r="E2925" s="29"/>
      <c r="F2925" s="30"/>
      <c r="G2925" s="31"/>
      <c r="H2925" s="32"/>
      <c r="I2925" s="33"/>
      <c r="Q2925" s="8"/>
      <c r="R2925" s="8"/>
    </row>
    <row r="2926">
      <c r="C2926" s="28"/>
      <c r="D2926" s="28"/>
      <c r="E2926" s="29"/>
      <c r="F2926" s="30"/>
      <c r="G2926" s="31"/>
      <c r="H2926" s="32"/>
      <c r="I2926" s="33"/>
      <c r="Q2926" s="8"/>
      <c r="R2926" s="8"/>
    </row>
    <row r="2927">
      <c r="C2927" s="28"/>
      <c r="D2927" s="28"/>
      <c r="E2927" s="29"/>
      <c r="F2927" s="30"/>
      <c r="G2927" s="31"/>
      <c r="H2927" s="32"/>
      <c r="I2927" s="33"/>
      <c r="Q2927" s="8"/>
      <c r="R2927" s="8"/>
    </row>
    <row r="2928">
      <c r="C2928" s="28"/>
      <c r="D2928" s="28"/>
      <c r="E2928" s="29"/>
      <c r="F2928" s="30"/>
      <c r="G2928" s="31"/>
      <c r="H2928" s="32"/>
      <c r="I2928" s="33"/>
      <c r="Q2928" s="8"/>
      <c r="R2928" s="8"/>
    </row>
    <row r="2929">
      <c r="C2929" s="28"/>
      <c r="D2929" s="28"/>
      <c r="E2929" s="29"/>
      <c r="F2929" s="30"/>
      <c r="G2929" s="31"/>
      <c r="H2929" s="32"/>
      <c r="I2929" s="33"/>
      <c r="Q2929" s="8"/>
      <c r="R2929" s="8"/>
    </row>
    <row r="2930">
      <c r="C2930" s="28"/>
      <c r="D2930" s="28"/>
      <c r="E2930" s="29"/>
      <c r="F2930" s="30"/>
      <c r="G2930" s="31"/>
      <c r="H2930" s="32"/>
      <c r="I2930" s="33"/>
      <c r="Q2930" s="8"/>
      <c r="R2930" s="8"/>
    </row>
    <row r="2931">
      <c r="C2931" s="28"/>
      <c r="D2931" s="28"/>
      <c r="E2931" s="29"/>
      <c r="F2931" s="30"/>
      <c r="G2931" s="31"/>
      <c r="H2931" s="32"/>
      <c r="I2931" s="33"/>
      <c r="Q2931" s="8"/>
      <c r="R2931" s="8"/>
    </row>
    <row r="2932">
      <c r="C2932" s="28"/>
      <c r="D2932" s="28"/>
      <c r="E2932" s="29"/>
      <c r="F2932" s="30"/>
      <c r="G2932" s="31"/>
      <c r="H2932" s="32"/>
      <c r="I2932" s="33"/>
      <c r="Q2932" s="8"/>
      <c r="R2932" s="8"/>
    </row>
    <row r="2933">
      <c r="C2933" s="28"/>
      <c r="D2933" s="28"/>
      <c r="E2933" s="29"/>
      <c r="F2933" s="30"/>
      <c r="G2933" s="31"/>
      <c r="H2933" s="32"/>
      <c r="I2933" s="33"/>
      <c r="Q2933" s="8"/>
      <c r="R2933" s="8"/>
    </row>
    <row r="2934">
      <c r="C2934" s="28"/>
      <c r="D2934" s="28"/>
      <c r="E2934" s="29"/>
      <c r="F2934" s="30"/>
      <c r="G2934" s="31"/>
      <c r="H2934" s="32"/>
      <c r="I2934" s="33"/>
      <c r="Q2934" s="8"/>
      <c r="R2934" s="8"/>
    </row>
    <row r="2935">
      <c r="C2935" s="28"/>
      <c r="D2935" s="28"/>
      <c r="E2935" s="29"/>
      <c r="F2935" s="30"/>
      <c r="G2935" s="31"/>
      <c r="H2935" s="32"/>
      <c r="I2935" s="33"/>
      <c r="Q2935" s="8"/>
      <c r="R2935" s="8"/>
    </row>
    <row r="2936">
      <c r="C2936" s="28"/>
      <c r="D2936" s="28"/>
      <c r="E2936" s="29"/>
      <c r="F2936" s="30"/>
      <c r="G2936" s="31"/>
      <c r="H2936" s="32"/>
      <c r="I2936" s="33"/>
      <c r="Q2936" s="8"/>
      <c r="R2936" s="8"/>
    </row>
    <row r="2937">
      <c r="C2937" s="28"/>
      <c r="D2937" s="28"/>
      <c r="E2937" s="29"/>
      <c r="F2937" s="30"/>
      <c r="G2937" s="31"/>
      <c r="H2937" s="32"/>
      <c r="I2937" s="33"/>
      <c r="Q2937" s="8"/>
      <c r="R2937" s="8"/>
    </row>
    <row r="2938">
      <c r="C2938" s="28"/>
      <c r="D2938" s="28"/>
      <c r="E2938" s="29"/>
      <c r="F2938" s="30"/>
      <c r="G2938" s="31"/>
      <c r="H2938" s="32"/>
      <c r="I2938" s="33"/>
      <c r="Q2938" s="8"/>
      <c r="R2938" s="8"/>
    </row>
    <row r="2939">
      <c r="C2939" s="28"/>
      <c r="D2939" s="28"/>
      <c r="E2939" s="29"/>
      <c r="F2939" s="30"/>
      <c r="G2939" s="31"/>
      <c r="H2939" s="32"/>
      <c r="I2939" s="33"/>
      <c r="Q2939" s="8"/>
      <c r="R2939" s="8"/>
    </row>
    <row r="2940">
      <c r="C2940" s="28"/>
      <c r="D2940" s="28"/>
      <c r="E2940" s="29"/>
      <c r="F2940" s="30"/>
      <c r="G2940" s="31"/>
      <c r="H2940" s="32"/>
      <c r="I2940" s="33"/>
      <c r="Q2940" s="8"/>
      <c r="R2940" s="8"/>
    </row>
    <row r="2941">
      <c r="C2941" s="28"/>
      <c r="D2941" s="28"/>
      <c r="E2941" s="29"/>
      <c r="F2941" s="30"/>
      <c r="G2941" s="31"/>
      <c r="H2941" s="32"/>
      <c r="I2941" s="33"/>
      <c r="Q2941" s="8"/>
      <c r="R2941" s="8"/>
    </row>
    <row r="2942">
      <c r="C2942" s="28"/>
      <c r="D2942" s="28"/>
      <c r="E2942" s="29"/>
      <c r="F2942" s="30"/>
      <c r="G2942" s="31"/>
      <c r="H2942" s="32"/>
      <c r="I2942" s="33"/>
      <c r="Q2942" s="8"/>
      <c r="R2942" s="8"/>
    </row>
    <row r="2943">
      <c r="C2943" s="28"/>
      <c r="D2943" s="28"/>
      <c r="E2943" s="29"/>
      <c r="F2943" s="30"/>
      <c r="G2943" s="31"/>
      <c r="H2943" s="32"/>
      <c r="I2943" s="33"/>
      <c r="Q2943" s="8"/>
      <c r="R2943" s="8"/>
    </row>
    <row r="2944">
      <c r="C2944" s="28"/>
      <c r="D2944" s="28"/>
      <c r="E2944" s="29"/>
      <c r="F2944" s="30"/>
      <c r="G2944" s="31"/>
      <c r="H2944" s="32"/>
      <c r="I2944" s="33"/>
      <c r="Q2944" s="8"/>
      <c r="R2944" s="8"/>
    </row>
    <row r="2945">
      <c r="C2945" s="28"/>
      <c r="D2945" s="28"/>
      <c r="E2945" s="29"/>
      <c r="F2945" s="30"/>
      <c r="G2945" s="31"/>
      <c r="H2945" s="32"/>
      <c r="I2945" s="33"/>
      <c r="Q2945" s="8"/>
      <c r="R2945" s="8"/>
    </row>
    <row r="2946">
      <c r="C2946" s="28"/>
      <c r="D2946" s="28"/>
      <c r="E2946" s="29"/>
      <c r="F2946" s="30"/>
      <c r="G2946" s="31"/>
      <c r="H2946" s="32"/>
      <c r="I2946" s="33"/>
      <c r="Q2946" s="8"/>
      <c r="R2946" s="8"/>
    </row>
    <row r="2947">
      <c r="C2947" s="28"/>
      <c r="D2947" s="28"/>
      <c r="E2947" s="29"/>
      <c r="F2947" s="30"/>
      <c r="G2947" s="31"/>
      <c r="H2947" s="32"/>
      <c r="I2947" s="33"/>
      <c r="Q2947" s="8"/>
      <c r="R2947" s="8"/>
    </row>
    <row r="2948">
      <c r="C2948" s="28"/>
      <c r="D2948" s="28"/>
      <c r="E2948" s="29"/>
      <c r="F2948" s="30"/>
      <c r="G2948" s="31"/>
      <c r="H2948" s="32"/>
      <c r="I2948" s="33"/>
      <c r="Q2948" s="8"/>
      <c r="R2948" s="8"/>
    </row>
    <row r="2949">
      <c r="C2949" s="28"/>
      <c r="D2949" s="28"/>
      <c r="E2949" s="29"/>
      <c r="F2949" s="30"/>
      <c r="G2949" s="31"/>
      <c r="H2949" s="32"/>
      <c r="I2949" s="33"/>
      <c r="Q2949" s="8"/>
      <c r="R2949" s="8"/>
    </row>
    <row r="2950">
      <c r="C2950" s="28"/>
      <c r="D2950" s="28"/>
      <c r="E2950" s="29"/>
      <c r="F2950" s="30"/>
      <c r="G2950" s="31"/>
      <c r="H2950" s="32"/>
      <c r="I2950" s="33"/>
      <c r="Q2950" s="8"/>
      <c r="R2950" s="8"/>
    </row>
    <row r="2951">
      <c r="C2951" s="28"/>
      <c r="D2951" s="28"/>
      <c r="E2951" s="29"/>
      <c r="F2951" s="30"/>
      <c r="G2951" s="31"/>
      <c r="H2951" s="32"/>
      <c r="I2951" s="33"/>
      <c r="Q2951" s="8"/>
      <c r="R2951" s="8"/>
    </row>
    <row r="2952">
      <c r="C2952" s="28"/>
      <c r="D2952" s="28"/>
      <c r="E2952" s="29"/>
      <c r="F2952" s="30"/>
      <c r="G2952" s="31"/>
      <c r="H2952" s="32"/>
      <c r="I2952" s="33"/>
      <c r="Q2952" s="8"/>
      <c r="R2952" s="8"/>
    </row>
    <row r="2953">
      <c r="C2953" s="28"/>
      <c r="D2953" s="28"/>
      <c r="E2953" s="29"/>
      <c r="F2953" s="30"/>
      <c r="G2953" s="31"/>
      <c r="H2953" s="32"/>
      <c r="I2953" s="33"/>
      <c r="Q2953" s="8"/>
      <c r="R2953" s="8"/>
    </row>
    <row r="2954">
      <c r="C2954" s="28"/>
      <c r="D2954" s="28"/>
      <c r="E2954" s="29"/>
      <c r="F2954" s="30"/>
      <c r="G2954" s="31"/>
      <c r="H2954" s="32"/>
      <c r="I2954" s="33"/>
      <c r="Q2954" s="8"/>
      <c r="R2954" s="8"/>
    </row>
    <row r="2955">
      <c r="C2955" s="28"/>
      <c r="D2955" s="28"/>
      <c r="E2955" s="29"/>
      <c r="F2955" s="30"/>
      <c r="G2955" s="31"/>
      <c r="H2955" s="32"/>
      <c r="I2955" s="33"/>
      <c r="Q2955" s="8"/>
      <c r="R2955" s="8"/>
    </row>
    <row r="2956">
      <c r="C2956" s="28"/>
      <c r="D2956" s="28"/>
      <c r="E2956" s="29"/>
      <c r="F2956" s="30"/>
      <c r="G2956" s="31"/>
      <c r="H2956" s="32"/>
      <c r="I2956" s="33"/>
      <c r="Q2956" s="8"/>
      <c r="R2956" s="8"/>
    </row>
    <row r="2957">
      <c r="C2957" s="28"/>
      <c r="D2957" s="28"/>
      <c r="E2957" s="29"/>
      <c r="F2957" s="30"/>
      <c r="G2957" s="31"/>
      <c r="H2957" s="32"/>
      <c r="I2957" s="33"/>
      <c r="Q2957" s="8"/>
      <c r="R2957" s="8"/>
    </row>
    <row r="2958">
      <c r="C2958" s="28"/>
      <c r="D2958" s="28"/>
      <c r="E2958" s="29"/>
      <c r="F2958" s="30"/>
      <c r="G2958" s="31"/>
      <c r="H2958" s="32"/>
      <c r="I2958" s="33"/>
      <c r="Q2958" s="8"/>
      <c r="R2958" s="8"/>
    </row>
    <row r="2959">
      <c r="C2959" s="28"/>
      <c r="D2959" s="28"/>
      <c r="E2959" s="29"/>
      <c r="F2959" s="30"/>
      <c r="G2959" s="31"/>
      <c r="H2959" s="32"/>
      <c r="I2959" s="33"/>
      <c r="Q2959" s="8"/>
      <c r="R2959" s="8"/>
    </row>
    <row r="2960">
      <c r="C2960" s="28"/>
      <c r="D2960" s="28"/>
      <c r="E2960" s="29"/>
      <c r="F2960" s="30"/>
      <c r="G2960" s="31"/>
      <c r="H2960" s="32"/>
      <c r="I2960" s="33"/>
      <c r="Q2960" s="8"/>
      <c r="R2960" s="8"/>
    </row>
    <row r="2961">
      <c r="C2961" s="28"/>
      <c r="D2961" s="28"/>
      <c r="E2961" s="29"/>
      <c r="F2961" s="30"/>
      <c r="G2961" s="31"/>
      <c r="H2961" s="32"/>
      <c r="I2961" s="33"/>
      <c r="Q2961" s="8"/>
      <c r="R2961" s="8"/>
    </row>
    <row r="2962">
      <c r="C2962" s="28"/>
      <c r="D2962" s="28"/>
      <c r="E2962" s="29"/>
      <c r="F2962" s="30"/>
      <c r="G2962" s="31"/>
      <c r="H2962" s="32"/>
      <c r="I2962" s="33"/>
      <c r="Q2962" s="8"/>
      <c r="R2962" s="8"/>
    </row>
    <row r="2963">
      <c r="C2963" s="28"/>
      <c r="D2963" s="28"/>
      <c r="E2963" s="29"/>
      <c r="F2963" s="30"/>
      <c r="G2963" s="31"/>
      <c r="H2963" s="32"/>
      <c r="I2963" s="33"/>
      <c r="Q2963" s="8"/>
      <c r="R2963" s="8"/>
    </row>
    <row r="2964">
      <c r="C2964" s="28"/>
      <c r="D2964" s="28"/>
      <c r="E2964" s="29"/>
      <c r="F2964" s="30"/>
      <c r="G2964" s="31"/>
      <c r="H2964" s="32"/>
      <c r="I2964" s="33"/>
      <c r="Q2964" s="8"/>
      <c r="R2964" s="8"/>
    </row>
    <row r="2965">
      <c r="C2965" s="28"/>
      <c r="D2965" s="28"/>
      <c r="E2965" s="29"/>
      <c r="F2965" s="30"/>
      <c r="G2965" s="31"/>
      <c r="H2965" s="32"/>
      <c r="I2965" s="33"/>
      <c r="Q2965" s="8"/>
      <c r="R2965" s="8"/>
    </row>
    <row r="2966">
      <c r="C2966" s="28"/>
      <c r="D2966" s="28"/>
      <c r="E2966" s="29"/>
      <c r="F2966" s="30"/>
      <c r="G2966" s="31"/>
      <c r="H2966" s="32"/>
      <c r="I2966" s="33"/>
      <c r="Q2966" s="8"/>
      <c r="R2966" s="8"/>
    </row>
    <row r="2967">
      <c r="C2967" s="28"/>
      <c r="D2967" s="28"/>
      <c r="E2967" s="29"/>
      <c r="F2967" s="30"/>
      <c r="G2967" s="31"/>
      <c r="H2967" s="32"/>
      <c r="I2967" s="33"/>
      <c r="Q2967" s="8"/>
      <c r="R2967" s="8"/>
    </row>
    <row r="2968">
      <c r="C2968" s="28"/>
      <c r="D2968" s="28"/>
      <c r="E2968" s="29"/>
      <c r="F2968" s="30"/>
      <c r="G2968" s="31"/>
      <c r="H2968" s="32"/>
      <c r="I2968" s="33"/>
      <c r="Q2968" s="8"/>
      <c r="R2968" s="8"/>
    </row>
    <row r="2969">
      <c r="C2969" s="28"/>
      <c r="D2969" s="28"/>
      <c r="E2969" s="29"/>
      <c r="F2969" s="30"/>
      <c r="G2969" s="31"/>
      <c r="H2969" s="32"/>
      <c r="I2969" s="33"/>
      <c r="Q2969" s="8"/>
      <c r="R2969" s="8"/>
    </row>
    <row r="2970">
      <c r="C2970" s="28"/>
      <c r="D2970" s="28"/>
      <c r="E2970" s="29"/>
      <c r="F2970" s="30"/>
      <c r="G2970" s="31"/>
      <c r="H2970" s="32"/>
      <c r="I2970" s="33"/>
      <c r="Q2970" s="8"/>
      <c r="R2970" s="8"/>
    </row>
    <row r="2971">
      <c r="C2971" s="28"/>
      <c r="D2971" s="28"/>
      <c r="E2971" s="29"/>
      <c r="F2971" s="30"/>
      <c r="G2971" s="31"/>
      <c r="H2971" s="32"/>
      <c r="I2971" s="33"/>
      <c r="Q2971" s="8"/>
      <c r="R2971" s="8"/>
    </row>
    <row r="2972">
      <c r="C2972" s="28"/>
      <c r="D2972" s="28"/>
      <c r="E2972" s="29"/>
      <c r="F2972" s="30"/>
      <c r="G2972" s="31"/>
      <c r="H2972" s="32"/>
      <c r="I2972" s="33"/>
      <c r="Q2972" s="8"/>
      <c r="R2972" s="8"/>
    </row>
    <row r="2973">
      <c r="C2973" s="28"/>
      <c r="D2973" s="28"/>
      <c r="E2973" s="29"/>
      <c r="F2973" s="30"/>
      <c r="G2973" s="31"/>
      <c r="H2973" s="32"/>
      <c r="I2973" s="33"/>
      <c r="Q2973" s="8"/>
      <c r="R2973" s="8"/>
    </row>
    <row r="2974">
      <c r="C2974" s="28"/>
      <c r="D2974" s="28"/>
      <c r="E2974" s="29"/>
      <c r="F2974" s="30"/>
      <c r="G2974" s="31"/>
      <c r="H2974" s="32"/>
      <c r="I2974" s="33"/>
      <c r="Q2974" s="8"/>
      <c r="R2974" s="8"/>
    </row>
    <row r="2975">
      <c r="C2975" s="28"/>
      <c r="D2975" s="28"/>
      <c r="E2975" s="29"/>
      <c r="F2975" s="30"/>
      <c r="G2975" s="31"/>
      <c r="H2975" s="32"/>
      <c r="I2975" s="33"/>
      <c r="Q2975" s="8"/>
      <c r="R2975" s="8"/>
    </row>
    <row r="2976">
      <c r="C2976" s="28"/>
      <c r="D2976" s="28"/>
      <c r="E2976" s="29"/>
      <c r="F2976" s="30"/>
      <c r="G2976" s="31"/>
      <c r="H2976" s="32"/>
      <c r="I2976" s="33"/>
      <c r="Q2976" s="8"/>
      <c r="R2976" s="8"/>
    </row>
    <row r="2977">
      <c r="C2977" s="28"/>
      <c r="D2977" s="28"/>
      <c r="E2977" s="29"/>
      <c r="F2977" s="30"/>
      <c r="G2977" s="31"/>
      <c r="H2977" s="32"/>
      <c r="I2977" s="33"/>
      <c r="Q2977" s="8"/>
      <c r="R2977" s="8"/>
    </row>
    <row r="2978">
      <c r="C2978" s="28"/>
      <c r="D2978" s="28"/>
      <c r="E2978" s="29"/>
      <c r="F2978" s="30"/>
      <c r="G2978" s="31"/>
      <c r="H2978" s="32"/>
      <c r="I2978" s="33"/>
      <c r="Q2978" s="8"/>
      <c r="R2978" s="8"/>
    </row>
    <row r="2979">
      <c r="C2979" s="28"/>
      <c r="D2979" s="28"/>
      <c r="E2979" s="29"/>
      <c r="F2979" s="30"/>
      <c r="G2979" s="31"/>
      <c r="H2979" s="32"/>
      <c r="I2979" s="33"/>
      <c r="Q2979" s="8"/>
      <c r="R2979" s="8"/>
    </row>
    <row r="2980">
      <c r="C2980" s="28"/>
      <c r="D2980" s="28"/>
      <c r="E2980" s="29"/>
      <c r="F2980" s="30"/>
      <c r="G2980" s="31"/>
      <c r="H2980" s="32"/>
      <c r="I2980" s="33"/>
      <c r="Q2980" s="8"/>
      <c r="R2980" s="8"/>
    </row>
    <row r="2981">
      <c r="C2981" s="28"/>
      <c r="D2981" s="28"/>
      <c r="E2981" s="29"/>
      <c r="F2981" s="30"/>
      <c r="G2981" s="31"/>
      <c r="H2981" s="32"/>
      <c r="I2981" s="33"/>
      <c r="Q2981" s="8"/>
      <c r="R2981" s="8"/>
    </row>
    <row r="2982">
      <c r="C2982" s="28"/>
      <c r="D2982" s="28"/>
      <c r="E2982" s="29"/>
      <c r="F2982" s="30"/>
      <c r="G2982" s="31"/>
      <c r="H2982" s="32"/>
      <c r="I2982" s="33"/>
      <c r="Q2982" s="8"/>
      <c r="R2982" s="8"/>
    </row>
    <row r="2983">
      <c r="C2983" s="28"/>
      <c r="D2983" s="28"/>
      <c r="E2983" s="29"/>
      <c r="F2983" s="30"/>
      <c r="G2983" s="31"/>
      <c r="H2983" s="32"/>
      <c r="I2983" s="33"/>
      <c r="Q2983" s="8"/>
      <c r="R2983" s="8"/>
    </row>
    <row r="2984">
      <c r="C2984" s="28"/>
      <c r="D2984" s="28"/>
      <c r="E2984" s="29"/>
      <c r="F2984" s="30"/>
      <c r="G2984" s="31"/>
      <c r="H2984" s="32"/>
      <c r="I2984" s="33"/>
      <c r="Q2984" s="8"/>
      <c r="R2984" s="8"/>
    </row>
    <row r="2985">
      <c r="C2985" s="28"/>
      <c r="D2985" s="28"/>
      <c r="E2985" s="29"/>
      <c r="F2985" s="30"/>
      <c r="G2985" s="31"/>
      <c r="H2985" s="32"/>
      <c r="I2985" s="33"/>
      <c r="Q2985" s="8"/>
      <c r="R2985" s="8"/>
    </row>
    <row r="2986">
      <c r="C2986" s="28"/>
      <c r="D2986" s="28"/>
      <c r="E2986" s="29"/>
      <c r="F2986" s="30"/>
      <c r="G2986" s="31"/>
      <c r="H2986" s="32"/>
      <c r="I2986" s="33"/>
      <c r="Q2986" s="8"/>
      <c r="R2986" s="8"/>
    </row>
    <row r="2987">
      <c r="C2987" s="28"/>
      <c r="D2987" s="28"/>
      <c r="E2987" s="29"/>
      <c r="F2987" s="30"/>
      <c r="G2987" s="31"/>
      <c r="H2987" s="32"/>
      <c r="I2987" s="33"/>
      <c r="Q2987" s="8"/>
      <c r="R2987" s="8"/>
    </row>
    <row r="2988">
      <c r="C2988" s="28"/>
      <c r="D2988" s="28"/>
      <c r="E2988" s="29"/>
      <c r="F2988" s="30"/>
      <c r="G2988" s="31"/>
      <c r="H2988" s="32"/>
      <c r="I2988" s="33"/>
      <c r="Q2988" s="8"/>
      <c r="R2988" s="8"/>
    </row>
    <row r="2989">
      <c r="C2989" s="28"/>
      <c r="D2989" s="28"/>
      <c r="E2989" s="29"/>
      <c r="F2989" s="30"/>
      <c r="G2989" s="31"/>
      <c r="H2989" s="32"/>
      <c r="I2989" s="33"/>
      <c r="Q2989" s="8"/>
      <c r="R2989" s="8"/>
    </row>
    <row r="2990">
      <c r="C2990" s="28"/>
      <c r="D2990" s="28"/>
      <c r="E2990" s="29"/>
      <c r="F2990" s="30"/>
      <c r="G2990" s="31"/>
      <c r="H2990" s="32"/>
      <c r="I2990" s="33"/>
      <c r="Q2990" s="8"/>
      <c r="R2990" s="8"/>
    </row>
    <row r="2991">
      <c r="C2991" s="28"/>
      <c r="D2991" s="28"/>
      <c r="E2991" s="29"/>
      <c r="F2991" s="30"/>
      <c r="G2991" s="31"/>
      <c r="H2991" s="32"/>
      <c r="I2991" s="33"/>
      <c r="Q2991" s="8"/>
      <c r="R2991" s="8"/>
    </row>
    <row r="2992">
      <c r="C2992" s="28"/>
      <c r="D2992" s="28"/>
      <c r="E2992" s="29"/>
      <c r="F2992" s="30"/>
      <c r="G2992" s="31"/>
      <c r="H2992" s="32"/>
      <c r="I2992" s="33"/>
      <c r="Q2992" s="8"/>
      <c r="R2992" s="8"/>
    </row>
    <row r="2993">
      <c r="C2993" s="28"/>
      <c r="D2993" s="28"/>
      <c r="E2993" s="29"/>
      <c r="F2993" s="30"/>
      <c r="G2993" s="31"/>
      <c r="H2993" s="32"/>
      <c r="I2993" s="33"/>
      <c r="Q2993" s="8"/>
      <c r="R2993" s="8"/>
    </row>
    <row r="2994">
      <c r="C2994" s="28"/>
      <c r="D2994" s="28"/>
      <c r="E2994" s="29"/>
      <c r="F2994" s="30"/>
      <c r="G2994" s="31"/>
      <c r="H2994" s="32"/>
      <c r="I2994" s="33"/>
      <c r="Q2994" s="8"/>
      <c r="R2994" s="8"/>
    </row>
    <row r="2995">
      <c r="C2995" s="28"/>
      <c r="D2995" s="28"/>
      <c r="E2995" s="29"/>
      <c r="F2995" s="30"/>
      <c r="G2995" s="31"/>
      <c r="H2995" s="32"/>
      <c r="I2995" s="33"/>
      <c r="Q2995" s="8"/>
      <c r="R2995" s="8"/>
    </row>
    <row r="2996">
      <c r="C2996" s="28"/>
      <c r="D2996" s="28"/>
      <c r="E2996" s="29"/>
      <c r="F2996" s="30"/>
      <c r="G2996" s="31"/>
      <c r="H2996" s="32"/>
      <c r="I2996" s="33"/>
      <c r="Q2996" s="8"/>
      <c r="R2996" s="8"/>
    </row>
    <row r="2997">
      <c r="C2997" s="28"/>
      <c r="D2997" s="28"/>
      <c r="E2997" s="29"/>
      <c r="F2997" s="30"/>
      <c r="G2997" s="31"/>
      <c r="H2997" s="32"/>
      <c r="I2997" s="33"/>
      <c r="Q2997" s="8"/>
      <c r="R2997" s="8"/>
    </row>
    <row r="2998">
      <c r="C2998" s="28"/>
      <c r="D2998" s="28"/>
      <c r="E2998" s="29"/>
      <c r="F2998" s="30"/>
      <c r="G2998" s="31"/>
      <c r="H2998" s="32"/>
      <c r="I2998" s="33"/>
      <c r="Q2998" s="8"/>
      <c r="R2998" s="8"/>
    </row>
    <row r="2999">
      <c r="C2999" s="28"/>
      <c r="D2999" s="28"/>
      <c r="E2999" s="29"/>
      <c r="F2999" s="30"/>
      <c r="G2999" s="31"/>
      <c r="H2999" s="32"/>
      <c r="I2999" s="33"/>
      <c r="Q2999" s="8"/>
      <c r="R2999" s="8"/>
    </row>
    <row r="3000">
      <c r="C3000" s="28"/>
      <c r="D3000" s="28"/>
      <c r="E3000" s="29"/>
      <c r="F3000" s="30"/>
      <c r="G3000" s="31"/>
      <c r="H3000" s="32"/>
      <c r="I3000" s="33"/>
      <c r="Q3000" s="8"/>
      <c r="R3000" s="8"/>
    </row>
    <row r="3001">
      <c r="C3001" s="28"/>
      <c r="D3001" s="28"/>
      <c r="E3001" s="29"/>
      <c r="F3001" s="30"/>
      <c r="G3001" s="31"/>
      <c r="H3001" s="32"/>
      <c r="I3001" s="33"/>
      <c r="Q3001" s="8"/>
      <c r="R3001" s="8"/>
    </row>
    <row r="3002">
      <c r="C3002" s="28"/>
      <c r="D3002" s="28"/>
      <c r="E3002" s="29"/>
      <c r="F3002" s="30"/>
      <c r="G3002" s="31"/>
      <c r="H3002" s="32"/>
      <c r="I3002" s="33"/>
      <c r="Q3002" s="8"/>
      <c r="R3002" s="8"/>
    </row>
    <row r="3003">
      <c r="C3003" s="28"/>
      <c r="D3003" s="28"/>
      <c r="E3003" s="29"/>
      <c r="F3003" s="30"/>
      <c r="G3003" s="31"/>
      <c r="H3003" s="32"/>
      <c r="I3003" s="33"/>
      <c r="Q3003" s="8"/>
      <c r="R3003" s="8"/>
    </row>
    <row r="3004">
      <c r="C3004" s="28"/>
      <c r="D3004" s="28"/>
      <c r="E3004" s="29"/>
      <c r="F3004" s="30"/>
      <c r="G3004" s="31"/>
      <c r="H3004" s="32"/>
      <c r="I3004" s="33"/>
      <c r="Q3004" s="8"/>
      <c r="R3004" s="8"/>
    </row>
    <row r="3005">
      <c r="C3005" s="28"/>
      <c r="D3005" s="28"/>
      <c r="E3005" s="29"/>
      <c r="F3005" s="30"/>
      <c r="G3005" s="31"/>
      <c r="H3005" s="32"/>
      <c r="I3005" s="33"/>
      <c r="Q3005" s="8"/>
      <c r="R3005" s="8"/>
    </row>
    <row r="3006">
      <c r="C3006" s="28"/>
      <c r="D3006" s="28"/>
      <c r="E3006" s="29"/>
      <c r="F3006" s="30"/>
      <c r="G3006" s="31"/>
      <c r="H3006" s="32"/>
      <c r="I3006" s="33"/>
      <c r="Q3006" s="8"/>
      <c r="R3006" s="8"/>
    </row>
    <row r="3007">
      <c r="C3007" s="28"/>
      <c r="D3007" s="28"/>
      <c r="E3007" s="29"/>
      <c r="F3007" s="30"/>
      <c r="G3007" s="31"/>
      <c r="H3007" s="32"/>
      <c r="I3007" s="33"/>
      <c r="Q3007" s="8"/>
      <c r="R3007" s="8"/>
    </row>
    <row r="3008">
      <c r="C3008" s="28"/>
      <c r="D3008" s="28"/>
      <c r="E3008" s="29"/>
      <c r="F3008" s="30"/>
      <c r="G3008" s="31"/>
      <c r="H3008" s="32"/>
      <c r="I3008" s="33"/>
      <c r="Q3008" s="8"/>
      <c r="R3008" s="8"/>
    </row>
    <row r="3009">
      <c r="C3009" s="28"/>
      <c r="D3009" s="28"/>
      <c r="E3009" s="29"/>
      <c r="F3009" s="30"/>
      <c r="G3009" s="31"/>
      <c r="H3009" s="32"/>
      <c r="I3009" s="33"/>
      <c r="Q3009" s="8"/>
      <c r="R3009" s="8"/>
    </row>
    <row r="3010">
      <c r="C3010" s="28"/>
      <c r="D3010" s="28"/>
      <c r="E3010" s="29"/>
      <c r="F3010" s="30"/>
      <c r="G3010" s="31"/>
      <c r="H3010" s="32"/>
      <c r="I3010" s="33"/>
      <c r="Q3010" s="8"/>
      <c r="R3010" s="8"/>
    </row>
    <row r="3011">
      <c r="C3011" s="28"/>
      <c r="D3011" s="28"/>
      <c r="E3011" s="29"/>
      <c r="F3011" s="30"/>
      <c r="G3011" s="31"/>
      <c r="H3011" s="32"/>
      <c r="I3011" s="33"/>
      <c r="Q3011" s="8"/>
      <c r="R3011" s="8"/>
    </row>
    <row r="3012">
      <c r="C3012" s="28"/>
      <c r="D3012" s="28"/>
      <c r="E3012" s="29"/>
      <c r="F3012" s="30"/>
      <c r="G3012" s="31"/>
      <c r="H3012" s="32"/>
      <c r="I3012" s="33"/>
      <c r="Q3012" s="8"/>
      <c r="R3012" s="8"/>
    </row>
    <row r="3013">
      <c r="C3013" s="28"/>
      <c r="D3013" s="28"/>
      <c r="E3013" s="29"/>
      <c r="F3013" s="30"/>
      <c r="G3013" s="31"/>
      <c r="H3013" s="32"/>
      <c r="I3013" s="33"/>
      <c r="Q3013" s="8"/>
      <c r="R3013" s="8"/>
    </row>
    <row r="3014">
      <c r="C3014" s="28"/>
      <c r="D3014" s="28"/>
      <c r="E3014" s="29"/>
      <c r="F3014" s="30"/>
      <c r="G3014" s="31"/>
      <c r="H3014" s="32"/>
      <c r="I3014" s="33"/>
      <c r="Q3014" s="8"/>
      <c r="R3014" s="8"/>
    </row>
    <row r="3015">
      <c r="C3015" s="28"/>
      <c r="D3015" s="28"/>
      <c r="E3015" s="29"/>
      <c r="F3015" s="30"/>
      <c r="G3015" s="31"/>
      <c r="H3015" s="32"/>
      <c r="I3015" s="33"/>
      <c r="Q3015" s="8"/>
      <c r="R3015" s="8"/>
    </row>
    <row r="3016">
      <c r="C3016" s="28"/>
      <c r="D3016" s="28"/>
      <c r="E3016" s="29"/>
      <c r="F3016" s="30"/>
      <c r="G3016" s="31"/>
      <c r="H3016" s="32"/>
      <c r="I3016" s="33"/>
      <c r="Q3016" s="8"/>
      <c r="R3016" s="8"/>
    </row>
    <row r="3017">
      <c r="C3017" s="28"/>
      <c r="D3017" s="28"/>
      <c r="E3017" s="29"/>
      <c r="F3017" s="30"/>
      <c r="G3017" s="31"/>
      <c r="H3017" s="32"/>
      <c r="I3017" s="33"/>
      <c r="Q3017" s="8"/>
      <c r="R3017" s="8"/>
    </row>
    <row r="3018">
      <c r="C3018" s="28"/>
      <c r="D3018" s="28"/>
      <c r="E3018" s="29"/>
      <c r="F3018" s="30"/>
      <c r="G3018" s="31"/>
      <c r="H3018" s="32"/>
      <c r="I3018" s="33"/>
      <c r="Q3018" s="8"/>
      <c r="R3018" s="8"/>
    </row>
    <row r="3019">
      <c r="C3019" s="28"/>
      <c r="D3019" s="28"/>
      <c r="E3019" s="29"/>
      <c r="F3019" s="30"/>
      <c r="G3019" s="31"/>
      <c r="H3019" s="32"/>
      <c r="I3019" s="33"/>
      <c r="Q3019" s="8"/>
      <c r="R3019" s="8"/>
    </row>
    <row r="3020">
      <c r="C3020" s="28"/>
      <c r="D3020" s="28"/>
      <c r="E3020" s="29"/>
      <c r="F3020" s="30"/>
      <c r="G3020" s="31"/>
      <c r="H3020" s="32"/>
      <c r="I3020" s="33"/>
      <c r="Q3020" s="8"/>
      <c r="R3020" s="8"/>
    </row>
    <row r="3021">
      <c r="C3021" s="28"/>
      <c r="D3021" s="28"/>
      <c r="E3021" s="29"/>
      <c r="F3021" s="30"/>
      <c r="G3021" s="31"/>
      <c r="H3021" s="32"/>
      <c r="I3021" s="33"/>
      <c r="Q3021" s="8"/>
      <c r="R3021" s="8"/>
    </row>
    <row r="3022">
      <c r="C3022" s="28"/>
      <c r="D3022" s="28"/>
      <c r="E3022" s="29"/>
      <c r="F3022" s="30"/>
      <c r="G3022" s="31"/>
      <c r="H3022" s="32"/>
      <c r="I3022" s="33"/>
      <c r="Q3022" s="8"/>
      <c r="R3022" s="8"/>
    </row>
    <row r="3023">
      <c r="C3023" s="28"/>
      <c r="D3023" s="28"/>
      <c r="E3023" s="29"/>
      <c r="F3023" s="30"/>
      <c r="G3023" s="31"/>
      <c r="H3023" s="32"/>
      <c r="I3023" s="33"/>
      <c r="Q3023" s="8"/>
      <c r="R3023" s="8"/>
    </row>
    <row r="3024">
      <c r="C3024" s="28"/>
      <c r="D3024" s="28"/>
      <c r="E3024" s="29"/>
      <c r="F3024" s="30"/>
      <c r="G3024" s="31"/>
      <c r="H3024" s="32"/>
      <c r="I3024" s="33"/>
      <c r="Q3024" s="8"/>
      <c r="R3024" s="8"/>
    </row>
    <row r="3025">
      <c r="C3025" s="28"/>
      <c r="D3025" s="28"/>
      <c r="E3025" s="29"/>
      <c r="F3025" s="30"/>
      <c r="G3025" s="31"/>
      <c r="H3025" s="32"/>
      <c r="I3025" s="33"/>
      <c r="Q3025" s="8"/>
      <c r="R3025" s="8"/>
    </row>
    <row r="3026">
      <c r="C3026" s="28"/>
      <c r="D3026" s="28"/>
      <c r="E3026" s="29"/>
      <c r="F3026" s="30"/>
      <c r="G3026" s="31"/>
      <c r="H3026" s="32"/>
      <c r="I3026" s="33"/>
      <c r="Q3026" s="8"/>
      <c r="R3026" s="8"/>
    </row>
    <row r="3027">
      <c r="C3027" s="28"/>
      <c r="D3027" s="28"/>
      <c r="E3027" s="29"/>
      <c r="F3027" s="30"/>
      <c r="G3027" s="31"/>
      <c r="H3027" s="32"/>
      <c r="I3027" s="33"/>
      <c r="Q3027" s="8"/>
      <c r="R302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13"/>
    <col customWidth="1" min="3" max="3" width="9.75"/>
    <col customWidth="1" min="4" max="4" width="10.0"/>
    <col customWidth="1" min="5" max="5" width="78.0"/>
    <col customWidth="1" min="6" max="6" width="40.88"/>
  </cols>
  <sheetData>
    <row r="1">
      <c r="A1" s="34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4" t="s">
        <v>5</v>
      </c>
      <c r="G1" s="35" t="s">
        <v>14</v>
      </c>
      <c r="H1" s="36" t="s">
        <v>6</v>
      </c>
      <c r="I1" s="36" t="s">
        <v>7</v>
      </c>
      <c r="J1" s="34" t="s">
        <v>8</v>
      </c>
      <c r="K1" s="34" t="s">
        <v>9</v>
      </c>
      <c r="L1" s="35" t="s">
        <v>10</v>
      </c>
      <c r="M1" s="34" t="s">
        <v>11</v>
      </c>
      <c r="N1" s="35" t="s">
        <v>12</v>
      </c>
      <c r="O1" s="35" t="s">
        <v>13</v>
      </c>
      <c r="P1" s="34" t="s">
        <v>15</v>
      </c>
    </row>
    <row r="2">
      <c r="A2" s="18" t="s">
        <v>7498</v>
      </c>
      <c r="B2" s="15" t="s">
        <v>7499</v>
      </c>
      <c r="C2" s="37">
        <v>45687.0</v>
      </c>
      <c r="D2" s="37">
        <v>45687.0</v>
      </c>
      <c r="E2" s="38" t="s">
        <v>7500</v>
      </c>
      <c r="F2" s="38" t="s">
        <v>7501</v>
      </c>
      <c r="G2" s="39">
        <v>16446.0</v>
      </c>
      <c r="H2" s="40"/>
      <c r="I2" s="41">
        <v>500000.0</v>
      </c>
      <c r="J2" s="15"/>
      <c r="K2" s="15" t="s">
        <v>25</v>
      </c>
      <c r="L2" s="18" t="s">
        <v>23</v>
      </c>
      <c r="M2" s="15"/>
      <c r="N2" s="15" t="s">
        <v>24</v>
      </c>
      <c r="O2" s="15" t="s">
        <v>25</v>
      </c>
    </row>
    <row r="3">
      <c r="A3" s="18" t="s">
        <v>7498</v>
      </c>
      <c r="B3" s="15" t="s">
        <v>7502</v>
      </c>
      <c r="C3" s="37">
        <v>45688.0</v>
      </c>
      <c r="D3" s="37">
        <v>45688.0</v>
      </c>
      <c r="E3" s="38" t="s">
        <v>7503</v>
      </c>
      <c r="F3" s="38" t="s">
        <v>7504</v>
      </c>
      <c r="G3" s="39">
        <v>16532.0</v>
      </c>
      <c r="H3" s="42">
        <v>5000.0</v>
      </c>
      <c r="I3" s="40"/>
      <c r="J3" s="15"/>
      <c r="K3" s="15" t="s">
        <v>7505</v>
      </c>
      <c r="L3" s="18" t="s">
        <v>23</v>
      </c>
      <c r="M3" s="15"/>
      <c r="N3" s="15" t="s">
        <v>114</v>
      </c>
      <c r="O3" s="15" t="s">
        <v>385</v>
      </c>
    </row>
    <row r="4">
      <c r="A4" s="18" t="s">
        <v>7498</v>
      </c>
      <c r="B4" s="15" t="s">
        <v>7506</v>
      </c>
      <c r="C4" s="37">
        <v>45688.0</v>
      </c>
      <c r="D4" s="37">
        <v>45688.0</v>
      </c>
      <c r="E4" s="38" t="s">
        <v>7507</v>
      </c>
      <c r="F4" s="38" t="s">
        <v>7508</v>
      </c>
      <c r="G4" s="39">
        <v>16532.0</v>
      </c>
      <c r="H4" s="40"/>
      <c r="I4" s="42">
        <v>5000.0</v>
      </c>
      <c r="J4" s="15"/>
      <c r="K4" s="15" t="s">
        <v>7509</v>
      </c>
      <c r="L4" s="18" t="s">
        <v>23</v>
      </c>
      <c r="M4" s="15"/>
      <c r="N4" s="15" t="s">
        <v>24</v>
      </c>
      <c r="O4" s="15" t="s">
        <v>25</v>
      </c>
    </row>
    <row r="5">
      <c r="A5" s="18" t="s">
        <v>7498</v>
      </c>
      <c r="B5" s="15" t="s">
        <v>7510</v>
      </c>
      <c r="C5" s="37">
        <v>45691.0</v>
      </c>
      <c r="D5" s="37">
        <v>45691.0</v>
      </c>
      <c r="E5" s="38" t="s">
        <v>7511</v>
      </c>
      <c r="F5" s="38" t="s">
        <v>7512</v>
      </c>
      <c r="G5" s="39">
        <v>99922.0</v>
      </c>
      <c r="H5" s="42">
        <v>90000.0</v>
      </c>
      <c r="I5" s="40"/>
      <c r="J5" s="15"/>
      <c r="K5" s="15"/>
      <c r="L5" s="15" t="s">
        <v>123</v>
      </c>
      <c r="M5" s="15"/>
      <c r="N5" s="15" t="s">
        <v>114</v>
      </c>
      <c r="O5" s="15" t="s">
        <v>7513</v>
      </c>
    </row>
    <row r="6">
      <c r="A6" s="18" t="s">
        <v>7498</v>
      </c>
      <c r="B6" s="15" t="s">
        <v>7514</v>
      </c>
      <c r="C6" s="37">
        <v>45691.0</v>
      </c>
      <c r="D6" s="37">
        <v>45691.0</v>
      </c>
      <c r="E6" s="38" t="s">
        <v>7515</v>
      </c>
      <c r="F6" s="38" t="s">
        <v>7516</v>
      </c>
      <c r="G6" s="39">
        <v>99922.0</v>
      </c>
      <c r="H6" s="41">
        <v>148763.0</v>
      </c>
      <c r="I6" s="40"/>
      <c r="J6" s="15"/>
      <c r="K6" s="15"/>
      <c r="L6" s="15" t="s">
        <v>123</v>
      </c>
      <c r="M6" s="15"/>
      <c r="N6" s="15" t="s">
        <v>114</v>
      </c>
      <c r="O6" s="15" t="s">
        <v>7513</v>
      </c>
    </row>
    <row r="7">
      <c r="A7" s="18" t="s">
        <v>7498</v>
      </c>
      <c r="B7" s="15" t="s">
        <v>7517</v>
      </c>
      <c r="C7" s="37">
        <v>45691.0</v>
      </c>
      <c r="D7" s="37">
        <v>45691.0</v>
      </c>
      <c r="E7" s="38" t="s">
        <v>7518</v>
      </c>
      <c r="F7" s="38" t="s">
        <v>7519</v>
      </c>
      <c r="G7" s="39">
        <v>99922.0</v>
      </c>
      <c r="H7" s="42">
        <v>27000.0</v>
      </c>
      <c r="I7" s="40"/>
      <c r="J7" s="15"/>
      <c r="K7" s="15"/>
      <c r="L7" s="15" t="s">
        <v>123</v>
      </c>
      <c r="M7" s="15"/>
      <c r="N7" s="15" t="s">
        <v>114</v>
      </c>
      <c r="O7" s="15" t="s">
        <v>7513</v>
      </c>
    </row>
    <row r="8">
      <c r="A8" s="18" t="s">
        <v>7498</v>
      </c>
      <c r="B8" s="15" t="s">
        <v>7520</v>
      </c>
      <c r="C8" s="43">
        <v>45694.0</v>
      </c>
      <c r="D8" s="43">
        <v>45694.0</v>
      </c>
      <c r="E8" s="38" t="s">
        <v>7521</v>
      </c>
      <c r="F8" s="38" t="s">
        <v>7501</v>
      </c>
      <c r="G8" s="39">
        <v>4292.0</v>
      </c>
      <c r="H8" s="40"/>
      <c r="I8" s="42">
        <v>49500.0</v>
      </c>
      <c r="J8" s="15"/>
      <c r="K8" s="15"/>
      <c r="L8" s="18" t="s">
        <v>23</v>
      </c>
      <c r="M8" s="15"/>
      <c r="N8" s="15" t="s">
        <v>24</v>
      </c>
      <c r="O8" s="15" t="s">
        <v>25</v>
      </c>
    </row>
    <row r="9">
      <c r="A9" s="18" t="s">
        <v>7498</v>
      </c>
      <c r="B9" s="15" t="s">
        <v>7522</v>
      </c>
      <c r="C9" s="43">
        <v>45694.0</v>
      </c>
      <c r="D9" s="43">
        <v>45694.0</v>
      </c>
      <c r="E9" s="38" t="s">
        <v>7521</v>
      </c>
      <c r="F9" s="38" t="s">
        <v>7501</v>
      </c>
      <c r="G9" s="39">
        <v>4292.0</v>
      </c>
      <c r="H9" s="40"/>
      <c r="I9" s="42">
        <v>48000.0</v>
      </c>
      <c r="J9" s="15"/>
      <c r="K9" s="15"/>
      <c r="L9" s="18" t="s">
        <v>23</v>
      </c>
      <c r="M9" s="15"/>
      <c r="N9" s="15" t="s">
        <v>24</v>
      </c>
      <c r="O9" s="15" t="s">
        <v>25</v>
      </c>
    </row>
    <row r="10">
      <c r="A10" s="18" t="s">
        <v>7498</v>
      </c>
      <c r="B10" s="15" t="s">
        <v>7523</v>
      </c>
      <c r="C10" s="43">
        <v>45694.0</v>
      </c>
      <c r="D10" s="43">
        <v>45694.0</v>
      </c>
      <c r="E10" s="38" t="s">
        <v>7521</v>
      </c>
      <c r="F10" s="38" t="s">
        <v>7501</v>
      </c>
      <c r="G10" s="39">
        <v>4292.0</v>
      </c>
      <c r="H10" s="40"/>
      <c r="I10" s="42">
        <v>47500.0</v>
      </c>
      <c r="J10" s="15"/>
      <c r="K10" s="15"/>
      <c r="L10" s="18" t="s">
        <v>23</v>
      </c>
      <c r="M10" s="15"/>
      <c r="N10" s="15" t="s">
        <v>24</v>
      </c>
      <c r="O10" s="15" t="s">
        <v>25</v>
      </c>
    </row>
    <row r="11">
      <c r="A11" s="18" t="s">
        <v>7498</v>
      </c>
      <c r="B11" s="15" t="s">
        <v>7524</v>
      </c>
      <c r="C11" s="43">
        <v>45694.0</v>
      </c>
      <c r="D11" s="43">
        <v>45694.0</v>
      </c>
      <c r="E11" s="38" t="s">
        <v>7521</v>
      </c>
      <c r="F11" s="38" t="s">
        <v>7501</v>
      </c>
      <c r="G11" s="39">
        <v>4292.0</v>
      </c>
      <c r="H11" s="40"/>
      <c r="I11" s="42">
        <v>48000.0</v>
      </c>
      <c r="J11" s="15"/>
      <c r="K11" s="15"/>
      <c r="L11" s="18" t="s">
        <v>23</v>
      </c>
      <c r="M11" s="15"/>
      <c r="N11" s="15" t="s">
        <v>24</v>
      </c>
      <c r="O11" s="15" t="s">
        <v>25</v>
      </c>
    </row>
    <row r="12">
      <c r="A12" s="18" t="s">
        <v>7498</v>
      </c>
      <c r="B12" s="15" t="s">
        <v>7525</v>
      </c>
      <c r="C12" s="43">
        <v>45694.0</v>
      </c>
      <c r="D12" s="43">
        <v>45694.0</v>
      </c>
      <c r="E12" s="38" t="s">
        <v>7521</v>
      </c>
      <c r="F12" s="38" t="s">
        <v>7501</v>
      </c>
      <c r="G12" s="39">
        <v>4292.0</v>
      </c>
      <c r="H12" s="40"/>
      <c r="I12" s="42">
        <v>4000.0</v>
      </c>
      <c r="J12" s="15"/>
      <c r="K12" s="15"/>
      <c r="L12" s="18" t="s">
        <v>23</v>
      </c>
      <c r="M12" s="15"/>
      <c r="N12" s="15" t="s">
        <v>24</v>
      </c>
      <c r="O12" s="15" t="s">
        <v>25</v>
      </c>
    </row>
    <row r="13">
      <c r="A13" s="18" t="s">
        <v>7498</v>
      </c>
      <c r="B13" s="15" t="s">
        <v>7526</v>
      </c>
      <c r="C13" s="43">
        <v>45694.0</v>
      </c>
      <c r="D13" s="43">
        <v>45694.0</v>
      </c>
      <c r="E13" s="38" t="s">
        <v>7527</v>
      </c>
      <c r="F13" s="38" t="s">
        <v>7528</v>
      </c>
      <c r="G13" s="39">
        <v>10521.0</v>
      </c>
      <c r="H13" s="40"/>
      <c r="I13" s="42">
        <v>3000.0</v>
      </c>
      <c r="J13" s="15"/>
      <c r="K13" s="15"/>
      <c r="L13" s="18" t="s">
        <v>23</v>
      </c>
      <c r="M13" s="15"/>
      <c r="N13" s="15" t="s">
        <v>24</v>
      </c>
      <c r="O13" s="15" t="s">
        <v>25</v>
      </c>
    </row>
    <row r="14">
      <c r="A14" s="18" t="s">
        <v>7498</v>
      </c>
      <c r="B14" s="15" t="s">
        <v>7529</v>
      </c>
      <c r="C14" s="43">
        <v>45695.0</v>
      </c>
      <c r="D14" s="43">
        <v>45695.0</v>
      </c>
      <c r="E14" s="38" t="s">
        <v>7530</v>
      </c>
      <c r="F14" s="38" t="s">
        <v>7531</v>
      </c>
      <c r="G14" s="39">
        <v>99922.0</v>
      </c>
      <c r="H14" s="41">
        <v>369036.0</v>
      </c>
      <c r="I14" s="40"/>
      <c r="J14" s="15"/>
      <c r="K14" s="15"/>
      <c r="L14" s="15" t="s">
        <v>127</v>
      </c>
      <c r="M14" s="15"/>
      <c r="N14" s="15" t="s">
        <v>114</v>
      </c>
      <c r="O14" s="15" t="s">
        <v>7513</v>
      </c>
    </row>
    <row r="15">
      <c r="A15" s="18" t="s">
        <v>7498</v>
      </c>
      <c r="B15" s="15" t="s">
        <v>7532</v>
      </c>
      <c r="C15" s="43">
        <v>45696.0</v>
      </c>
      <c r="D15" s="43">
        <v>45696.0</v>
      </c>
      <c r="E15" s="38" t="s">
        <v>7533</v>
      </c>
      <c r="F15" s="38" t="s">
        <v>7534</v>
      </c>
      <c r="G15" s="39">
        <v>1.0</v>
      </c>
      <c r="H15" s="40"/>
      <c r="I15" s="42">
        <v>1.0</v>
      </c>
      <c r="J15" s="15"/>
      <c r="K15" s="15"/>
      <c r="L15" s="18" t="s">
        <v>23</v>
      </c>
      <c r="M15" s="15"/>
      <c r="N15" s="15" t="s">
        <v>24</v>
      </c>
      <c r="O15" s="15" t="s">
        <v>385</v>
      </c>
    </row>
    <row r="16">
      <c r="A16" s="18" t="s">
        <v>7498</v>
      </c>
      <c r="B16" s="15" t="s">
        <v>7535</v>
      </c>
      <c r="C16" s="37">
        <v>45698.0</v>
      </c>
      <c r="D16" s="37">
        <v>45698.0</v>
      </c>
      <c r="E16" s="38" t="s">
        <v>7536</v>
      </c>
      <c r="F16" s="38" t="s">
        <v>7537</v>
      </c>
      <c r="G16" s="39">
        <v>16532.0</v>
      </c>
      <c r="H16" s="40"/>
      <c r="I16" s="42">
        <v>138.0</v>
      </c>
      <c r="J16" s="15"/>
      <c r="K16" s="15"/>
      <c r="L16" s="15" t="s">
        <v>539</v>
      </c>
      <c r="M16" s="15"/>
      <c r="N16" s="15" t="s">
        <v>24</v>
      </c>
      <c r="O16" s="15" t="s">
        <v>60</v>
      </c>
    </row>
    <row r="17">
      <c r="A17" s="18" t="s">
        <v>7498</v>
      </c>
      <c r="B17" s="15" t="s">
        <v>7538</v>
      </c>
      <c r="C17" s="37">
        <v>45698.0</v>
      </c>
      <c r="D17" s="37">
        <v>45698.0</v>
      </c>
      <c r="E17" s="38" t="s">
        <v>7539</v>
      </c>
      <c r="F17" s="38" t="s">
        <v>7537</v>
      </c>
      <c r="G17" s="39">
        <v>16532.0</v>
      </c>
      <c r="H17" s="40"/>
      <c r="I17" s="42">
        <v>668.0</v>
      </c>
      <c r="J17" s="15"/>
      <c r="K17" s="15"/>
      <c r="L17" s="15" t="s">
        <v>539</v>
      </c>
      <c r="M17" s="15"/>
      <c r="N17" s="15" t="s">
        <v>24</v>
      </c>
      <c r="O17" s="15" t="s">
        <v>60</v>
      </c>
    </row>
    <row r="18">
      <c r="A18" s="18" t="s">
        <v>7498</v>
      </c>
      <c r="B18" s="15" t="s">
        <v>7540</v>
      </c>
      <c r="C18" s="37">
        <v>45698.0</v>
      </c>
      <c r="D18" s="37">
        <v>45698.0</v>
      </c>
      <c r="E18" s="38" t="s">
        <v>7541</v>
      </c>
      <c r="F18" s="38" t="s">
        <v>7537</v>
      </c>
      <c r="G18" s="39">
        <v>16532.0</v>
      </c>
      <c r="H18" s="40"/>
      <c r="I18" s="42">
        <v>99.0</v>
      </c>
      <c r="J18" s="15"/>
      <c r="K18" s="15"/>
      <c r="L18" s="15" t="s">
        <v>539</v>
      </c>
      <c r="M18" s="15"/>
      <c r="N18" s="15" t="s">
        <v>24</v>
      </c>
      <c r="O18" s="15" t="s">
        <v>60</v>
      </c>
    </row>
    <row r="19">
      <c r="A19" s="18" t="s">
        <v>7498</v>
      </c>
      <c r="B19" s="15" t="s">
        <v>7542</v>
      </c>
      <c r="C19" s="37">
        <v>45699.0</v>
      </c>
      <c r="D19" s="37">
        <v>45699.0</v>
      </c>
      <c r="E19" s="38" t="s">
        <v>7543</v>
      </c>
      <c r="F19" s="38" t="s">
        <v>7544</v>
      </c>
      <c r="G19" s="39">
        <v>16446.0</v>
      </c>
      <c r="H19" s="40"/>
      <c r="I19" s="42">
        <v>1.0</v>
      </c>
      <c r="J19" s="15"/>
      <c r="K19" s="15"/>
      <c r="L19" s="15" t="s">
        <v>539</v>
      </c>
      <c r="M19" s="15"/>
      <c r="N19" s="15" t="s">
        <v>24</v>
      </c>
      <c r="O19" s="15" t="s">
        <v>385</v>
      </c>
    </row>
    <row r="20">
      <c r="A20" s="18" t="s">
        <v>7498</v>
      </c>
      <c r="B20" s="15" t="s">
        <v>7545</v>
      </c>
      <c r="C20" s="37">
        <v>45701.0</v>
      </c>
      <c r="D20" s="37">
        <v>45701.0</v>
      </c>
      <c r="E20" s="38" t="s">
        <v>7500</v>
      </c>
      <c r="F20" s="38" t="s">
        <v>7501</v>
      </c>
      <c r="G20" s="39">
        <v>16446.0</v>
      </c>
      <c r="H20" s="40"/>
      <c r="I20" s="42">
        <v>1000000.0</v>
      </c>
      <c r="J20" s="15"/>
      <c r="K20" s="15"/>
      <c r="L20" s="18" t="s">
        <v>23</v>
      </c>
      <c r="M20" s="15"/>
      <c r="N20" s="15" t="s">
        <v>24</v>
      </c>
      <c r="O20" s="15" t="s">
        <v>25</v>
      </c>
    </row>
    <row r="21">
      <c r="A21" s="18" t="s">
        <v>7498</v>
      </c>
      <c r="B21" s="15" t="s">
        <v>7546</v>
      </c>
      <c r="C21" s="37">
        <v>45701.0</v>
      </c>
      <c r="D21" s="37">
        <v>45701.0</v>
      </c>
      <c r="E21" s="38" t="s">
        <v>7547</v>
      </c>
      <c r="F21" s="38" t="s">
        <v>7548</v>
      </c>
      <c r="G21" s="39">
        <v>99922.0</v>
      </c>
      <c r="H21" s="41">
        <v>294953.0</v>
      </c>
      <c r="I21" s="40"/>
      <c r="J21" s="15"/>
      <c r="K21" s="15"/>
      <c r="L21" s="15" t="s">
        <v>127</v>
      </c>
      <c r="M21" s="15"/>
      <c r="N21" s="15" t="s">
        <v>114</v>
      </c>
      <c r="O21" s="15" t="s">
        <v>7513</v>
      </c>
    </row>
    <row r="22">
      <c r="A22" s="18" t="s">
        <v>7498</v>
      </c>
      <c r="B22" s="15" t="s">
        <v>7549</v>
      </c>
      <c r="C22" s="37">
        <v>45702.0</v>
      </c>
      <c r="D22" s="37">
        <v>45702.0</v>
      </c>
      <c r="E22" s="38" t="s">
        <v>7550</v>
      </c>
      <c r="F22" s="38" t="s">
        <v>7508</v>
      </c>
      <c r="G22" s="39">
        <v>16446.0</v>
      </c>
      <c r="H22" s="40"/>
      <c r="I22" s="42">
        <v>933.0</v>
      </c>
      <c r="J22" s="15"/>
      <c r="K22" s="15"/>
      <c r="L22" s="15" t="s">
        <v>539</v>
      </c>
      <c r="M22" s="15"/>
      <c r="N22" s="15" t="s">
        <v>24</v>
      </c>
      <c r="O22" s="15" t="s">
        <v>60</v>
      </c>
    </row>
    <row r="23">
      <c r="A23" s="18" t="s">
        <v>7498</v>
      </c>
      <c r="B23" s="15" t="s">
        <v>7551</v>
      </c>
      <c r="C23" s="37">
        <v>45702.0</v>
      </c>
      <c r="D23" s="37">
        <v>45702.0</v>
      </c>
      <c r="E23" s="38" t="s">
        <v>7552</v>
      </c>
      <c r="F23" s="38" t="s">
        <v>7508</v>
      </c>
      <c r="G23" s="39">
        <v>16446.0</v>
      </c>
      <c r="H23" s="40"/>
      <c r="I23" s="42">
        <v>1018.0</v>
      </c>
      <c r="J23" s="15"/>
      <c r="K23" s="15"/>
      <c r="L23" s="15" t="s">
        <v>539</v>
      </c>
      <c r="M23" s="15"/>
      <c r="N23" s="15" t="s">
        <v>24</v>
      </c>
      <c r="O23" s="15" t="s">
        <v>60</v>
      </c>
    </row>
    <row r="24">
      <c r="A24" s="18" t="s">
        <v>7498</v>
      </c>
      <c r="B24" s="15" t="s">
        <v>7553</v>
      </c>
      <c r="C24" s="37">
        <v>45703.0</v>
      </c>
      <c r="D24" s="37">
        <v>45703.0</v>
      </c>
      <c r="E24" s="38" t="s">
        <v>7554</v>
      </c>
      <c r="F24" s="38" t="s">
        <v>7534</v>
      </c>
      <c r="G24" s="39">
        <v>16446.0</v>
      </c>
      <c r="H24" s="40"/>
      <c r="I24" s="42">
        <v>2683.0</v>
      </c>
      <c r="J24" s="15"/>
      <c r="K24" s="15"/>
      <c r="L24" s="15" t="s">
        <v>539</v>
      </c>
      <c r="M24" s="15"/>
      <c r="N24" s="15" t="s">
        <v>24</v>
      </c>
      <c r="O24" s="15" t="s">
        <v>60</v>
      </c>
    </row>
    <row r="25">
      <c r="A25" s="18" t="s">
        <v>7498</v>
      </c>
      <c r="B25" s="15" t="s">
        <v>7555</v>
      </c>
      <c r="C25" s="37">
        <v>45707.0</v>
      </c>
      <c r="D25" s="37">
        <v>45707.0</v>
      </c>
      <c r="E25" s="38" t="s">
        <v>7556</v>
      </c>
      <c r="F25" s="38" t="s">
        <v>7557</v>
      </c>
      <c r="G25" s="39">
        <v>16446.0</v>
      </c>
      <c r="H25" s="40"/>
      <c r="I25" s="42">
        <v>500.0</v>
      </c>
      <c r="J25" s="15"/>
      <c r="K25" s="15"/>
      <c r="L25" s="15" t="s">
        <v>539</v>
      </c>
      <c r="M25" s="15"/>
      <c r="N25" s="15" t="s">
        <v>24</v>
      </c>
      <c r="O25" s="15" t="s">
        <v>60</v>
      </c>
    </row>
    <row r="26">
      <c r="A26" s="18" t="s">
        <v>7498</v>
      </c>
      <c r="B26" s="15" t="s">
        <v>7558</v>
      </c>
      <c r="C26" s="37">
        <v>45707.0</v>
      </c>
      <c r="D26" s="37">
        <v>45707.0</v>
      </c>
      <c r="E26" s="38" t="s">
        <v>7559</v>
      </c>
      <c r="F26" s="38" t="s">
        <v>7557</v>
      </c>
      <c r="G26" s="39">
        <v>16446.0</v>
      </c>
      <c r="H26" s="40"/>
      <c r="I26" s="42">
        <v>523.0</v>
      </c>
      <c r="J26" s="15"/>
      <c r="K26" s="15"/>
      <c r="L26" s="15" t="s">
        <v>539</v>
      </c>
      <c r="M26" s="15"/>
      <c r="N26" s="15" t="s">
        <v>24</v>
      </c>
      <c r="O26" s="15" t="s">
        <v>60</v>
      </c>
    </row>
    <row r="27">
      <c r="A27" s="18" t="s">
        <v>7498</v>
      </c>
      <c r="B27" s="15" t="s">
        <v>7560</v>
      </c>
      <c r="C27" s="37">
        <v>45709.0</v>
      </c>
      <c r="D27" s="37">
        <v>45709.0</v>
      </c>
      <c r="E27" s="38" t="s">
        <v>7561</v>
      </c>
      <c r="F27" s="38" t="s">
        <v>7508</v>
      </c>
      <c r="G27" s="39">
        <v>16446.0</v>
      </c>
      <c r="H27" s="40"/>
      <c r="I27" s="42">
        <v>308.0</v>
      </c>
      <c r="J27" s="15"/>
      <c r="K27" s="15"/>
      <c r="L27" s="15" t="s">
        <v>539</v>
      </c>
      <c r="M27" s="15"/>
      <c r="N27" s="15" t="s">
        <v>24</v>
      </c>
      <c r="O27" s="15" t="s">
        <v>60</v>
      </c>
    </row>
    <row r="28">
      <c r="A28" s="18" t="s">
        <v>7498</v>
      </c>
      <c r="B28" s="15" t="s">
        <v>7562</v>
      </c>
      <c r="C28" s="37">
        <v>45710.0</v>
      </c>
      <c r="D28" s="37">
        <v>45710.0</v>
      </c>
      <c r="E28" s="38" t="s">
        <v>7563</v>
      </c>
      <c r="F28" s="38" t="s">
        <v>7564</v>
      </c>
      <c r="G28" s="39">
        <v>99922.0</v>
      </c>
      <c r="H28" s="42">
        <v>6326.0</v>
      </c>
      <c r="I28" s="40"/>
      <c r="J28" s="15"/>
      <c r="K28" s="15"/>
      <c r="L28" s="18" t="s">
        <v>23</v>
      </c>
      <c r="M28" s="15"/>
      <c r="N28" s="15" t="s">
        <v>114</v>
      </c>
      <c r="O28" s="15" t="s">
        <v>385</v>
      </c>
    </row>
    <row r="29">
      <c r="A29" s="18" t="s">
        <v>7498</v>
      </c>
      <c r="B29" s="15" t="s">
        <v>7565</v>
      </c>
      <c r="C29" s="37">
        <v>45711.0</v>
      </c>
      <c r="D29" s="37">
        <v>45711.0</v>
      </c>
      <c r="E29" s="38" t="s">
        <v>7566</v>
      </c>
      <c r="F29" s="38" t="s">
        <v>7567</v>
      </c>
      <c r="G29" s="39">
        <v>16446.0</v>
      </c>
      <c r="H29" s="40"/>
      <c r="I29" s="42">
        <v>1409.0</v>
      </c>
      <c r="J29" s="15"/>
      <c r="K29" s="15"/>
      <c r="L29" s="15" t="s">
        <v>539</v>
      </c>
      <c r="M29" s="15"/>
      <c r="N29" s="15" t="s">
        <v>24</v>
      </c>
      <c r="O29" s="15" t="s">
        <v>60</v>
      </c>
    </row>
    <row r="30">
      <c r="A30" s="18" t="s">
        <v>7498</v>
      </c>
      <c r="B30" s="15" t="s">
        <v>7568</v>
      </c>
      <c r="C30" s="37">
        <v>45711.0</v>
      </c>
      <c r="D30" s="37">
        <v>45711.0</v>
      </c>
      <c r="E30" s="38" t="s">
        <v>7569</v>
      </c>
      <c r="F30" s="38" t="s">
        <v>7567</v>
      </c>
      <c r="G30" s="39">
        <v>16446.0</v>
      </c>
      <c r="H30" s="40"/>
      <c r="I30" s="42">
        <v>349.0</v>
      </c>
      <c r="J30" s="15"/>
      <c r="K30" s="15"/>
      <c r="L30" s="15" t="s">
        <v>539</v>
      </c>
      <c r="M30" s="15"/>
      <c r="N30" s="15" t="s">
        <v>24</v>
      </c>
      <c r="O30" s="15" t="s">
        <v>60</v>
      </c>
    </row>
    <row r="31">
      <c r="A31" s="18" t="s">
        <v>7498</v>
      </c>
      <c r="B31" s="15" t="s">
        <v>7570</v>
      </c>
      <c r="C31" s="37">
        <v>45711.0</v>
      </c>
      <c r="D31" s="37">
        <v>45711.0</v>
      </c>
      <c r="E31" s="38" t="s">
        <v>7571</v>
      </c>
      <c r="F31" s="38" t="s">
        <v>7567</v>
      </c>
      <c r="G31" s="39">
        <v>16446.0</v>
      </c>
      <c r="H31" s="40"/>
      <c r="I31" s="42">
        <v>1603.0</v>
      </c>
      <c r="J31" s="15"/>
      <c r="K31" s="15"/>
      <c r="L31" s="15" t="s">
        <v>539</v>
      </c>
      <c r="M31" s="15"/>
      <c r="N31" s="15" t="s">
        <v>24</v>
      </c>
      <c r="O31" s="15" t="s">
        <v>60</v>
      </c>
    </row>
    <row r="32">
      <c r="A32" s="18" t="s">
        <v>7498</v>
      </c>
      <c r="B32" s="15" t="s">
        <v>7572</v>
      </c>
      <c r="C32" s="37">
        <v>45712.0</v>
      </c>
      <c r="D32" s="37">
        <v>45712.0</v>
      </c>
      <c r="E32" s="38" t="s">
        <v>7573</v>
      </c>
      <c r="F32" s="38" t="s">
        <v>7537</v>
      </c>
      <c r="G32" s="39">
        <v>16446.0</v>
      </c>
      <c r="H32" s="40"/>
      <c r="I32" s="42">
        <v>318.0</v>
      </c>
      <c r="J32" s="15"/>
      <c r="K32" s="15"/>
      <c r="L32" s="15" t="s">
        <v>539</v>
      </c>
      <c r="M32" s="15"/>
      <c r="N32" s="15" t="s">
        <v>24</v>
      </c>
      <c r="O32" s="15" t="s">
        <v>60</v>
      </c>
    </row>
    <row r="33">
      <c r="A33" s="18" t="s">
        <v>7498</v>
      </c>
      <c r="B33" s="15" t="s">
        <v>7574</v>
      </c>
      <c r="C33" s="37">
        <v>45713.0</v>
      </c>
      <c r="D33" s="37">
        <v>45713.0</v>
      </c>
      <c r="E33" s="38" t="s">
        <v>7575</v>
      </c>
      <c r="F33" s="38" t="s">
        <v>7544</v>
      </c>
      <c r="G33" s="39">
        <v>16446.0</v>
      </c>
      <c r="H33" s="40"/>
      <c r="I33" s="42">
        <v>696.0</v>
      </c>
      <c r="J33" s="15"/>
      <c r="K33" s="15"/>
      <c r="L33" s="15" t="s">
        <v>539</v>
      </c>
      <c r="M33" s="15"/>
      <c r="N33" s="15" t="s">
        <v>24</v>
      </c>
      <c r="O33" s="15" t="s">
        <v>60</v>
      </c>
    </row>
    <row r="34">
      <c r="A34" s="18" t="s">
        <v>7498</v>
      </c>
      <c r="B34" s="15" t="s">
        <v>7576</v>
      </c>
      <c r="C34" s="37">
        <v>45713.0</v>
      </c>
      <c r="D34" s="37">
        <v>45713.0</v>
      </c>
      <c r="E34" s="38" t="s">
        <v>7577</v>
      </c>
      <c r="F34" s="38" t="s">
        <v>7544</v>
      </c>
      <c r="G34" s="39">
        <v>16446.0</v>
      </c>
      <c r="H34" s="40"/>
      <c r="I34" s="42">
        <v>160.0</v>
      </c>
      <c r="J34" s="15"/>
      <c r="K34" s="15"/>
      <c r="L34" s="15" t="s">
        <v>539</v>
      </c>
      <c r="M34" s="15"/>
      <c r="N34" s="15" t="s">
        <v>24</v>
      </c>
      <c r="O34" s="15" t="s">
        <v>60</v>
      </c>
    </row>
    <row r="35">
      <c r="A35" s="18" t="s">
        <v>7498</v>
      </c>
      <c r="B35" s="15" t="s">
        <v>7578</v>
      </c>
      <c r="C35" s="37">
        <v>45715.0</v>
      </c>
      <c r="D35" s="37">
        <v>45715.0</v>
      </c>
      <c r="E35" s="38" t="s">
        <v>7579</v>
      </c>
      <c r="F35" s="38" t="s">
        <v>7580</v>
      </c>
      <c r="G35" s="39">
        <v>16446.0</v>
      </c>
      <c r="H35" s="40"/>
      <c r="I35" s="42">
        <v>218.0</v>
      </c>
      <c r="J35" s="15"/>
      <c r="K35" s="15"/>
      <c r="L35" s="15" t="s">
        <v>539</v>
      </c>
      <c r="M35" s="15"/>
      <c r="N35" s="15" t="s">
        <v>24</v>
      </c>
      <c r="O35" s="15" t="s">
        <v>60</v>
      </c>
    </row>
    <row r="36">
      <c r="A36" s="18" t="s">
        <v>7498</v>
      </c>
      <c r="B36" s="15" t="s">
        <v>7581</v>
      </c>
      <c r="C36" s="37">
        <v>45715.0</v>
      </c>
      <c r="D36" s="37">
        <v>45715.0</v>
      </c>
      <c r="E36" s="38" t="s">
        <v>7582</v>
      </c>
      <c r="F36" s="38" t="s">
        <v>7583</v>
      </c>
      <c r="G36" s="39">
        <v>16446.0</v>
      </c>
      <c r="H36" s="42">
        <v>2500.0</v>
      </c>
      <c r="I36" s="40"/>
      <c r="J36" s="15"/>
      <c r="K36" s="15"/>
      <c r="L36" s="15" t="s">
        <v>127</v>
      </c>
      <c r="M36" s="15"/>
      <c r="N36" s="15" t="s">
        <v>114</v>
      </c>
      <c r="O36" s="15" t="s">
        <v>169</v>
      </c>
    </row>
    <row r="37">
      <c r="A37" s="18" t="s">
        <v>7498</v>
      </c>
      <c r="B37" s="15" t="s">
        <v>7584</v>
      </c>
      <c r="C37" s="37">
        <v>45715.0</v>
      </c>
      <c r="D37" s="37">
        <v>45715.0</v>
      </c>
      <c r="E37" s="38" t="s">
        <v>7585</v>
      </c>
      <c r="F37" s="38" t="s">
        <v>7583</v>
      </c>
      <c r="G37" s="39">
        <v>16446.0</v>
      </c>
      <c r="H37" s="42">
        <v>1330.0</v>
      </c>
      <c r="I37" s="40"/>
      <c r="J37" s="15"/>
      <c r="K37" s="15"/>
      <c r="L37" s="18" t="s">
        <v>23</v>
      </c>
      <c r="M37" s="15"/>
      <c r="N37" s="15" t="s">
        <v>114</v>
      </c>
      <c r="O37" s="15" t="s">
        <v>385</v>
      </c>
    </row>
    <row r="38">
      <c r="A38" s="18" t="s">
        <v>7498</v>
      </c>
      <c r="B38" s="15" t="s">
        <v>7586</v>
      </c>
      <c r="C38" s="37">
        <v>45715.0</v>
      </c>
      <c r="D38" s="37">
        <v>45715.0</v>
      </c>
      <c r="E38" s="38" t="s">
        <v>7587</v>
      </c>
      <c r="F38" s="38" t="s">
        <v>7580</v>
      </c>
      <c r="G38" s="39">
        <v>16446.0</v>
      </c>
      <c r="H38" s="40"/>
      <c r="I38" s="42">
        <v>1200.0</v>
      </c>
      <c r="J38" s="15"/>
      <c r="K38" s="15"/>
      <c r="L38" s="15" t="s">
        <v>539</v>
      </c>
      <c r="M38" s="15"/>
      <c r="N38" s="15" t="s">
        <v>24</v>
      </c>
      <c r="O38" s="15" t="s">
        <v>60</v>
      </c>
    </row>
    <row r="39">
      <c r="A39" s="18" t="s">
        <v>7498</v>
      </c>
      <c r="B39" s="15" t="s">
        <v>7588</v>
      </c>
      <c r="C39" s="37">
        <v>45715.0</v>
      </c>
      <c r="D39" s="37">
        <v>45715.0</v>
      </c>
      <c r="E39" s="38" t="s">
        <v>7589</v>
      </c>
      <c r="F39" s="38" t="s">
        <v>7590</v>
      </c>
      <c r="G39" s="39">
        <v>99922.0</v>
      </c>
      <c r="H39" s="42">
        <v>1330.0</v>
      </c>
      <c r="I39" s="40"/>
      <c r="J39" s="15"/>
      <c r="K39" s="15"/>
      <c r="L39" s="18" t="s">
        <v>23</v>
      </c>
      <c r="M39" s="15"/>
      <c r="N39" s="15" t="s">
        <v>114</v>
      </c>
      <c r="O39" s="15" t="s">
        <v>5523</v>
      </c>
    </row>
    <row r="40">
      <c r="A40" s="18" t="s">
        <v>7498</v>
      </c>
      <c r="B40" s="15" t="s">
        <v>7591</v>
      </c>
      <c r="C40" s="37">
        <v>45715.0</v>
      </c>
      <c r="D40" s="37">
        <v>45715.0</v>
      </c>
      <c r="E40" s="38" t="s">
        <v>7592</v>
      </c>
      <c r="F40" s="38" t="s">
        <v>7580</v>
      </c>
      <c r="G40" s="39">
        <v>16446.0</v>
      </c>
      <c r="H40" s="40"/>
      <c r="I40" s="42">
        <v>320.0</v>
      </c>
      <c r="J40" s="15"/>
      <c r="K40" s="15"/>
      <c r="L40" s="15" t="s">
        <v>539</v>
      </c>
      <c r="M40" s="15"/>
      <c r="N40" s="15" t="s">
        <v>24</v>
      </c>
      <c r="O40" s="15" t="s">
        <v>60</v>
      </c>
    </row>
    <row r="41">
      <c r="A41" s="18" t="s">
        <v>7498</v>
      </c>
      <c r="B41" s="15" t="s">
        <v>7593</v>
      </c>
      <c r="C41" s="37">
        <v>45715.0</v>
      </c>
      <c r="D41" s="37">
        <v>45715.0</v>
      </c>
      <c r="E41" s="38" t="s">
        <v>7594</v>
      </c>
      <c r="F41" s="38" t="s">
        <v>7580</v>
      </c>
      <c r="G41" s="39">
        <v>16446.0</v>
      </c>
      <c r="H41" s="40"/>
      <c r="I41" s="42">
        <v>183.0</v>
      </c>
      <c r="J41" s="15"/>
      <c r="K41" s="15"/>
      <c r="L41" s="15" t="s">
        <v>539</v>
      </c>
      <c r="M41" s="15"/>
      <c r="N41" s="15" t="s">
        <v>24</v>
      </c>
      <c r="O41" s="15" t="s">
        <v>60</v>
      </c>
    </row>
    <row r="42">
      <c r="A42" s="18" t="s">
        <v>7498</v>
      </c>
      <c r="B42" s="15" t="s">
        <v>7595</v>
      </c>
      <c r="C42" s="37">
        <v>45715.0</v>
      </c>
      <c r="D42" s="37">
        <v>45715.0</v>
      </c>
      <c r="E42" s="38" t="s">
        <v>7596</v>
      </c>
      <c r="F42" s="38" t="s">
        <v>7580</v>
      </c>
      <c r="G42" s="39">
        <v>16446.0</v>
      </c>
      <c r="H42" s="40"/>
      <c r="I42" s="42">
        <v>256.0</v>
      </c>
      <c r="J42" s="15"/>
      <c r="K42" s="15"/>
      <c r="L42" s="15" t="s">
        <v>539</v>
      </c>
      <c r="M42" s="15"/>
      <c r="N42" s="15" t="s">
        <v>24</v>
      </c>
      <c r="O42" s="15" t="s">
        <v>60</v>
      </c>
    </row>
    <row r="43">
      <c r="A43" s="18" t="s">
        <v>7498</v>
      </c>
      <c r="B43" s="15" t="s">
        <v>7597</v>
      </c>
      <c r="C43" s="37">
        <v>45715.0</v>
      </c>
      <c r="D43" s="37">
        <v>45715.0</v>
      </c>
      <c r="E43" s="38" t="s">
        <v>7598</v>
      </c>
      <c r="F43" s="38" t="s">
        <v>7580</v>
      </c>
      <c r="G43" s="39">
        <v>16446.0</v>
      </c>
      <c r="H43" s="40"/>
      <c r="I43" s="42">
        <v>109.0</v>
      </c>
      <c r="J43" s="15"/>
      <c r="K43" s="15"/>
      <c r="L43" s="15" t="s">
        <v>539</v>
      </c>
      <c r="M43" s="15"/>
      <c r="N43" s="15" t="s">
        <v>24</v>
      </c>
      <c r="O43" s="15" t="s">
        <v>60</v>
      </c>
    </row>
    <row r="44">
      <c r="A44" s="18" t="s">
        <v>7498</v>
      </c>
      <c r="B44" s="15" t="s">
        <v>7599</v>
      </c>
      <c r="C44" s="37">
        <v>45715.0</v>
      </c>
      <c r="D44" s="37">
        <v>45715.0</v>
      </c>
      <c r="E44" s="38" t="s">
        <v>7600</v>
      </c>
      <c r="F44" s="38" t="s">
        <v>7580</v>
      </c>
      <c r="G44" s="39">
        <v>16446.0</v>
      </c>
      <c r="H44" s="40"/>
      <c r="I44" s="42">
        <v>884.0</v>
      </c>
      <c r="J44" s="15"/>
      <c r="K44" s="15"/>
      <c r="L44" s="15" t="s">
        <v>539</v>
      </c>
      <c r="M44" s="15"/>
      <c r="N44" s="15" t="s">
        <v>24</v>
      </c>
      <c r="O44" s="15" t="s">
        <v>60</v>
      </c>
    </row>
    <row r="45">
      <c r="A45" s="18" t="s">
        <v>7498</v>
      </c>
      <c r="B45" s="15" t="s">
        <v>7601</v>
      </c>
      <c r="C45" s="37">
        <v>45716.0</v>
      </c>
      <c r="D45" s="37">
        <v>45716.0</v>
      </c>
      <c r="E45" s="38" t="s">
        <v>7602</v>
      </c>
      <c r="F45" s="38" t="s">
        <v>7508</v>
      </c>
      <c r="G45" s="39">
        <v>16446.0</v>
      </c>
      <c r="H45" s="40"/>
      <c r="I45" s="42">
        <v>296.0</v>
      </c>
      <c r="J45" s="15"/>
      <c r="K45" s="15"/>
      <c r="L45" s="15" t="s">
        <v>539</v>
      </c>
      <c r="M45" s="15"/>
      <c r="N45" s="15" t="s">
        <v>24</v>
      </c>
      <c r="O45" s="15" t="s">
        <v>60</v>
      </c>
    </row>
    <row r="46">
      <c r="A46" s="18" t="s">
        <v>7498</v>
      </c>
      <c r="B46" s="15" t="s">
        <v>7603</v>
      </c>
      <c r="C46" s="37">
        <v>45716.0</v>
      </c>
      <c r="D46" s="37">
        <v>45716.0</v>
      </c>
      <c r="E46" s="38" t="s">
        <v>7604</v>
      </c>
      <c r="F46" s="38" t="s">
        <v>7508</v>
      </c>
      <c r="G46" s="39">
        <v>16446.0</v>
      </c>
      <c r="H46" s="40"/>
      <c r="I46" s="42">
        <v>600.0</v>
      </c>
      <c r="J46" s="15"/>
      <c r="K46" s="15"/>
      <c r="L46" s="15" t="s">
        <v>539</v>
      </c>
      <c r="M46" s="15"/>
      <c r="N46" s="15" t="s">
        <v>24</v>
      </c>
      <c r="O46" s="15" t="s">
        <v>60</v>
      </c>
    </row>
    <row r="47">
      <c r="A47" s="18" t="s">
        <v>7498</v>
      </c>
      <c r="B47" s="15" t="s">
        <v>7605</v>
      </c>
      <c r="C47" s="37">
        <v>45717.0</v>
      </c>
      <c r="D47" s="37">
        <v>45717.0</v>
      </c>
      <c r="E47" s="38" t="s">
        <v>7606</v>
      </c>
      <c r="F47" s="38" t="s">
        <v>7534</v>
      </c>
      <c r="G47" s="39">
        <v>16446.0</v>
      </c>
      <c r="H47" s="44"/>
      <c r="I47" s="45">
        <v>1553.0</v>
      </c>
      <c r="J47" s="15"/>
      <c r="K47" s="15"/>
      <c r="L47" s="15" t="s">
        <v>539</v>
      </c>
      <c r="M47" s="15"/>
      <c r="N47" s="15" t="s">
        <v>24</v>
      </c>
      <c r="O47" s="15" t="s">
        <v>60</v>
      </c>
    </row>
    <row r="48">
      <c r="A48" s="18" t="s">
        <v>7498</v>
      </c>
      <c r="B48" s="15" t="s">
        <v>7607</v>
      </c>
      <c r="C48" s="37">
        <v>45717.0</v>
      </c>
      <c r="D48" s="37">
        <v>45717.0</v>
      </c>
      <c r="E48" s="38" t="s">
        <v>7608</v>
      </c>
      <c r="F48" s="38" t="s">
        <v>7534</v>
      </c>
      <c r="G48" s="39">
        <v>16446.0</v>
      </c>
      <c r="H48" s="44"/>
      <c r="I48" s="42">
        <v>676.0</v>
      </c>
      <c r="J48" s="15"/>
      <c r="K48" s="15"/>
      <c r="L48" s="15" t="s">
        <v>539</v>
      </c>
      <c r="M48" s="15"/>
      <c r="N48" s="15" t="s">
        <v>24</v>
      </c>
      <c r="O48" s="15" t="s">
        <v>60</v>
      </c>
    </row>
    <row r="49">
      <c r="A49" s="18" t="s">
        <v>7498</v>
      </c>
      <c r="B49" s="15" t="s">
        <v>7609</v>
      </c>
      <c r="C49" s="37">
        <v>45717.0</v>
      </c>
      <c r="D49" s="37">
        <v>45717.0</v>
      </c>
      <c r="E49" s="38" t="s">
        <v>7610</v>
      </c>
      <c r="F49" s="38" t="s">
        <v>7534</v>
      </c>
      <c r="G49" s="39">
        <v>16446.0</v>
      </c>
      <c r="H49" s="44"/>
      <c r="I49" s="45">
        <v>349.0</v>
      </c>
      <c r="J49" s="15"/>
      <c r="K49" s="15"/>
      <c r="L49" s="15" t="s">
        <v>539</v>
      </c>
      <c r="M49" s="15"/>
      <c r="N49" s="15" t="s">
        <v>24</v>
      </c>
      <c r="O49" s="15" t="s">
        <v>60</v>
      </c>
    </row>
    <row r="50">
      <c r="A50" s="18" t="s">
        <v>7498</v>
      </c>
      <c r="B50" s="15" t="s">
        <v>7611</v>
      </c>
      <c r="C50" s="43">
        <v>45717.0</v>
      </c>
      <c r="D50" s="43">
        <v>45717.0</v>
      </c>
      <c r="E50" s="38" t="s">
        <v>7612</v>
      </c>
      <c r="F50" s="38" t="s">
        <v>7534</v>
      </c>
      <c r="G50" s="39">
        <v>16446.0</v>
      </c>
      <c r="H50" s="40"/>
      <c r="I50" s="45">
        <v>96.0</v>
      </c>
      <c r="J50" s="15"/>
      <c r="K50" s="15"/>
      <c r="L50" s="15" t="s">
        <v>539</v>
      </c>
      <c r="M50" s="15"/>
      <c r="N50" s="15" t="s">
        <v>24</v>
      </c>
      <c r="O50" s="15" t="s">
        <v>60</v>
      </c>
    </row>
    <row r="51">
      <c r="A51" s="18" t="s">
        <v>7498</v>
      </c>
      <c r="B51" s="15" t="s">
        <v>7613</v>
      </c>
      <c r="C51" s="43">
        <v>45717.0</v>
      </c>
      <c r="D51" s="43">
        <v>45717.0</v>
      </c>
      <c r="E51" s="38" t="s">
        <v>7614</v>
      </c>
      <c r="F51" s="38" t="s">
        <v>7534</v>
      </c>
      <c r="G51" s="39">
        <v>16446.0</v>
      </c>
      <c r="H51" s="40"/>
      <c r="I51" s="45">
        <v>250.0</v>
      </c>
      <c r="J51" s="15"/>
      <c r="K51" s="15"/>
      <c r="L51" s="15" t="s">
        <v>539</v>
      </c>
      <c r="M51" s="15"/>
      <c r="N51" s="15" t="s">
        <v>24</v>
      </c>
      <c r="O51" s="15" t="s">
        <v>60</v>
      </c>
    </row>
    <row r="52">
      <c r="A52" s="18" t="s">
        <v>7498</v>
      </c>
      <c r="B52" s="15" t="s">
        <v>7615</v>
      </c>
      <c r="C52" s="43">
        <v>45717.0</v>
      </c>
      <c r="D52" s="43">
        <v>45717.0</v>
      </c>
      <c r="E52" s="38" t="s">
        <v>7616</v>
      </c>
      <c r="F52" s="38" t="s">
        <v>7534</v>
      </c>
      <c r="G52" s="39">
        <v>16446.0</v>
      </c>
      <c r="H52" s="40"/>
      <c r="I52" s="45">
        <v>49.0</v>
      </c>
      <c r="J52" s="15"/>
      <c r="K52" s="15"/>
      <c r="L52" s="15" t="s">
        <v>539</v>
      </c>
      <c r="M52" s="15"/>
      <c r="N52" s="15" t="s">
        <v>24</v>
      </c>
      <c r="O52" s="15" t="s">
        <v>60</v>
      </c>
    </row>
    <row r="53">
      <c r="A53" s="18" t="s">
        <v>7498</v>
      </c>
      <c r="B53" s="15" t="s">
        <v>7617</v>
      </c>
      <c r="C53" s="43">
        <v>45717.0</v>
      </c>
      <c r="D53" s="43">
        <v>45717.0</v>
      </c>
      <c r="E53" s="38" t="s">
        <v>7618</v>
      </c>
      <c r="F53" s="38" t="s">
        <v>7619</v>
      </c>
      <c r="G53" s="39">
        <v>16446.0</v>
      </c>
      <c r="H53" s="40"/>
      <c r="I53" s="45">
        <v>1330.0</v>
      </c>
      <c r="J53" s="15"/>
      <c r="K53" s="15"/>
      <c r="L53" s="15" t="s">
        <v>539</v>
      </c>
      <c r="M53" s="15"/>
      <c r="N53" s="15" t="s">
        <v>24</v>
      </c>
      <c r="O53" s="15" t="s">
        <v>60</v>
      </c>
    </row>
    <row r="54">
      <c r="A54" s="18" t="s">
        <v>7498</v>
      </c>
      <c r="B54" s="15" t="s">
        <v>7620</v>
      </c>
      <c r="C54" s="43">
        <v>45718.0</v>
      </c>
      <c r="D54" s="43">
        <v>45718.0</v>
      </c>
      <c r="E54" s="38" t="s">
        <v>7621</v>
      </c>
      <c r="F54" s="38" t="s">
        <v>7567</v>
      </c>
      <c r="G54" s="39">
        <v>16446.0</v>
      </c>
      <c r="H54" s="40"/>
      <c r="I54" s="45">
        <v>333.0</v>
      </c>
      <c r="J54" s="15"/>
      <c r="K54" s="15"/>
      <c r="L54" s="15" t="s">
        <v>539</v>
      </c>
      <c r="M54" s="15"/>
      <c r="N54" s="15" t="s">
        <v>24</v>
      </c>
      <c r="O54" s="15" t="s">
        <v>60</v>
      </c>
    </row>
    <row r="55">
      <c r="A55" s="18" t="s">
        <v>7498</v>
      </c>
      <c r="B55" s="15" t="s">
        <v>7622</v>
      </c>
      <c r="C55" s="43">
        <v>45718.0</v>
      </c>
      <c r="D55" s="43">
        <v>45718.0</v>
      </c>
      <c r="E55" s="38" t="s">
        <v>7623</v>
      </c>
      <c r="F55" s="38" t="s">
        <v>7567</v>
      </c>
      <c r="G55" s="39">
        <v>16446.0</v>
      </c>
      <c r="H55" s="40"/>
      <c r="I55" s="45">
        <v>470.0</v>
      </c>
      <c r="J55" s="15"/>
      <c r="K55" s="15"/>
      <c r="L55" s="15" t="s">
        <v>539</v>
      </c>
      <c r="M55" s="15"/>
      <c r="N55" s="15" t="s">
        <v>24</v>
      </c>
      <c r="O55" s="15" t="s">
        <v>60</v>
      </c>
    </row>
    <row r="56">
      <c r="A56" s="18" t="s">
        <v>7498</v>
      </c>
      <c r="B56" s="15" t="s">
        <v>7624</v>
      </c>
      <c r="C56" s="43">
        <v>45718.0</v>
      </c>
      <c r="D56" s="43">
        <v>45718.0</v>
      </c>
      <c r="E56" s="38" t="s">
        <v>7625</v>
      </c>
      <c r="F56" s="38" t="s">
        <v>7567</v>
      </c>
      <c r="G56" s="39">
        <v>16446.0</v>
      </c>
      <c r="H56" s="40"/>
      <c r="I56" s="45">
        <v>2488.0</v>
      </c>
      <c r="J56" s="15"/>
      <c r="K56" s="15"/>
      <c r="L56" s="15" t="s">
        <v>539</v>
      </c>
      <c r="M56" s="15"/>
      <c r="N56" s="15" t="s">
        <v>24</v>
      </c>
      <c r="O56" s="15" t="s">
        <v>60</v>
      </c>
    </row>
    <row r="57">
      <c r="A57" s="18" t="s">
        <v>7498</v>
      </c>
      <c r="B57" s="15" t="s">
        <v>7626</v>
      </c>
      <c r="C57" s="43">
        <v>45718.0</v>
      </c>
      <c r="D57" s="43">
        <v>45718.0</v>
      </c>
      <c r="E57" s="38" t="s">
        <v>7627</v>
      </c>
      <c r="F57" s="38" t="s">
        <v>7567</v>
      </c>
      <c r="G57" s="39">
        <v>16446.0</v>
      </c>
      <c r="H57" s="40"/>
      <c r="I57" s="45">
        <v>2128.0</v>
      </c>
      <c r="J57" s="15"/>
      <c r="K57" s="15"/>
      <c r="L57" s="15" t="s">
        <v>539</v>
      </c>
      <c r="M57" s="15"/>
      <c r="N57" s="15" t="s">
        <v>24</v>
      </c>
      <c r="O57" s="15" t="s">
        <v>60</v>
      </c>
    </row>
    <row r="58">
      <c r="A58" s="18" t="s">
        <v>7498</v>
      </c>
      <c r="B58" s="15" t="s">
        <v>7628</v>
      </c>
      <c r="C58" s="37">
        <v>45718.0</v>
      </c>
      <c r="D58" s="37">
        <v>45718.0</v>
      </c>
      <c r="E58" s="38" t="s">
        <v>7629</v>
      </c>
      <c r="F58" s="38" t="s">
        <v>7567</v>
      </c>
      <c r="G58" s="39">
        <v>16446.0</v>
      </c>
      <c r="H58" s="40"/>
      <c r="I58" s="45">
        <v>3280.0</v>
      </c>
      <c r="J58" s="15"/>
      <c r="K58" s="15"/>
      <c r="L58" s="15" t="s">
        <v>539</v>
      </c>
      <c r="M58" s="15"/>
      <c r="N58" s="15" t="s">
        <v>24</v>
      </c>
      <c r="O58" s="15" t="s">
        <v>60</v>
      </c>
    </row>
    <row r="59">
      <c r="A59" s="18" t="s">
        <v>7498</v>
      </c>
      <c r="B59" s="15" t="s">
        <v>7630</v>
      </c>
      <c r="C59" s="37">
        <v>45718.0</v>
      </c>
      <c r="D59" s="37">
        <v>45718.0</v>
      </c>
      <c r="E59" s="38" t="s">
        <v>7631</v>
      </c>
      <c r="F59" s="38" t="s">
        <v>7567</v>
      </c>
      <c r="G59" s="39">
        <v>16446.0</v>
      </c>
      <c r="H59" s="40"/>
      <c r="I59" s="42">
        <v>392.0</v>
      </c>
      <c r="J59" s="15"/>
      <c r="K59" s="15"/>
      <c r="L59" s="15" t="s">
        <v>539</v>
      </c>
      <c r="M59" s="15"/>
      <c r="N59" s="15" t="s">
        <v>24</v>
      </c>
      <c r="O59" s="15" t="s">
        <v>60</v>
      </c>
    </row>
    <row r="60">
      <c r="A60" s="18" t="s">
        <v>7498</v>
      </c>
      <c r="B60" s="15" t="s">
        <v>7632</v>
      </c>
      <c r="C60" s="37">
        <v>45719.0</v>
      </c>
      <c r="D60" s="37">
        <v>45719.0</v>
      </c>
      <c r="E60" s="38" t="s">
        <v>7633</v>
      </c>
      <c r="F60" s="38" t="s">
        <v>7537</v>
      </c>
      <c r="G60" s="39">
        <v>16446.0</v>
      </c>
      <c r="H60" s="40"/>
      <c r="I60" s="42">
        <v>239.0</v>
      </c>
      <c r="J60" s="15"/>
      <c r="K60" s="15"/>
      <c r="L60" s="15" t="s">
        <v>539</v>
      </c>
      <c r="M60" s="15"/>
      <c r="N60" s="15" t="s">
        <v>24</v>
      </c>
      <c r="O60" s="15" t="s">
        <v>60</v>
      </c>
    </row>
    <row r="61">
      <c r="A61" s="18" t="s">
        <v>7498</v>
      </c>
      <c r="B61" s="15" t="s">
        <v>7634</v>
      </c>
      <c r="C61" s="37">
        <v>45719.0</v>
      </c>
      <c r="D61" s="37">
        <v>45719.0</v>
      </c>
      <c r="E61" s="38" t="s">
        <v>7635</v>
      </c>
      <c r="F61" s="38" t="s">
        <v>7636</v>
      </c>
      <c r="G61" s="39">
        <v>99922.0</v>
      </c>
      <c r="H61" s="45">
        <v>32400.0</v>
      </c>
      <c r="I61" s="40"/>
      <c r="J61" s="15"/>
      <c r="K61" s="15"/>
      <c r="L61" s="18" t="s">
        <v>23</v>
      </c>
      <c r="M61" s="15"/>
      <c r="N61" s="15" t="s">
        <v>114</v>
      </c>
      <c r="O61" s="15" t="s">
        <v>385</v>
      </c>
    </row>
    <row r="62">
      <c r="A62" s="18" t="s">
        <v>7498</v>
      </c>
      <c r="B62" s="15" t="s">
        <v>7637</v>
      </c>
      <c r="C62" s="37">
        <v>45719.0</v>
      </c>
      <c r="D62" s="37">
        <v>45719.0</v>
      </c>
      <c r="E62" s="38" t="s">
        <v>7638</v>
      </c>
      <c r="F62" s="38" t="s">
        <v>7537</v>
      </c>
      <c r="G62" s="39">
        <v>16446.0</v>
      </c>
      <c r="H62" s="40"/>
      <c r="I62" s="42">
        <v>613.0</v>
      </c>
      <c r="J62" s="15"/>
      <c r="K62" s="15"/>
      <c r="L62" s="15" t="s">
        <v>539</v>
      </c>
      <c r="M62" s="15"/>
      <c r="N62" s="15" t="s">
        <v>24</v>
      </c>
      <c r="O62" s="15" t="s">
        <v>60</v>
      </c>
    </row>
    <row r="63">
      <c r="A63" s="18" t="s">
        <v>7498</v>
      </c>
      <c r="B63" s="15" t="s">
        <v>7639</v>
      </c>
      <c r="C63" s="37">
        <v>45719.0</v>
      </c>
      <c r="D63" s="37">
        <v>45719.0</v>
      </c>
      <c r="E63" s="38" t="s">
        <v>7640</v>
      </c>
      <c r="F63" s="38" t="s">
        <v>7641</v>
      </c>
      <c r="G63" s="39">
        <v>99922.0</v>
      </c>
      <c r="H63" s="45">
        <v>1810.0</v>
      </c>
      <c r="I63" s="40"/>
      <c r="J63" s="15"/>
      <c r="K63" s="15"/>
      <c r="L63" s="15" t="s">
        <v>127</v>
      </c>
      <c r="M63" s="15"/>
      <c r="N63" s="15" t="s">
        <v>114</v>
      </c>
      <c r="O63" s="15" t="s">
        <v>220</v>
      </c>
    </row>
    <row r="64">
      <c r="A64" s="18" t="s">
        <v>7498</v>
      </c>
      <c r="B64" s="15" t="s">
        <v>7642</v>
      </c>
      <c r="C64" s="37">
        <v>45719.0</v>
      </c>
      <c r="D64" s="37">
        <v>45719.0</v>
      </c>
      <c r="E64" s="38" t="s">
        <v>7643</v>
      </c>
      <c r="F64" s="38" t="s">
        <v>7537</v>
      </c>
      <c r="G64" s="39">
        <v>16446.0</v>
      </c>
      <c r="H64" s="40"/>
      <c r="I64" s="42">
        <v>239.0</v>
      </c>
      <c r="J64" s="15"/>
      <c r="K64" s="15"/>
      <c r="L64" s="15" t="s">
        <v>539</v>
      </c>
      <c r="M64" s="15"/>
      <c r="N64" s="15" t="s">
        <v>24</v>
      </c>
      <c r="O64" s="15" t="s">
        <v>60</v>
      </c>
    </row>
    <row r="65">
      <c r="A65" s="18" t="s">
        <v>7498</v>
      </c>
      <c r="B65" s="15" t="s">
        <v>7644</v>
      </c>
      <c r="C65" s="37">
        <v>45720.0</v>
      </c>
      <c r="D65" s="37">
        <v>45720.0</v>
      </c>
      <c r="E65" s="38" t="s">
        <v>7645</v>
      </c>
      <c r="F65" s="38" t="s">
        <v>7544</v>
      </c>
      <c r="G65" s="39">
        <v>16446.0</v>
      </c>
      <c r="H65" s="40"/>
      <c r="I65" s="45">
        <v>618.0</v>
      </c>
      <c r="J65" s="15"/>
      <c r="K65" s="15"/>
      <c r="L65" s="15" t="s">
        <v>539</v>
      </c>
      <c r="M65" s="15"/>
      <c r="N65" s="15" t="s">
        <v>24</v>
      </c>
      <c r="O65" s="15" t="s">
        <v>60</v>
      </c>
    </row>
    <row r="66">
      <c r="A66" s="18" t="s">
        <v>7498</v>
      </c>
      <c r="B66" s="15" t="s">
        <v>7646</v>
      </c>
      <c r="C66" s="37">
        <v>45720.0</v>
      </c>
      <c r="D66" s="37">
        <v>45720.0</v>
      </c>
      <c r="E66" s="38" t="s">
        <v>7647</v>
      </c>
      <c r="F66" s="38" t="s">
        <v>7544</v>
      </c>
      <c r="G66" s="39">
        <v>16446.0</v>
      </c>
      <c r="H66" s="40"/>
      <c r="I66" s="45">
        <v>640.0</v>
      </c>
      <c r="J66" s="15"/>
      <c r="K66" s="15"/>
      <c r="L66" s="15" t="s">
        <v>539</v>
      </c>
      <c r="M66" s="15"/>
      <c r="N66" s="15" t="s">
        <v>24</v>
      </c>
      <c r="O66" s="15" t="s">
        <v>60</v>
      </c>
    </row>
    <row r="67">
      <c r="A67" s="18" t="s">
        <v>7498</v>
      </c>
      <c r="B67" s="15" t="s">
        <v>7648</v>
      </c>
      <c r="C67" s="37">
        <v>45720.0</v>
      </c>
      <c r="D67" s="37">
        <v>45720.0</v>
      </c>
      <c r="E67" s="38" t="s">
        <v>7649</v>
      </c>
      <c r="F67" s="38" t="s">
        <v>7544</v>
      </c>
      <c r="G67" s="39">
        <v>16446.0</v>
      </c>
      <c r="H67" s="40"/>
      <c r="I67" s="45">
        <v>1631.0</v>
      </c>
      <c r="J67" s="15"/>
      <c r="K67" s="15"/>
      <c r="L67" s="15" t="s">
        <v>539</v>
      </c>
      <c r="M67" s="15"/>
      <c r="N67" s="15" t="s">
        <v>24</v>
      </c>
      <c r="O67" s="15" t="s">
        <v>60</v>
      </c>
    </row>
    <row r="68">
      <c r="A68" s="18" t="s">
        <v>7498</v>
      </c>
      <c r="B68" s="15" t="s">
        <v>7650</v>
      </c>
      <c r="C68" s="37">
        <v>45721.0</v>
      </c>
      <c r="D68" s="37">
        <v>45721.0</v>
      </c>
      <c r="E68" s="38" t="s">
        <v>7651</v>
      </c>
      <c r="F68" s="38" t="s">
        <v>7557</v>
      </c>
      <c r="G68" s="39">
        <v>16446.0</v>
      </c>
      <c r="H68" s="40"/>
      <c r="I68" s="42">
        <v>860.16</v>
      </c>
      <c r="J68" s="15"/>
      <c r="K68" s="15"/>
      <c r="L68" s="15" t="s">
        <v>539</v>
      </c>
      <c r="M68" s="15"/>
      <c r="N68" s="15" t="s">
        <v>24</v>
      </c>
      <c r="O68" s="15" t="s">
        <v>60</v>
      </c>
    </row>
    <row r="69">
      <c r="A69" s="18" t="s">
        <v>7498</v>
      </c>
      <c r="B69" s="15" t="s">
        <v>7652</v>
      </c>
      <c r="C69" s="37">
        <v>45721.0</v>
      </c>
      <c r="D69" s="37">
        <v>45721.0</v>
      </c>
      <c r="E69" s="38" t="s">
        <v>7653</v>
      </c>
      <c r="F69" s="38" t="s">
        <v>7557</v>
      </c>
      <c r="G69" s="39">
        <v>16446.0</v>
      </c>
      <c r="H69" s="40"/>
      <c r="I69" s="42">
        <v>589.0</v>
      </c>
      <c r="J69" s="15"/>
      <c r="K69" s="15"/>
      <c r="L69" s="15" t="s">
        <v>539</v>
      </c>
      <c r="M69" s="15"/>
      <c r="N69" s="15" t="s">
        <v>24</v>
      </c>
      <c r="O69" s="15" t="s">
        <v>60</v>
      </c>
    </row>
    <row r="70">
      <c r="A70" s="18" t="s">
        <v>7498</v>
      </c>
      <c r="B70" s="15" t="s">
        <v>7654</v>
      </c>
      <c r="C70" s="37">
        <v>45722.0</v>
      </c>
      <c r="D70" s="37">
        <v>45722.0</v>
      </c>
      <c r="E70" s="38" t="s">
        <v>7655</v>
      </c>
      <c r="F70" s="38" t="s">
        <v>7580</v>
      </c>
      <c r="G70" s="39">
        <v>16446.0</v>
      </c>
      <c r="H70" s="44"/>
      <c r="I70" s="45">
        <v>1197.0</v>
      </c>
      <c r="J70" s="15"/>
      <c r="K70" s="15"/>
      <c r="L70" s="15" t="s">
        <v>539</v>
      </c>
      <c r="M70" s="15"/>
      <c r="N70" s="15" t="s">
        <v>24</v>
      </c>
      <c r="O70" s="15" t="s">
        <v>60</v>
      </c>
    </row>
    <row r="71">
      <c r="A71" s="18" t="s">
        <v>7498</v>
      </c>
      <c r="B71" s="15" t="s">
        <v>7656</v>
      </c>
      <c r="C71" s="37">
        <v>45723.0</v>
      </c>
      <c r="D71" s="37">
        <v>45723.0</v>
      </c>
      <c r="E71" s="38" t="s">
        <v>7657</v>
      </c>
      <c r="F71" s="38" t="s">
        <v>7658</v>
      </c>
      <c r="G71" s="39">
        <v>99922.0</v>
      </c>
      <c r="H71" s="45">
        <v>16008.0</v>
      </c>
      <c r="I71" s="44"/>
      <c r="J71" s="15"/>
      <c r="K71" s="15"/>
      <c r="L71" s="15" t="s">
        <v>123</v>
      </c>
      <c r="M71" s="15"/>
      <c r="N71" s="15" t="s">
        <v>114</v>
      </c>
      <c r="O71" s="15" t="s">
        <v>169</v>
      </c>
    </row>
    <row r="72">
      <c r="A72" s="18" t="s">
        <v>7498</v>
      </c>
      <c r="B72" s="15" t="s">
        <v>7659</v>
      </c>
      <c r="C72" s="37">
        <v>45723.0</v>
      </c>
      <c r="D72" s="37">
        <v>45723.0</v>
      </c>
      <c r="E72" s="38" t="s">
        <v>7660</v>
      </c>
      <c r="F72" s="38" t="s">
        <v>7661</v>
      </c>
      <c r="G72" s="39">
        <v>99922.0</v>
      </c>
      <c r="H72" s="45">
        <v>1123.0</v>
      </c>
      <c r="I72" s="40"/>
      <c r="J72" s="15"/>
      <c r="K72" s="15"/>
      <c r="L72" s="15" t="s">
        <v>123</v>
      </c>
      <c r="M72" s="15"/>
      <c r="N72" s="15" t="s">
        <v>114</v>
      </c>
      <c r="O72" s="15" t="s">
        <v>169</v>
      </c>
    </row>
    <row r="73">
      <c r="A73" s="18" t="s">
        <v>7498</v>
      </c>
      <c r="B73" s="15" t="s">
        <v>7662</v>
      </c>
      <c r="C73" s="37">
        <v>45723.0</v>
      </c>
      <c r="D73" s="37">
        <v>45723.0</v>
      </c>
      <c r="E73" s="38" t="s">
        <v>7657</v>
      </c>
      <c r="F73" s="38" t="s">
        <v>7663</v>
      </c>
      <c r="G73" s="39">
        <v>99922.0</v>
      </c>
      <c r="H73" s="42">
        <v>500.0</v>
      </c>
      <c r="I73" s="44"/>
      <c r="J73" s="15"/>
      <c r="K73" s="15"/>
      <c r="L73" s="15" t="s">
        <v>123</v>
      </c>
      <c r="M73" s="15"/>
      <c r="N73" s="15" t="s">
        <v>114</v>
      </c>
      <c r="O73" s="15" t="s">
        <v>169</v>
      </c>
    </row>
    <row r="74">
      <c r="A74" s="18" t="s">
        <v>7498</v>
      </c>
      <c r="B74" s="15" t="s">
        <v>7664</v>
      </c>
      <c r="C74" s="37">
        <v>45723.0</v>
      </c>
      <c r="D74" s="37">
        <v>45723.0</v>
      </c>
      <c r="E74" s="38" t="s">
        <v>7665</v>
      </c>
      <c r="F74" s="38" t="s">
        <v>7666</v>
      </c>
      <c r="G74" s="39">
        <v>16446.0</v>
      </c>
      <c r="H74" s="45">
        <v>7337.0</v>
      </c>
      <c r="I74" s="40"/>
      <c r="J74" s="15"/>
      <c r="K74" s="15"/>
      <c r="L74" s="15" t="s">
        <v>123</v>
      </c>
      <c r="M74" s="15"/>
      <c r="N74" s="15" t="s">
        <v>114</v>
      </c>
      <c r="O74" s="15" t="s">
        <v>169</v>
      </c>
    </row>
    <row r="75">
      <c r="A75" s="18" t="s">
        <v>7498</v>
      </c>
      <c r="B75" s="15" t="s">
        <v>7667</v>
      </c>
      <c r="C75" s="37">
        <v>45723.0</v>
      </c>
      <c r="D75" s="37">
        <v>45723.0</v>
      </c>
      <c r="E75" s="38" t="s">
        <v>7668</v>
      </c>
      <c r="F75" s="38" t="s">
        <v>7666</v>
      </c>
      <c r="G75" s="39">
        <v>16446.0</v>
      </c>
      <c r="H75" s="45">
        <v>27000.0</v>
      </c>
      <c r="I75" s="40"/>
      <c r="J75" s="15"/>
      <c r="K75" s="15"/>
      <c r="L75" s="15" t="s">
        <v>127</v>
      </c>
      <c r="M75" s="15"/>
      <c r="N75" s="15" t="s">
        <v>114</v>
      </c>
      <c r="O75" s="15" t="s">
        <v>169</v>
      </c>
    </row>
    <row r="76">
      <c r="A76" s="18" t="s">
        <v>7498</v>
      </c>
      <c r="B76" s="15" t="s">
        <v>7669</v>
      </c>
      <c r="C76" s="37">
        <v>45723.0</v>
      </c>
      <c r="D76" s="37">
        <v>45723.0</v>
      </c>
      <c r="E76" s="38" t="s">
        <v>7670</v>
      </c>
      <c r="F76" s="38" t="s">
        <v>7508</v>
      </c>
      <c r="G76" s="39">
        <v>16446.0</v>
      </c>
      <c r="H76" s="40"/>
      <c r="I76" s="42">
        <v>299.0</v>
      </c>
      <c r="J76" s="15"/>
      <c r="K76" s="15"/>
      <c r="L76" s="15" t="s">
        <v>539</v>
      </c>
      <c r="M76" s="15"/>
      <c r="N76" s="15" t="s">
        <v>24</v>
      </c>
      <c r="O76" s="15" t="s">
        <v>60</v>
      </c>
    </row>
    <row r="77">
      <c r="A77" s="18" t="s">
        <v>7498</v>
      </c>
      <c r="B77" s="15" t="s">
        <v>7671</v>
      </c>
      <c r="C77" s="37">
        <v>45723.0</v>
      </c>
      <c r="D77" s="37">
        <v>45723.0</v>
      </c>
      <c r="E77" s="38" t="s">
        <v>7672</v>
      </c>
      <c r="F77" s="38" t="s">
        <v>7508</v>
      </c>
      <c r="G77" s="39">
        <v>16446.0</v>
      </c>
      <c r="H77" s="40"/>
      <c r="I77" s="42">
        <v>470.0</v>
      </c>
      <c r="J77" s="15"/>
      <c r="K77" s="15"/>
      <c r="L77" s="15" t="s">
        <v>539</v>
      </c>
      <c r="M77" s="15"/>
      <c r="N77" s="15" t="s">
        <v>24</v>
      </c>
      <c r="O77" s="15" t="s">
        <v>60</v>
      </c>
    </row>
    <row r="78">
      <c r="A78" s="18" t="s">
        <v>7498</v>
      </c>
      <c r="B78" s="15" t="s">
        <v>7673</v>
      </c>
      <c r="C78" s="37">
        <v>45723.0</v>
      </c>
      <c r="D78" s="37">
        <v>45723.0</v>
      </c>
      <c r="E78" s="38" t="s">
        <v>7674</v>
      </c>
      <c r="F78" s="38" t="s">
        <v>7508</v>
      </c>
      <c r="G78" s="39">
        <v>16446.0</v>
      </c>
      <c r="H78" s="44"/>
      <c r="I78" s="42">
        <v>996.0</v>
      </c>
      <c r="J78" s="15"/>
      <c r="K78" s="15"/>
      <c r="L78" s="15" t="s">
        <v>539</v>
      </c>
      <c r="M78" s="15"/>
      <c r="N78" s="15" t="s">
        <v>24</v>
      </c>
      <c r="O78" s="15" t="s">
        <v>60</v>
      </c>
    </row>
    <row r="79">
      <c r="A79" s="18" t="s">
        <v>7498</v>
      </c>
      <c r="B79" s="15" t="s">
        <v>7675</v>
      </c>
      <c r="C79" s="37">
        <v>45724.0</v>
      </c>
      <c r="D79" s="37">
        <v>45724.0</v>
      </c>
      <c r="E79" s="38" t="s">
        <v>7676</v>
      </c>
      <c r="F79" s="38" t="s">
        <v>7534</v>
      </c>
      <c r="G79" s="39">
        <v>16446.0</v>
      </c>
      <c r="H79" s="44"/>
      <c r="I79" s="42">
        <v>50.0</v>
      </c>
      <c r="J79" s="15"/>
      <c r="K79" s="15"/>
      <c r="L79" s="15" t="s">
        <v>539</v>
      </c>
      <c r="M79" s="15"/>
      <c r="N79" s="15" t="s">
        <v>24</v>
      </c>
      <c r="O79" s="15" t="s">
        <v>60</v>
      </c>
    </row>
    <row r="80">
      <c r="A80" s="18" t="s">
        <v>7498</v>
      </c>
      <c r="B80" s="15" t="s">
        <v>7677</v>
      </c>
      <c r="C80" s="37">
        <v>45724.0</v>
      </c>
      <c r="D80" s="37">
        <v>45724.0</v>
      </c>
      <c r="E80" s="38" t="s">
        <v>7678</v>
      </c>
      <c r="F80" s="38" t="s">
        <v>7534</v>
      </c>
      <c r="G80" s="39">
        <v>16446.0</v>
      </c>
      <c r="H80" s="40"/>
      <c r="I80" s="45">
        <v>590.0</v>
      </c>
      <c r="J80" s="15"/>
      <c r="K80" s="15"/>
      <c r="L80" s="15" t="s">
        <v>539</v>
      </c>
      <c r="M80" s="15"/>
      <c r="N80" s="15" t="s">
        <v>24</v>
      </c>
      <c r="O80" s="15" t="s">
        <v>60</v>
      </c>
    </row>
    <row r="81">
      <c r="A81" s="18" t="s">
        <v>7498</v>
      </c>
      <c r="B81" s="15" t="s">
        <v>7679</v>
      </c>
      <c r="C81" s="37">
        <v>45724.0</v>
      </c>
      <c r="D81" s="37">
        <v>45724.0</v>
      </c>
      <c r="E81" s="38" t="s">
        <v>7680</v>
      </c>
      <c r="F81" s="38" t="s">
        <v>7534</v>
      </c>
      <c r="G81" s="39">
        <v>16446.0</v>
      </c>
      <c r="H81" s="44"/>
      <c r="I81" s="42">
        <v>448.0</v>
      </c>
      <c r="J81" s="15"/>
      <c r="K81" s="15"/>
      <c r="L81" s="15" t="s">
        <v>539</v>
      </c>
      <c r="M81" s="15"/>
      <c r="N81" s="15" t="s">
        <v>24</v>
      </c>
      <c r="O81" s="15" t="s">
        <v>60</v>
      </c>
    </row>
    <row r="82">
      <c r="A82" s="18" t="s">
        <v>7498</v>
      </c>
      <c r="B82" s="15" t="s">
        <v>7681</v>
      </c>
      <c r="C82" s="37">
        <v>45725.0</v>
      </c>
      <c r="D82" s="37">
        <v>45725.0</v>
      </c>
      <c r="E82" s="38" t="s">
        <v>7682</v>
      </c>
      <c r="F82" s="38" t="s">
        <v>7567</v>
      </c>
      <c r="G82" s="39">
        <v>16446.0</v>
      </c>
      <c r="H82" s="40"/>
      <c r="I82" s="42">
        <v>356.0</v>
      </c>
      <c r="J82" s="15"/>
      <c r="K82" s="15"/>
      <c r="L82" s="15" t="s">
        <v>539</v>
      </c>
      <c r="M82" s="15"/>
      <c r="N82" s="15" t="s">
        <v>24</v>
      </c>
      <c r="O82" s="15" t="s">
        <v>60</v>
      </c>
    </row>
    <row r="83">
      <c r="A83" s="18" t="s">
        <v>7498</v>
      </c>
      <c r="B83" s="15" t="s">
        <v>7683</v>
      </c>
      <c r="C83" s="37">
        <v>45725.0</v>
      </c>
      <c r="D83" s="37">
        <v>45725.0</v>
      </c>
      <c r="E83" s="38" t="s">
        <v>7684</v>
      </c>
      <c r="F83" s="38" t="s">
        <v>7567</v>
      </c>
      <c r="G83" s="39">
        <v>16446.0</v>
      </c>
      <c r="H83" s="40"/>
      <c r="I83" s="42">
        <v>257.0</v>
      </c>
      <c r="J83" s="15"/>
      <c r="K83" s="15"/>
      <c r="L83" s="15" t="s">
        <v>539</v>
      </c>
      <c r="M83" s="15"/>
      <c r="N83" s="15" t="s">
        <v>24</v>
      </c>
      <c r="O83" s="15" t="s">
        <v>60</v>
      </c>
    </row>
    <row r="84">
      <c r="A84" s="18" t="s">
        <v>7498</v>
      </c>
      <c r="B84" s="15" t="s">
        <v>7685</v>
      </c>
      <c r="C84" s="37">
        <v>45725.0</v>
      </c>
      <c r="D84" s="37">
        <v>45725.0</v>
      </c>
      <c r="E84" s="38" t="s">
        <v>7686</v>
      </c>
      <c r="F84" s="38" t="s">
        <v>7567</v>
      </c>
      <c r="G84" s="39">
        <v>16446.0</v>
      </c>
      <c r="H84" s="40"/>
      <c r="I84" s="45">
        <v>1006.0</v>
      </c>
      <c r="J84" s="15"/>
      <c r="K84" s="15"/>
      <c r="L84" s="15" t="s">
        <v>539</v>
      </c>
      <c r="M84" s="15"/>
      <c r="N84" s="15" t="s">
        <v>24</v>
      </c>
      <c r="O84" s="15" t="s">
        <v>60</v>
      </c>
    </row>
    <row r="85">
      <c r="A85" s="18" t="s">
        <v>7498</v>
      </c>
      <c r="B85" s="15" t="s">
        <v>7687</v>
      </c>
      <c r="C85" s="37">
        <v>45725.0</v>
      </c>
      <c r="D85" s="37">
        <v>45725.0</v>
      </c>
      <c r="E85" s="38" t="s">
        <v>7688</v>
      </c>
      <c r="F85" s="38" t="s">
        <v>7567</v>
      </c>
      <c r="G85" s="39">
        <v>16446.0</v>
      </c>
      <c r="H85" s="40"/>
      <c r="I85" s="42">
        <v>664.0</v>
      </c>
      <c r="J85" s="15"/>
      <c r="K85" s="15"/>
      <c r="L85" s="15" t="s">
        <v>539</v>
      </c>
      <c r="M85" s="15"/>
      <c r="N85" s="15" t="s">
        <v>24</v>
      </c>
      <c r="O85" s="15" t="s">
        <v>60</v>
      </c>
    </row>
    <row r="86">
      <c r="A86" s="18" t="s">
        <v>7498</v>
      </c>
      <c r="B86" s="15" t="s">
        <v>7689</v>
      </c>
      <c r="C86" s="37">
        <v>45725.0</v>
      </c>
      <c r="D86" s="37">
        <v>45725.0</v>
      </c>
      <c r="E86" s="38" t="s">
        <v>7690</v>
      </c>
      <c r="F86" s="38" t="s">
        <v>7691</v>
      </c>
      <c r="G86" s="39">
        <v>16446.0</v>
      </c>
      <c r="H86" s="45">
        <v>40120.0</v>
      </c>
      <c r="I86" s="40"/>
      <c r="J86" s="15"/>
      <c r="K86" s="15"/>
      <c r="L86" s="15" t="s">
        <v>123</v>
      </c>
      <c r="M86" s="15"/>
      <c r="N86" s="15" t="s">
        <v>114</v>
      </c>
      <c r="O86" s="15" t="s">
        <v>115</v>
      </c>
    </row>
    <row r="87">
      <c r="A87" s="18" t="s">
        <v>7498</v>
      </c>
      <c r="B87" s="15" t="s">
        <v>7692</v>
      </c>
      <c r="C87" s="37">
        <v>45726.0</v>
      </c>
      <c r="D87" s="37">
        <v>45726.0</v>
      </c>
      <c r="E87" s="38" t="s">
        <v>7693</v>
      </c>
      <c r="F87" s="38" t="s">
        <v>7537</v>
      </c>
      <c r="G87" s="39">
        <v>16446.0</v>
      </c>
      <c r="H87" s="40"/>
      <c r="I87" s="42">
        <v>271.0</v>
      </c>
      <c r="J87" s="15"/>
      <c r="K87" s="15"/>
      <c r="L87" s="15" t="s">
        <v>539</v>
      </c>
      <c r="M87" s="15"/>
      <c r="N87" s="15" t="s">
        <v>24</v>
      </c>
      <c r="O87" s="15" t="s">
        <v>60</v>
      </c>
    </row>
    <row r="88">
      <c r="A88" s="18" t="s">
        <v>7498</v>
      </c>
      <c r="B88" s="15" t="s">
        <v>7694</v>
      </c>
      <c r="C88" s="37">
        <v>45726.0</v>
      </c>
      <c r="D88" s="37">
        <v>45726.0</v>
      </c>
      <c r="E88" s="38" t="s">
        <v>7695</v>
      </c>
      <c r="F88" s="38" t="s">
        <v>7537</v>
      </c>
      <c r="G88" s="39">
        <v>16446.0</v>
      </c>
      <c r="H88" s="40"/>
      <c r="I88" s="42">
        <v>544.0</v>
      </c>
      <c r="J88" s="15"/>
      <c r="K88" s="15"/>
      <c r="L88" s="15" t="s">
        <v>539</v>
      </c>
      <c r="M88" s="15"/>
      <c r="N88" s="15" t="s">
        <v>24</v>
      </c>
      <c r="O88" s="15" t="s">
        <v>60</v>
      </c>
    </row>
    <row r="89">
      <c r="A89" s="18" t="s">
        <v>7498</v>
      </c>
      <c r="B89" s="15" t="s">
        <v>7696</v>
      </c>
      <c r="C89" s="37">
        <v>45726.0</v>
      </c>
      <c r="D89" s="37">
        <v>45726.0</v>
      </c>
      <c r="E89" s="38" t="s">
        <v>7697</v>
      </c>
      <c r="F89" s="38" t="s">
        <v>7698</v>
      </c>
      <c r="G89" s="39">
        <v>16446.0</v>
      </c>
      <c r="H89" s="45">
        <v>2000.0</v>
      </c>
      <c r="I89" s="40"/>
      <c r="J89" s="15"/>
      <c r="K89" s="15"/>
      <c r="L89" s="18" t="s">
        <v>23</v>
      </c>
      <c r="M89" s="15"/>
      <c r="N89" s="15" t="s">
        <v>114</v>
      </c>
      <c r="O89" s="15" t="s">
        <v>385</v>
      </c>
    </row>
    <row r="90">
      <c r="A90" s="18" t="s">
        <v>7498</v>
      </c>
      <c r="B90" s="15" t="s">
        <v>7699</v>
      </c>
      <c r="C90" s="37">
        <v>45728.0</v>
      </c>
      <c r="D90" s="37">
        <v>45728.0</v>
      </c>
      <c r="E90" s="38" t="s">
        <v>7700</v>
      </c>
      <c r="F90" s="38" t="s">
        <v>7557</v>
      </c>
      <c r="G90" s="39">
        <v>16446.0</v>
      </c>
      <c r="H90" s="40"/>
      <c r="I90" s="42">
        <v>109.0</v>
      </c>
      <c r="J90" s="15"/>
      <c r="K90" s="15"/>
      <c r="L90" s="15" t="s">
        <v>539</v>
      </c>
      <c r="M90" s="15"/>
      <c r="N90" s="15" t="s">
        <v>24</v>
      </c>
      <c r="O90" s="15" t="s">
        <v>60</v>
      </c>
    </row>
    <row r="91">
      <c r="A91" s="18" t="s">
        <v>7498</v>
      </c>
      <c r="B91" s="15" t="s">
        <v>7701</v>
      </c>
      <c r="C91" s="37">
        <v>45728.0</v>
      </c>
      <c r="D91" s="37">
        <v>45728.0</v>
      </c>
      <c r="E91" s="38" t="s">
        <v>7702</v>
      </c>
      <c r="F91" s="38" t="s">
        <v>7557</v>
      </c>
      <c r="G91" s="39">
        <v>16446.0</v>
      </c>
      <c r="H91" s="40"/>
      <c r="I91" s="45">
        <v>1235.0</v>
      </c>
      <c r="J91" s="15"/>
      <c r="K91" s="15"/>
      <c r="L91" s="15" t="s">
        <v>539</v>
      </c>
      <c r="M91" s="15"/>
      <c r="N91" s="15" t="s">
        <v>24</v>
      </c>
      <c r="O91" s="15" t="s">
        <v>60</v>
      </c>
    </row>
    <row r="92">
      <c r="A92" s="18" t="s">
        <v>7498</v>
      </c>
      <c r="B92" s="15" t="s">
        <v>7703</v>
      </c>
      <c r="C92" s="37">
        <v>45728.0</v>
      </c>
      <c r="D92" s="37">
        <v>45728.0</v>
      </c>
      <c r="E92" s="38" t="s">
        <v>7704</v>
      </c>
      <c r="F92" s="38" t="s">
        <v>7557</v>
      </c>
      <c r="G92" s="39">
        <v>16446.0</v>
      </c>
      <c r="H92" s="40"/>
      <c r="I92" s="45">
        <v>1385.0</v>
      </c>
      <c r="J92" s="15"/>
      <c r="K92" s="15"/>
      <c r="L92" s="15" t="s">
        <v>539</v>
      </c>
      <c r="M92" s="15"/>
      <c r="N92" s="15" t="s">
        <v>24</v>
      </c>
      <c r="O92" s="15" t="s">
        <v>60</v>
      </c>
    </row>
    <row r="93">
      <c r="A93" s="18" t="s">
        <v>7498</v>
      </c>
      <c r="B93" s="15" t="s">
        <v>7705</v>
      </c>
      <c r="C93" s="37">
        <v>45728.0</v>
      </c>
      <c r="D93" s="37">
        <v>45728.0</v>
      </c>
      <c r="E93" s="38" t="s">
        <v>7706</v>
      </c>
      <c r="F93" s="38" t="s">
        <v>7707</v>
      </c>
      <c r="G93" s="39">
        <v>16446.0</v>
      </c>
      <c r="H93" s="42">
        <v>50.0</v>
      </c>
      <c r="I93" s="40"/>
      <c r="J93" s="15"/>
      <c r="K93" s="15"/>
      <c r="L93" s="18" t="s">
        <v>23</v>
      </c>
      <c r="M93" s="15"/>
      <c r="N93" s="15" t="s">
        <v>114</v>
      </c>
      <c r="O93" s="15" t="s">
        <v>385</v>
      </c>
    </row>
    <row r="94">
      <c r="A94" s="18" t="s">
        <v>7498</v>
      </c>
      <c r="B94" s="15" t="s">
        <v>7708</v>
      </c>
      <c r="C94" s="37">
        <v>45728.0</v>
      </c>
      <c r="D94" s="37">
        <v>45728.0</v>
      </c>
      <c r="E94" s="38" t="s">
        <v>7709</v>
      </c>
      <c r="F94" s="38" t="s">
        <v>7501</v>
      </c>
      <c r="G94" s="39">
        <v>99999.0</v>
      </c>
      <c r="H94" s="42">
        <v>74.64</v>
      </c>
      <c r="I94" s="40"/>
      <c r="J94" s="15"/>
      <c r="K94" s="15"/>
      <c r="L94" s="18" t="s">
        <v>23</v>
      </c>
      <c r="M94" s="15"/>
      <c r="N94" s="15" t="s">
        <v>114</v>
      </c>
      <c r="O94" s="15" t="s">
        <v>385</v>
      </c>
    </row>
    <row r="95">
      <c r="A95" s="18" t="s">
        <v>7498</v>
      </c>
      <c r="B95" s="15" t="s">
        <v>7710</v>
      </c>
      <c r="C95" s="37">
        <v>45729.0</v>
      </c>
      <c r="D95" s="37">
        <v>45729.0</v>
      </c>
      <c r="E95" s="38" t="s">
        <v>7711</v>
      </c>
      <c r="F95" s="38" t="s">
        <v>7580</v>
      </c>
      <c r="G95" s="39">
        <v>16446.0</v>
      </c>
      <c r="H95" s="40"/>
      <c r="I95" s="42">
        <v>318.0</v>
      </c>
      <c r="J95" s="15"/>
      <c r="K95" s="15"/>
      <c r="L95" s="15" t="s">
        <v>539</v>
      </c>
      <c r="M95" s="15"/>
      <c r="N95" s="15" t="s">
        <v>24</v>
      </c>
      <c r="O95" s="15" t="s">
        <v>60</v>
      </c>
    </row>
    <row r="96">
      <c r="A96" s="18" t="s">
        <v>7498</v>
      </c>
      <c r="B96" s="15" t="s">
        <v>7712</v>
      </c>
      <c r="C96" s="37">
        <v>45731.0</v>
      </c>
      <c r="D96" s="37">
        <v>45731.0</v>
      </c>
      <c r="E96" s="38" t="s">
        <v>7713</v>
      </c>
      <c r="F96" s="38" t="s">
        <v>7714</v>
      </c>
      <c r="G96" s="39">
        <v>4430.0</v>
      </c>
      <c r="H96" s="40"/>
      <c r="I96" s="45">
        <v>4433.0</v>
      </c>
      <c r="J96" s="15"/>
      <c r="K96" s="15"/>
      <c r="L96" s="15" t="s">
        <v>539</v>
      </c>
      <c r="M96" s="15"/>
      <c r="N96" s="15" t="s">
        <v>24</v>
      </c>
      <c r="O96" s="15" t="s">
        <v>60</v>
      </c>
    </row>
    <row r="97">
      <c r="A97" s="18" t="s">
        <v>7498</v>
      </c>
      <c r="B97" s="15" t="s">
        <v>7715</v>
      </c>
      <c r="C97" s="37">
        <v>45731.0</v>
      </c>
      <c r="D97" s="37">
        <v>45731.0</v>
      </c>
      <c r="E97" s="38" t="s">
        <v>7716</v>
      </c>
      <c r="F97" s="38" t="s">
        <v>7534</v>
      </c>
      <c r="G97" s="39">
        <v>16446.0</v>
      </c>
      <c r="H97" s="40"/>
      <c r="I97" s="42">
        <v>250.0</v>
      </c>
      <c r="J97" s="15"/>
      <c r="K97" s="15"/>
      <c r="L97" s="15" t="s">
        <v>539</v>
      </c>
      <c r="M97" s="15"/>
      <c r="N97" s="15" t="s">
        <v>24</v>
      </c>
      <c r="O97" s="15" t="s">
        <v>60</v>
      </c>
    </row>
    <row r="98">
      <c r="A98" s="18" t="s">
        <v>7498</v>
      </c>
      <c r="B98" s="15" t="s">
        <v>7717</v>
      </c>
      <c r="C98" s="37">
        <v>45731.0</v>
      </c>
      <c r="D98" s="37">
        <v>45731.0</v>
      </c>
      <c r="E98" s="38" t="s">
        <v>7718</v>
      </c>
      <c r="F98" s="38" t="s">
        <v>7534</v>
      </c>
      <c r="G98" s="39">
        <v>16446.0</v>
      </c>
      <c r="H98" s="40"/>
      <c r="I98" s="45">
        <v>1848.0</v>
      </c>
      <c r="J98" s="15"/>
      <c r="K98" s="15"/>
      <c r="L98" s="15" t="s">
        <v>539</v>
      </c>
      <c r="M98" s="15"/>
      <c r="N98" s="15" t="s">
        <v>24</v>
      </c>
      <c r="O98" s="15" t="s">
        <v>60</v>
      </c>
    </row>
    <row r="99">
      <c r="A99" s="18" t="s">
        <v>7498</v>
      </c>
      <c r="B99" s="15" t="s">
        <v>7719</v>
      </c>
      <c r="C99" s="37">
        <v>45731.0</v>
      </c>
      <c r="D99" s="37">
        <v>45731.0</v>
      </c>
      <c r="E99" s="38" t="s">
        <v>7720</v>
      </c>
      <c r="F99" s="38" t="s">
        <v>7534</v>
      </c>
      <c r="G99" s="39">
        <v>16446.0</v>
      </c>
      <c r="H99" s="40"/>
      <c r="I99" s="42">
        <v>333.0</v>
      </c>
      <c r="J99" s="15"/>
      <c r="K99" s="15"/>
      <c r="L99" s="15" t="s">
        <v>539</v>
      </c>
      <c r="M99" s="15"/>
      <c r="N99" s="15" t="s">
        <v>24</v>
      </c>
      <c r="O99" s="15" t="s">
        <v>60</v>
      </c>
    </row>
    <row r="100">
      <c r="A100" s="18" t="s">
        <v>7498</v>
      </c>
      <c r="B100" s="15" t="s">
        <v>7721</v>
      </c>
      <c r="C100" s="37">
        <v>45731.0</v>
      </c>
      <c r="D100" s="37">
        <v>45731.0</v>
      </c>
      <c r="E100" s="38" t="s">
        <v>7722</v>
      </c>
      <c r="F100" s="38" t="s">
        <v>7534</v>
      </c>
      <c r="G100" s="39">
        <v>16446.0</v>
      </c>
      <c r="H100" s="40"/>
      <c r="I100" s="42">
        <v>200.0</v>
      </c>
      <c r="J100" s="15"/>
      <c r="K100" s="15"/>
      <c r="L100" s="15" t="s">
        <v>539</v>
      </c>
      <c r="M100" s="15"/>
      <c r="N100" s="15" t="s">
        <v>24</v>
      </c>
      <c r="O100" s="15" t="s">
        <v>60</v>
      </c>
    </row>
    <row r="101">
      <c r="A101" s="18" t="s">
        <v>7498</v>
      </c>
      <c r="B101" s="15" t="s">
        <v>7723</v>
      </c>
      <c r="C101" s="37">
        <v>45731.0</v>
      </c>
      <c r="D101" s="37">
        <v>45731.0</v>
      </c>
      <c r="E101" s="38" t="s">
        <v>7724</v>
      </c>
      <c r="F101" s="38" t="s">
        <v>7534</v>
      </c>
      <c r="G101" s="39">
        <v>16446.0</v>
      </c>
      <c r="H101" s="40"/>
      <c r="I101" s="42">
        <v>512.0</v>
      </c>
      <c r="J101" s="15"/>
      <c r="K101" s="15"/>
      <c r="L101" s="15" t="s">
        <v>539</v>
      </c>
      <c r="M101" s="15"/>
      <c r="N101" s="15" t="s">
        <v>24</v>
      </c>
      <c r="O101" s="15" t="s">
        <v>60</v>
      </c>
    </row>
    <row r="102">
      <c r="A102" s="18" t="s">
        <v>7498</v>
      </c>
      <c r="B102" s="15" t="s">
        <v>7725</v>
      </c>
      <c r="C102" s="37">
        <v>45732.0</v>
      </c>
      <c r="D102" s="37">
        <v>45732.0</v>
      </c>
      <c r="E102" s="38" t="s">
        <v>7726</v>
      </c>
      <c r="F102" s="38" t="s">
        <v>7567</v>
      </c>
      <c r="G102" s="39">
        <v>16446.0</v>
      </c>
      <c r="H102" s="40"/>
      <c r="I102" s="42">
        <v>199.0</v>
      </c>
      <c r="J102" s="15"/>
      <c r="K102" s="15"/>
      <c r="L102" s="15" t="s">
        <v>539</v>
      </c>
      <c r="M102" s="15"/>
      <c r="N102" s="15" t="s">
        <v>24</v>
      </c>
      <c r="O102" s="15" t="s">
        <v>60</v>
      </c>
    </row>
    <row r="103">
      <c r="A103" s="18" t="s">
        <v>7498</v>
      </c>
      <c r="B103" s="15" t="s">
        <v>7727</v>
      </c>
      <c r="C103" s="37">
        <v>45732.0</v>
      </c>
      <c r="D103" s="37">
        <v>45732.0</v>
      </c>
      <c r="E103" s="38" t="s">
        <v>7728</v>
      </c>
      <c r="F103" s="38" t="s">
        <v>7567</v>
      </c>
      <c r="G103" s="39">
        <v>16446.0</v>
      </c>
      <c r="H103" s="40"/>
      <c r="I103" s="42">
        <v>456.0</v>
      </c>
      <c r="J103" s="15"/>
      <c r="K103" s="15"/>
      <c r="L103" s="15" t="s">
        <v>539</v>
      </c>
      <c r="M103" s="15"/>
      <c r="N103" s="15" t="s">
        <v>24</v>
      </c>
      <c r="O103" s="15" t="s">
        <v>60</v>
      </c>
    </row>
    <row r="104">
      <c r="A104" s="18" t="s">
        <v>7498</v>
      </c>
      <c r="B104" s="15" t="s">
        <v>7729</v>
      </c>
      <c r="C104" s="37">
        <v>45732.0</v>
      </c>
      <c r="D104" s="37">
        <v>45732.0</v>
      </c>
      <c r="E104" s="38" t="s">
        <v>7730</v>
      </c>
      <c r="F104" s="38" t="s">
        <v>7567</v>
      </c>
      <c r="G104" s="39">
        <v>16446.0</v>
      </c>
      <c r="H104" s="40"/>
      <c r="I104" s="42">
        <v>396.0</v>
      </c>
      <c r="J104" s="15"/>
      <c r="K104" s="15"/>
      <c r="L104" s="15" t="s">
        <v>539</v>
      </c>
      <c r="M104" s="15"/>
      <c r="N104" s="15" t="s">
        <v>24</v>
      </c>
      <c r="O104" s="15" t="s">
        <v>60</v>
      </c>
    </row>
    <row r="105">
      <c r="A105" s="18" t="s">
        <v>7498</v>
      </c>
      <c r="B105" s="15" t="s">
        <v>7731</v>
      </c>
      <c r="C105" s="37">
        <v>45733.0</v>
      </c>
      <c r="D105" s="37">
        <v>45733.0</v>
      </c>
      <c r="E105" s="38" t="s">
        <v>7732</v>
      </c>
      <c r="F105" s="38" t="s">
        <v>7537</v>
      </c>
      <c r="G105" s="39">
        <v>16446.0</v>
      </c>
      <c r="H105" s="40"/>
      <c r="I105" s="42">
        <v>396.0</v>
      </c>
      <c r="J105" s="15"/>
      <c r="K105" s="15"/>
      <c r="L105" s="15" t="s">
        <v>539</v>
      </c>
      <c r="M105" s="15"/>
      <c r="N105" s="15" t="s">
        <v>24</v>
      </c>
      <c r="O105" s="15" t="s">
        <v>60</v>
      </c>
    </row>
    <row r="106">
      <c r="A106" s="18" t="s">
        <v>7498</v>
      </c>
      <c r="B106" s="15" t="s">
        <v>7733</v>
      </c>
      <c r="C106" s="37">
        <v>45733.0</v>
      </c>
      <c r="D106" s="37">
        <v>45733.0</v>
      </c>
      <c r="E106" s="38" t="s">
        <v>7734</v>
      </c>
      <c r="F106" s="38" t="s">
        <v>7537</v>
      </c>
      <c r="G106" s="39">
        <v>16446.0</v>
      </c>
      <c r="H106" s="40"/>
      <c r="I106" s="42">
        <v>809.0</v>
      </c>
      <c r="J106" s="15"/>
      <c r="K106" s="15"/>
      <c r="L106" s="15" t="s">
        <v>539</v>
      </c>
      <c r="M106" s="15"/>
      <c r="N106" s="15" t="s">
        <v>24</v>
      </c>
      <c r="O106" s="15" t="s">
        <v>60</v>
      </c>
    </row>
    <row r="107">
      <c r="A107" s="18" t="s">
        <v>7498</v>
      </c>
      <c r="B107" s="15" t="s">
        <v>7735</v>
      </c>
      <c r="C107" s="37">
        <v>45733.0</v>
      </c>
      <c r="D107" s="37">
        <v>45733.0</v>
      </c>
      <c r="E107" s="38" t="s">
        <v>7736</v>
      </c>
      <c r="F107" s="38" t="s">
        <v>7537</v>
      </c>
      <c r="G107" s="39">
        <v>16446.0</v>
      </c>
      <c r="H107" s="40"/>
      <c r="I107" s="42">
        <v>222.0</v>
      </c>
      <c r="J107" s="15"/>
      <c r="K107" s="15"/>
      <c r="L107" s="15" t="s">
        <v>539</v>
      </c>
      <c r="M107" s="15"/>
      <c r="N107" s="15" t="s">
        <v>24</v>
      </c>
      <c r="O107" s="15" t="s">
        <v>60</v>
      </c>
    </row>
    <row r="108">
      <c r="A108" s="18" t="s">
        <v>7498</v>
      </c>
      <c r="B108" s="15" t="s">
        <v>7737</v>
      </c>
      <c r="C108" s="37">
        <v>45734.0</v>
      </c>
      <c r="D108" s="37">
        <v>45734.0</v>
      </c>
      <c r="E108" s="38" t="s">
        <v>7738</v>
      </c>
      <c r="F108" s="38" t="s">
        <v>7739</v>
      </c>
      <c r="G108" s="39">
        <v>99922.0</v>
      </c>
      <c r="H108" s="42" t="s">
        <v>3832</v>
      </c>
      <c r="I108" s="40"/>
      <c r="J108" s="15"/>
      <c r="K108" s="15"/>
      <c r="L108" s="15" t="s">
        <v>113</v>
      </c>
      <c r="M108" s="15"/>
      <c r="N108" s="15" t="s">
        <v>114</v>
      </c>
      <c r="O108" s="15" t="s">
        <v>7513</v>
      </c>
    </row>
    <row r="109">
      <c r="A109" s="18" t="s">
        <v>7498</v>
      </c>
      <c r="B109" s="15" t="s">
        <v>7740</v>
      </c>
      <c r="C109" s="37">
        <v>45734.0</v>
      </c>
      <c r="D109" s="37">
        <v>45734.0</v>
      </c>
      <c r="E109" s="38" t="s">
        <v>7741</v>
      </c>
      <c r="F109" s="38" t="s">
        <v>7742</v>
      </c>
      <c r="G109" s="39">
        <v>99922.0</v>
      </c>
      <c r="H109" s="42" t="s">
        <v>3832</v>
      </c>
      <c r="I109" s="40"/>
      <c r="J109" s="15"/>
      <c r="K109" s="15"/>
      <c r="L109" s="15" t="s">
        <v>119</v>
      </c>
      <c r="M109" s="15"/>
      <c r="N109" s="15" t="s">
        <v>114</v>
      </c>
      <c r="O109" s="15" t="s">
        <v>7513</v>
      </c>
    </row>
    <row r="110">
      <c r="A110" s="18" t="s">
        <v>7498</v>
      </c>
      <c r="B110" s="15" t="s">
        <v>7743</v>
      </c>
      <c r="C110" s="37">
        <v>45734.0</v>
      </c>
      <c r="D110" s="37">
        <v>45734.0</v>
      </c>
      <c r="E110" s="38" t="s">
        <v>7744</v>
      </c>
      <c r="F110" s="38" t="s">
        <v>7544</v>
      </c>
      <c r="G110" s="39">
        <v>16446.0</v>
      </c>
      <c r="H110" s="40"/>
      <c r="I110" s="42">
        <v>611.0</v>
      </c>
      <c r="J110" s="15"/>
      <c r="K110" s="15"/>
      <c r="L110" s="15" t="s">
        <v>539</v>
      </c>
      <c r="M110" s="15"/>
      <c r="N110" s="15" t="s">
        <v>24</v>
      </c>
      <c r="O110" s="15" t="s">
        <v>60</v>
      </c>
    </row>
    <row r="111">
      <c r="A111" s="18" t="s">
        <v>7498</v>
      </c>
      <c r="B111" s="15" t="s">
        <v>7745</v>
      </c>
      <c r="C111" s="37">
        <v>45734.0</v>
      </c>
      <c r="D111" s="37">
        <v>45734.0</v>
      </c>
      <c r="E111" s="38" t="s">
        <v>7746</v>
      </c>
      <c r="F111" s="38" t="s">
        <v>7544</v>
      </c>
      <c r="G111" s="39">
        <v>16446.0</v>
      </c>
      <c r="H111" s="40"/>
      <c r="I111" s="42">
        <v>381.0</v>
      </c>
      <c r="J111" s="15"/>
      <c r="K111" s="15"/>
      <c r="L111" s="15" t="s">
        <v>539</v>
      </c>
      <c r="M111" s="15"/>
      <c r="N111" s="15" t="s">
        <v>24</v>
      </c>
      <c r="O111" s="15" t="s">
        <v>60</v>
      </c>
    </row>
    <row r="112">
      <c r="A112" s="18" t="s">
        <v>7498</v>
      </c>
      <c r="B112" s="15" t="s">
        <v>7747</v>
      </c>
      <c r="C112" s="37">
        <v>45735.0</v>
      </c>
      <c r="D112" s="37">
        <v>45735.0</v>
      </c>
      <c r="E112" s="38" t="s">
        <v>7748</v>
      </c>
      <c r="F112" s="38" t="s">
        <v>7557</v>
      </c>
      <c r="G112" s="39">
        <v>16446.0</v>
      </c>
      <c r="H112" s="40"/>
      <c r="I112" s="45">
        <v>1297.0</v>
      </c>
      <c r="J112" s="15"/>
      <c r="K112" s="15"/>
      <c r="L112" s="15" t="s">
        <v>539</v>
      </c>
      <c r="M112" s="15"/>
      <c r="N112" s="15" t="s">
        <v>24</v>
      </c>
      <c r="O112" s="15" t="s">
        <v>60</v>
      </c>
    </row>
    <row r="113">
      <c r="A113" s="18" t="s">
        <v>7498</v>
      </c>
      <c r="B113" s="15" t="s">
        <v>7749</v>
      </c>
      <c r="C113" s="37">
        <v>45735.0</v>
      </c>
      <c r="D113" s="37">
        <v>45735.0</v>
      </c>
      <c r="E113" s="38" t="s">
        <v>7750</v>
      </c>
      <c r="F113" s="38" t="s">
        <v>7557</v>
      </c>
      <c r="G113" s="39">
        <v>16446.0</v>
      </c>
      <c r="H113" s="40"/>
      <c r="I113" s="42">
        <v>222.4</v>
      </c>
      <c r="J113" s="15"/>
      <c r="K113" s="15"/>
      <c r="L113" s="15" t="s">
        <v>539</v>
      </c>
      <c r="M113" s="15"/>
      <c r="N113" s="15" t="s">
        <v>24</v>
      </c>
      <c r="O113" s="15" t="s">
        <v>60</v>
      </c>
    </row>
    <row r="114">
      <c r="A114" s="18" t="s">
        <v>7498</v>
      </c>
      <c r="B114" s="15" t="s">
        <v>7751</v>
      </c>
      <c r="C114" s="37">
        <v>45735.0</v>
      </c>
      <c r="D114" s="37">
        <v>45735.0</v>
      </c>
      <c r="E114" s="38" t="s">
        <v>7752</v>
      </c>
      <c r="F114" s="38" t="s">
        <v>7557</v>
      </c>
      <c r="G114" s="39">
        <v>16446.0</v>
      </c>
      <c r="H114" s="40"/>
      <c r="I114" s="45">
        <v>1123.0</v>
      </c>
      <c r="J114" s="15"/>
      <c r="K114" s="15"/>
      <c r="L114" s="15" t="s">
        <v>539</v>
      </c>
      <c r="M114" s="15"/>
      <c r="N114" s="15" t="s">
        <v>24</v>
      </c>
      <c r="O114" s="15" t="s">
        <v>60</v>
      </c>
    </row>
    <row r="115">
      <c r="A115" s="18" t="s">
        <v>7498</v>
      </c>
      <c r="B115" s="15" t="s">
        <v>7753</v>
      </c>
      <c r="C115" s="37">
        <v>45735.0</v>
      </c>
      <c r="D115" s="37">
        <v>45735.0</v>
      </c>
      <c r="E115" s="38" t="s">
        <v>7754</v>
      </c>
      <c r="F115" s="38" t="s">
        <v>7557</v>
      </c>
      <c r="G115" s="39">
        <v>16446.0</v>
      </c>
      <c r="H115" s="40"/>
      <c r="I115" s="45">
        <v>1006.0</v>
      </c>
      <c r="J115" s="15"/>
      <c r="K115" s="15"/>
      <c r="L115" s="15" t="s">
        <v>539</v>
      </c>
      <c r="M115" s="15"/>
      <c r="N115" s="15" t="s">
        <v>24</v>
      </c>
      <c r="O115" s="15" t="s">
        <v>60</v>
      </c>
    </row>
    <row r="116">
      <c r="A116" s="18" t="s">
        <v>7498</v>
      </c>
      <c r="B116" s="15" t="s">
        <v>7755</v>
      </c>
      <c r="C116" s="37">
        <v>45736.0</v>
      </c>
      <c r="D116" s="37">
        <v>45736.0</v>
      </c>
      <c r="E116" s="38" t="s">
        <v>7756</v>
      </c>
      <c r="F116" s="38" t="s">
        <v>7580</v>
      </c>
      <c r="G116" s="39">
        <v>16446.0</v>
      </c>
      <c r="H116" s="40"/>
      <c r="I116" s="42">
        <v>403.0</v>
      </c>
      <c r="J116" s="15"/>
      <c r="K116" s="15"/>
      <c r="L116" s="15" t="s">
        <v>539</v>
      </c>
      <c r="M116" s="15"/>
      <c r="N116" s="15" t="s">
        <v>24</v>
      </c>
      <c r="O116" s="15" t="s">
        <v>60</v>
      </c>
    </row>
    <row r="117">
      <c r="A117" s="18" t="s">
        <v>7498</v>
      </c>
      <c r="B117" s="15" t="s">
        <v>7757</v>
      </c>
      <c r="C117" s="37">
        <v>45736.0</v>
      </c>
      <c r="D117" s="37">
        <v>45736.0</v>
      </c>
      <c r="E117" s="38" t="s">
        <v>7758</v>
      </c>
      <c r="F117" s="38" t="s">
        <v>7580</v>
      </c>
      <c r="G117" s="39">
        <v>16446.0</v>
      </c>
      <c r="H117" s="40"/>
      <c r="I117" s="45">
        <v>2827.0</v>
      </c>
      <c r="J117" s="15"/>
      <c r="K117" s="15"/>
      <c r="L117" s="15" t="s">
        <v>539</v>
      </c>
      <c r="M117" s="15"/>
      <c r="N117" s="15" t="s">
        <v>24</v>
      </c>
      <c r="O117" s="15" t="s">
        <v>60</v>
      </c>
    </row>
    <row r="118">
      <c r="A118" s="18" t="s">
        <v>7498</v>
      </c>
      <c r="B118" s="15" t="s">
        <v>7759</v>
      </c>
      <c r="C118" s="37">
        <v>45736.0</v>
      </c>
      <c r="D118" s="37">
        <v>45736.0</v>
      </c>
      <c r="E118" s="38" t="s">
        <v>7760</v>
      </c>
      <c r="F118" s="38" t="s">
        <v>7580</v>
      </c>
      <c r="G118" s="39">
        <v>16446.0</v>
      </c>
      <c r="H118" s="40"/>
      <c r="I118" s="42">
        <v>159.0</v>
      </c>
      <c r="J118" s="15"/>
      <c r="K118" s="15"/>
      <c r="L118" s="15" t="s">
        <v>539</v>
      </c>
      <c r="M118" s="15"/>
      <c r="N118" s="15" t="s">
        <v>24</v>
      </c>
      <c r="O118" s="15" t="s">
        <v>60</v>
      </c>
    </row>
    <row r="119">
      <c r="A119" s="18" t="s">
        <v>7498</v>
      </c>
      <c r="B119" s="15" t="s">
        <v>7761</v>
      </c>
      <c r="C119" s="37">
        <v>45736.0</v>
      </c>
      <c r="D119" s="37">
        <v>45736.0</v>
      </c>
      <c r="E119" s="38" t="s">
        <v>7762</v>
      </c>
      <c r="F119" s="38" t="s">
        <v>7580</v>
      </c>
      <c r="G119" s="39">
        <v>16446.0</v>
      </c>
      <c r="H119" s="40"/>
      <c r="I119" s="45">
        <v>3520.0</v>
      </c>
      <c r="J119" s="15"/>
      <c r="K119" s="15"/>
      <c r="L119" s="15" t="s">
        <v>539</v>
      </c>
      <c r="M119" s="15"/>
      <c r="N119" s="15" t="s">
        <v>24</v>
      </c>
      <c r="O119" s="15" t="s">
        <v>60</v>
      </c>
    </row>
    <row r="120">
      <c r="A120" s="18" t="s">
        <v>7498</v>
      </c>
      <c r="B120" s="15" t="s">
        <v>7763</v>
      </c>
      <c r="C120" s="37">
        <v>45736.0</v>
      </c>
      <c r="D120" s="37">
        <v>45736.0</v>
      </c>
      <c r="E120" s="38" t="s">
        <v>7764</v>
      </c>
      <c r="F120" s="38" t="s">
        <v>7580</v>
      </c>
      <c r="G120" s="39">
        <v>16446.0</v>
      </c>
      <c r="H120" s="40"/>
      <c r="I120" s="42">
        <v>456.0</v>
      </c>
      <c r="J120" s="15"/>
      <c r="K120" s="15"/>
      <c r="L120" s="15" t="s">
        <v>539</v>
      </c>
      <c r="M120" s="15"/>
      <c r="N120" s="15" t="s">
        <v>24</v>
      </c>
      <c r="O120" s="15" t="s">
        <v>60</v>
      </c>
    </row>
    <row r="121">
      <c r="A121" s="18" t="s">
        <v>7498</v>
      </c>
      <c r="B121" s="15" t="s">
        <v>7765</v>
      </c>
      <c r="C121" s="37">
        <v>45736.0</v>
      </c>
      <c r="D121" s="37">
        <v>45736.0</v>
      </c>
      <c r="E121" s="38" t="s">
        <v>7766</v>
      </c>
      <c r="F121" s="38" t="s">
        <v>7767</v>
      </c>
      <c r="G121" s="39">
        <v>99922.0</v>
      </c>
      <c r="H121" s="45">
        <v>12438.0</v>
      </c>
      <c r="I121" s="40"/>
      <c r="J121" s="15"/>
      <c r="K121" s="15"/>
      <c r="L121" s="15" t="s">
        <v>119</v>
      </c>
      <c r="M121" s="15"/>
      <c r="N121" s="15" t="s">
        <v>114</v>
      </c>
      <c r="O121" s="15" t="s">
        <v>7513</v>
      </c>
    </row>
    <row r="122">
      <c r="A122" s="18" t="s">
        <v>7498</v>
      </c>
      <c r="B122" s="15" t="s">
        <v>7768</v>
      </c>
      <c r="C122" s="37">
        <v>45737.0</v>
      </c>
      <c r="D122" s="37">
        <v>45737.0</v>
      </c>
      <c r="E122" s="38" t="s">
        <v>7769</v>
      </c>
      <c r="F122" s="38" t="s">
        <v>7508</v>
      </c>
      <c r="G122" s="39">
        <v>16446.0</v>
      </c>
      <c r="H122" s="40"/>
      <c r="I122" s="42">
        <v>501.0</v>
      </c>
      <c r="J122" s="15"/>
      <c r="K122" s="15"/>
      <c r="L122" s="15" t="s">
        <v>539</v>
      </c>
      <c r="M122" s="15"/>
      <c r="N122" s="15" t="s">
        <v>24</v>
      </c>
      <c r="O122" s="15" t="s">
        <v>60</v>
      </c>
    </row>
    <row r="123">
      <c r="A123" s="18" t="s">
        <v>7498</v>
      </c>
      <c r="B123" s="15" t="s">
        <v>7770</v>
      </c>
      <c r="C123" s="37">
        <v>45737.0</v>
      </c>
      <c r="D123" s="37">
        <v>45737.0</v>
      </c>
      <c r="E123" s="38" t="s">
        <v>7771</v>
      </c>
      <c r="F123" s="38" t="s">
        <v>7508</v>
      </c>
      <c r="G123" s="39">
        <v>16446.0</v>
      </c>
      <c r="H123" s="40"/>
      <c r="I123" s="42">
        <v>195.0</v>
      </c>
      <c r="J123" s="15"/>
      <c r="K123" s="15"/>
      <c r="L123" s="15" t="s">
        <v>539</v>
      </c>
      <c r="M123" s="15"/>
      <c r="N123" s="15" t="s">
        <v>24</v>
      </c>
      <c r="O123" s="15" t="s">
        <v>60</v>
      </c>
    </row>
    <row r="124">
      <c r="A124" s="18" t="s">
        <v>7498</v>
      </c>
      <c r="B124" s="15" t="s">
        <v>7772</v>
      </c>
      <c r="C124" s="37">
        <v>45738.0</v>
      </c>
      <c r="D124" s="37">
        <v>45738.0</v>
      </c>
      <c r="E124" s="38" t="s">
        <v>7773</v>
      </c>
      <c r="F124" s="38" t="s">
        <v>7534</v>
      </c>
      <c r="G124" s="39">
        <v>16446.0</v>
      </c>
      <c r="H124" s="40"/>
      <c r="I124" s="45">
        <v>2000.0</v>
      </c>
      <c r="J124" s="15"/>
      <c r="K124" s="15"/>
      <c r="L124" s="15" t="s">
        <v>539</v>
      </c>
      <c r="M124" s="15"/>
      <c r="N124" s="15" t="s">
        <v>24</v>
      </c>
      <c r="O124" s="15" t="s">
        <v>60</v>
      </c>
    </row>
    <row r="125">
      <c r="A125" s="18" t="s">
        <v>7498</v>
      </c>
      <c r="B125" s="15" t="s">
        <v>7774</v>
      </c>
      <c r="C125" s="37">
        <v>45738.0</v>
      </c>
      <c r="D125" s="37">
        <v>45738.0</v>
      </c>
      <c r="E125" s="38" t="s">
        <v>7775</v>
      </c>
      <c r="F125" s="38" t="s">
        <v>7534</v>
      </c>
      <c r="G125" s="39">
        <v>16446.0</v>
      </c>
      <c r="H125" s="40"/>
      <c r="I125" s="42">
        <v>108.0</v>
      </c>
      <c r="J125" s="15"/>
      <c r="K125" s="15"/>
      <c r="L125" s="15" t="s">
        <v>539</v>
      </c>
      <c r="M125" s="15"/>
      <c r="N125" s="15" t="s">
        <v>24</v>
      </c>
      <c r="O125" s="15" t="s">
        <v>60</v>
      </c>
    </row>
    <row r="126">
      <c r="A126" s="18" t="s">
        <v>7498</v>
      </c>
      <c r="B126" s="15" t="s">
        <v>7776</v>
      </c>
      <c r="C126" s="37">
        <v>45738.0</v>
      </c>
      <c r="D126" s="37">
        <v>45738.0</v>
      </c>
      <c r="E126" s="38" t="s">
        <v>7777</v>
      </c>
      <c r="F126" s="38" t="s">
        <v>7534</v>
      </c>
      <c r="G126" s="39">
        <v>16446.0</v>
      </c>
      <c r="H126" s="40"/>
      <c r="I126" s="42">
        <v>330.0</v>
      </c>
      <c r="J126" s="15"/>
      <c r="K126" s="15"/>
      <c r="L126" s="15" t="s">
        <v>539</v>
      </c>
      <c r="M126" s="15"/>
      <c r="N126" s="15" t="s">
        <v>24</v>
      </c>
      <c r="O126" s="15" t="s">
        <v>60</v>
      </c>
    </row>
    <row r="127">
      <c r="A127" s="18" t="s">
        <v>7498</v>
      </c>
      <c r="B127" s="15" t="s">
        <v>7778</v>
      </c>
      <c r="C127" s="37">
        <v>45738.0</v>
      </c>
      <c r="D127" s="37">
        <v>45738.0</v>
      </c>
      <c r="E127" s="38" t="s">
        <v>7779</v>
      </c>
      <c r="F127" s="38" t="s">
        <v>7534</v>
      </c>
      <c r="G127" s="39">
        <v>16446.0</v>
      </c>
      <c r="H127" s="40"/>
      <c r="I127" s="42">
        <v>748.0</v>
      </c>
      <c r="J127" s="15"/>
      <c r="K127" s="15"/>
      <c r="L127" s="15" t="s">
        <v>539</v>
      </c>
      <c r="M127" s="15"/>
      <c r="N127" s="15" t="s">
        <v>24</v>
      </c>
      <c r="O127" s="15" t="s">
        <v>60</v>
      </c>
    </row>
    <row r="128">
      <c r="A128" s="18" t="s">
        <v>7498</v>
      </c>
      <c r="B128" s="15" t="s">
        <v>7780</v>
      </c>
      <c r="C128" s="37">
        <v>45738.0</v>
      </c>
      <c r="D128" s="37">
        <v>45738.0</v>
      </c>
      <c r="E128" s="38" t="s">
        <v>7781</v>
      </c>
      <c r="F128" s="38" t="s">
        <v>7534</v>
      </c>
      <c r="G128" s="39">
        <v>16446.0</v>
      </c>
      <c r="H128" s="40"/>
      <c r="I128" s="42">
        <v>218.0</v>
      </c>
      <c r="J128" s="15"/>
      <c r="K128" s="15"/>
      <c r="L128" s="15" t="s">
        <v>539</v>
      </c>
      <c r="M128" s="15"/>
      <c r="N128" s="15" t="s">
        <v>24</v>
      </c>
      <c r="O128" s="15" t="s">
        <v>60</v>
      </c>
    </row>
    <row r="129">
      <c r="A129" s="18" t="s">
        <v>7498</v>
      </c>
      <c r="B129" s="15" t="s">
        <v>7782</v>
      </c>
      <c r="C129" s="37">
        <v>45738.0</v>
      </c>
      <c r="D129" s="37">
        <v>45738.0</v>
      </c>
      <c r="E129" s="38" t="s">
        <v>7783</v>
      </c>
      <c r="F129" s="38" t="s">
        <v>7534</v>
      </c>
      <c r="G129" s="39">
        <v>16446.0</v>
      </c>
      <c r="H129" s="40"/>
      <c r="I129" s="42">
        <v>376.0</v>
      </c>
      <c r="J129" s="15"/>
      <c r="K129" s="15"/>
      <c r="L129" s="15" t="s">
        <v>539</v>
      </c>
      <c r="M129" s="15"/>
      <c r="N129" s="15" t="s">
        <v>24</v>
      </c>
      <c r="O129" s="15" t="s">
        <v>60</v>
      </c>
    </row>
    <row r="130">
      <c r="A130" s="18" t="s">
        <v>7498</v>
      </c>
      <c r="B130" s="15" t="s">
        <v>7784</v>
      </c>
      <c r="C130" s="37">
        <v>45738.0</v>
      </c>
      <c r="D130" s="37">
        <v>45738.0</v>
      </c>
      <c r="E130" s="38" t="s">
        <v>7785</v>
      </c>
      <c r="F130" s="38" t="s">
        <v>7534</v>
      </c>
      <c r="G130" s="39">
        <v>16446.0</v>
      </c>
      <c r="H130" s="40"/>
      <c r="I130" s="42">
        <v>854.0</v>
      </c>
      <c r="J130" s="15"/>
      <c r="K130" s="15"/>
      <c r="L130" s="15" t="s">
        <v>539</v>
      </c>
      <c r="M130" s="15"/>
      <c r="N130" s="15" t="s">
        <v>24</v>
      </c>
      <c r="O130" s="15" t="s">
        <v>60</v>
      </c>
    </row>
    <row r="131">
      <c r="A131" s="18" t="s">
        <v>7498</v>
      </c>
      <c r="B131" s="15" t="s">
        <v>7786</v>
      </c>
      <c r="C131" s="37">
        <v>45738.0</v>
      </c>
      <c r="D131" s="37">
        <v>45738.0</v>
      </c>
      <c r="E131" s="38" t="s">
        <v>7787</v>
      </c>
      <c r="F131" s="38" t="s">
        <v>7534</v>
      </c>
      <c r="G131" s="39">
        <v>16446.0</v>
      </c>
      <c r="H131" s="40"/>
      <c r="I131" s="42">
        <v>280.0</v>
      </c>
      <c r="J131" s="15"/>
      <c r="K131" s="15"/>
      <c r="L131" s="15" t="s">
        <v>539</v>
      </c>
      <c r="M131" s="15"/>
      <c r="N131" s="15" t="s">
        <v>24</v>
      </c>
      <c r="O131" s="15" t="s">
        <v>60</v>
      </c>
    </row>
    <row r="132">
      <c r="A132" s="18" t="s">
        <v>7498</v>
      </c>
      <c r="B132" s="15" t="s">
        <v>7788</v>
      </c>
      <c r="C132" s="37">
        <v>45738.0</v>
      </c>
      <c r="D132" s="37">
        <v>45738.0</v>
      </c>
      <c r="E132" s="38" t="s">
        <v>7789</v>
      </c>
      <c r="F132" s="38" t="s">
        <v>7534</v>
      </c>
      <c r="G132" s="39">
        <v>16446.0</v>
      </c>
      <c r="H132" s="40"/>
      <c r="I132" s="42">
        <v>256.0</v>
      </c>
      <c r="J132" s="15"/>
      <c r="K132" s="15"/>
      <c r="L132" s="15" t="s">
        <v>539</v>
      </c>
      <c r="M132" s="15"/>
      <c r="N132" s="15" t="s">
        <v>24</v>
      </c>
      <c r="O132" s="15" t="s">
        <v>60</v>
      </c>
    </row>
    <row r="133">
      <c r="A133" s="18" t="s">
        <v>7498</v>
      </c>
      <c r="B133" s="15" t="s">
        <v>7790</v>
      </c>
      <c r="C133" s="37">
        <v>45739.0</v>
      </c>
      <c r="D133" s="37">
        <v>45739.0</v>
      </c>
      <c r="E133" s="38" t="s">
        <v>7791</v>
      </c>
      <c r="F133" s="38" t="s">
        <v>7501</v>
      </c>
      <c r="G133" s="39">
        <v>4292.0</v>
      </c>
      <c r="H133" s="45">
        <v>2076.63</v>
      </c>
      <c r="I133" s="40"/>
      <c r="J133" s="15"/>
      <c r="K133" s="15"/>
      <c r="L133" s="15" t="s">
        <v>127</v>
      </c>
      <c r="M133" s="15"/>
      <c r="N133" s="15" t="s">
        <v>114</v>
      </c>
      <c r="O133" s="15" t="s">
        <v>275</v>
      </c>
    </row>
    <row r="134">
      <c r="A134" s="18" t="s">
        <v>7498</v>
      </c>
      <c r="B134" s="15" t="s">
        <v>7792</v>
      </c>
      <c r="C134" s="37">
        <v>45739.0</v>
      </c>
      <c r="D134" s="37">
        <v>45739.0</v>
      </c>
      <c r="E134" s="38" t="s">
        <v>7793</v>
      </c>
      <c r="F134" s="38" t="s">
        <v>7794</v>
      </c>
      <c r="G134" s="39">
        <v>16209.0</v>
      </c>
      <c r="H134" s="40"/>
      <c r="I134" s="42" t="s">
        <v>3832</v>
      </c>
      <c r="J134" s="15"/>
      <c r="K134" s="15"/>
      <c r="L134" s="18" t="s">
        <v>23</v>
      </c>
      <c r="M134" s="15"/>
      <c r="N134" s="15" t="s">
        <v>24</v>
      </c>
      <c r="O134" s="15" t="s">
        <v>25</v>
      </c>
    </row>
    <row r="135">
      <c r="A135" s="18" t="s">
        <v>7498</v>
      </c>
      <c r="B135" s="15" t="s">
        <v>7795</v>
      </c>
      <c r="C135" s="37">
        <v>45739.0</v>
      </c>
      <c r="D135" s="37">
        <v>45739.0</v>
      </c>
      <c r="E135" s="38" t="s">
        <v>7796</v>
      </c>
      <c r="F135" s="38" t="s">
        <v>7794</v>
      </c>
      <c r="G135" s="39">
        <v>16209.0</v>
      </c>
      <c r="H135" s="40"/>
      <c r="I135" s="42" t="s">
        <v>3832</v>
      </c>
      <c r="J135" s="15"/>
      <c r="K135" s="15"/>
      <c r="L135" s="18" t="s">
        <v>23</v>
      </c>
      <c r="M135" s="15"/>
      <c r="N135" s="15" t="s">
        <v>24</v>
      </c>
      <c r="O135" s="15" t="s">
        <v>25</v>
      </c>
    </row>
    <row r="136">
      <c r="A136" s="18" t="s">
        <v>7498</v>
      </c>
      <c r="B136" s="15" t="s">
        <v>7797</v>
      </c>
      <c r="C136" s="37">
        <v>45739.0</v>
      </c>
      <c r="D136" s="37">
        <v>45739.0</v>
      </c>
      <c r="E136" s="38" t="s">
        <v>7798</v>
      </c>
      <c r="F136" s="38" t="s">
        <v>7567</v>
      </c>
      <c r="G136" s="39">
        <v>16446.0</v>
      </c>
      <c r="H136" s="40"/>
      <c r="I136" s="42">
        <v>892.0</v>
      </c>
      <c r="J136" s="15"/>
      <c r="K136" s="15"/>
      <c r="L136" s="15" t="s">
        <v>539</v>
      </c>
      <c r="M136" s="15"/>
      <c r="N136" s="15" t="s">
        <v>24</v>
      </c>
      <c r="O136" s="15" t="s">
        <v>60</v>
      </c>
    </row>
    <row r="137">
      <c r="A137" s="18" t="s">
        <v>7498</v>
      </c>
      <c r="B137" s="15" t="s">
        <v>7799</v>
      </c>
      <c r="C137" s="37">
        <v>45739.0</v>
      </c>
      <c r="D137" s="37">
        <v>45739.0</v>
      </c>
      <c r="E137" s="38" t="s">
        <v>7800</v>
      </c>
      <c r="F137" s="38" t="s">
        <v>7801</v>
      </c>
      <c r="G137" s="39">
        <v>99922.0</v>
      </c>
      <c r="H137" s="42" t="s">
        <v>7802</v>
      </c>
      <c r="I137" s="40"/>
      <c r="J137" s="15"/>
      <c r="K137" s="15"/>
      <c r="L137" s="15" t="s">
        <v>119</v>
      </c>
      <c r="M137" s="15"/>
      <c r="N137" s="15" t="s">
        <v>114</v>
      </c>
      <c r="O137" s="15" t="s">
        <v>7513</v>
      </c>
    </row>
    <row r="138">
      <c r="A138" s="18" t="s">
        <v>7498</v>
      </c>
      <c r="B138" s="15" t="s">
        <v>7803</v>
      </c>
      <c r="C138" s="37">
        <v>45739.0</v>
      </c>
      <c r="D138" s="37">
        <v>45739.0</v>
      </c>
      <c r="E138" s="38" t="s">
        <v>7804</v>
      </c>
      <c r="F138" s="38" t="s">
        <v>7567</v>
      </c>
      <c r="G138" s="39">
        <v>16446.0</v>
      </c>
      <c r="H138" s="40"/>
      <c r="I138" s="42">
        <v>320.0</v>
      </c>
      <c r="J138" s="15"/>
      <c r="K138" s="15"/>
      <c r="L138" s="15" t="s">
        <v>539</v>
      </c>
      <c r="M138" s="15"/>
      <c r="N138" s="15" t="s">
        <v>24</v>
      </c>
      <c r="O138" s="15" t="s">
        <v>60</v>
      </c>
    </row>
    <row r="139">
      <c r="A139" s="18" t="s">
        <v>7498</v>
      </c>
      <c r="B139" s="15" t="s">
        <v>7805</v>
      </c>
      <c r="C139" s="37">
        <v>45739.0</v>
      </c>
      <c r="D139" s="37">
        <v>45739.0</v>
      </c>
      <c r="E139" s="38" t="s">
        <v>7806</v>
      </c>
      <c r="F139" s="38" t="s">
        <v>7567</v>
      </c>
      <c r="G139" s="39">
        <v>16446.0</v>
      </c>
      <c r="H139" s="40"/>
      <c r="I139" s="42">
        <v>212.0</v>
      </c>
      <c r="J139" s="15"/>
      <c r="K139" s="15"/>
      <c r="L139" s="15" t="s">
        <v>539</v>
      </c>
      <c r="M139" s="15"/>
      <c r="N139" s="15" t="s">
        <v>24</v>
      </c>
      <c r="O139" s="15" t="s">
        <v>60</v>
      </c>
    </row>
    <row r="140">
      <c r="A140" s="18" t="s">
        <v>7498</v>
      </c>
      <c r="B140" s="15" t="s">
        <v>7807</v>
      </c>
      <c r="C140" s="37">
        <v>45739.0</v>
      </c>
      <c r="D140" s="37">
        <v>45739.0</v>
      </c>
      <c r="E140" s="38" t="s">
        <v>7808</v>
      </c>
      <c r="F140" s="38" t="s">
        <v>7567</v>
      </c>
      <c r="G140" s="39">
        <v>16446.0</v>
      </c>
      <c r="H140" s="40"/>
      <c r="I140" s="42">
        <v>727.0</v>
      </c>
      <c r="J140" s="15"/>
      <c r="K140" s="15"/>
      <c r="L140" s="15" t="s">
        <v>539</v>
      </c>
      <c r="M140" s="15"/>
      <c r="N140" s="15" t="s">
        <v>24</v>
      </c>
      <c r="O140" s="15" t="s">
        <v>60</v>
      </c>
    </row>
    <row r="141">
      <c r="A141" s="18" t="s">
        <v>7498</v>
      </c>
      <c r="B141" s="15" t="s">
        <v>7809</v>
      </c>
      <c r="C141" s="37">
        <v>45739.0</v>
      </c>
      <c r="D141" s="37">
        <v>45739.0</v>
      </c>
      <c r="E141" s="38" t="s">
        <v>7810</v>
      </c>
      <c r="F141" s="38" t="s">
        <v>7567</v>
      </c>
      <c r="G141" s="39">
        <v>16446.0</v>
      </c>
      <c r="H141" s="40"/>
      <c r="I141" s="45">
        <v>1035.0</v>
      </c>
      <c r="J141" s="15"/>
      <c r="K141" s="15"/>
      <c r="L141" s="15" t="s">
        <v>539</v>
      </c>
      <c r="M141" s="15"/>
      <c r="N141" s="15" t="s">
        <v>24</v>
      </c>
      <c r="O141" s="15" t="s">
        <v>60</v>
      </c>
    </row>
    <row r="142">
      <c r="A142" s="18" t="s">
        <v>7498</v>
      </c>
      <c r="B142" s="15" t="s">
        <v>7811</v>
      </c>
      <c r="C142" s="37">
        <v>45739.0</v>
      </c>
      <c r="D142" s="37">
        <v>45739.0</v>
      </c>
      <c r="E142" s="38" t="s">
        <v>7812</v>
      </c>
      <c r="F142" s="38" t="s">
        <v>7567</v>
      </c>
      <c r="G142" s="39">
        <v>16446.0</v>
      </c>
      <c r="H142" s="40"/>
      <c r="I142" s="45">
        <v>1270.0</v>
      </c>
      <c r="J142" s="15"/>
      <c r="K142" s="15"/>
      <c r="L142" s="15" t="s">
        <v>539</v>
      </c>
      <c r="M142" s="15"/>
      <c r="N142" s="15" t="s">
        <v>24</v>
      </c>
      <c r="O142" s="15" t="s">
        <v>60</v>
      </c>
    </row>
    <row r="143">
      <c r="A143" s="18" t="s">
        <v>7498</v>
      </c>
      <c r="B143" s="15" t="s">
        <v>7813</v>
      </c>
      <c r="C143" s="37">
        <v>45740.0</v>
      </c>
      <c r="D143" s="37">
        <v>45740.0</v>
      </c>
      <c r="E143" s="38" t="s">
        <v>7814</v>
      </c>
      <c r="F143" s="38" t="s">
        <v>7815</v>
      </c>
      <c r="G143" s="39">
        <v>16209.0</v>
      </c>
      <c r="H143" s="40"/>
      <c r="I143" s="45">
        <v>50000.0</v>
      </c>
      <c r="J143" s="15"/>
      <c r="K143" s="15"/>
      <c r="L143" s="18" t="s">
        <v>23</v>
      </c>
      <c r="M143" s="15"/>
      <c r="N143" s="15" t="s">
        <v>24</v>
      </c>
      <c r="O143" s="15" t="s">
        <v>25</v>
      </c>
    </row>
    <row r="144">
      <c r="A144" s="18" t="s">
        <v>7498</v>
      </c>
      <c r="B144" s="15" t="s">
        <v>7816</v>
      </c>
      <c r="C144" s="37">
        <v>45740.0</v>
      </c>
      <c r="D144" s="37">
        <v>45740.0</v>
      </c>
      <c r="E144" s="38" t="s">
        <v>7817</v>
      </c>
      <c r="F144" s="38" t="s">
        <v>7815</v>
      </c>
      <c r="G144" s="39">
        <v>16209.0</v>
      </c>
      <c r="H144" s="40"/>
      <c r="I144" s="45">
        <v>50000.0</v>
      </c>
      <c r="J144" s="15"/>
      <c r="K144" s="15"/>
      <c r="L144" s="18" t="s">
        <v>23</v>
      </c>
      <c r="M144" s="15"/>
      <c r="N144" s="15" t="s">
        <v>24</v>
      </c>
      <c r="O144" s="15" t="s">
        <v>25</v>
      </c>
    </row>
    <row r="145">
      <c r="A145" s="18" t="s">
        <v>7498</v>
      </c>
      <c r="B145" s="15" t="s">
        <v>7818</v>
      </c>
      <c r="C145" s="37">
        <v>45740.0</v>
      </c>
      <c r="D145" s="37">
        <v>45740.0</v>
      </c>
      <c r="E145" s="38" t="s">
        <v>7819</v>
      </c>
      <c r="F145" s="38" t="s">
        <v>7537</v>
      </c>
      <c r="G145" s="39">
        <v>16446.0</v>
      </c>
      <c r="H145" s="40"/>
      <c r="I145" s="42">
        <v>480.0</v>
      </c>
      <c r="J145" s="15"/>
      <c r="K145" s="15"/>
      <c r="L145" s="15" t="s">
        <v>539</v>
      </c>
      <c r="M145" s="15"/>
      <c r="N145" s="15" t="s">
        <v>24</v>
      </c>
      <c r="O145" s="15" t="s">
        <v>60</v>
      </c>
    </row>
    <row r="146">
      <c r="A146" s="18" t="s">
        <v>7498</v>
      </c>
      <c r="B146" s="15" t="s">
        <v>7820</v>
      </c>
      <c r="C146" s="37">
        <v>45740.0</v>
      </c>
      <c r="D146" s="37">
        <v>45740.0</v>
      </c>
      <c r="E146" s="38" t="s">
        <v>7821</v>
      </c>
      <c r="F146" s="38" t="s">
        <v>7537</v>
      </c>
      <c r="G146" s="39">
        <v>16446.0</v>
      </c>
      <c r="H146" s="40"/>
      <c r="I146" s="42">
        <v>320.0</v>
      </c>
      <c r="J146" s="15"/>
      <c r="K146" s="15"/>
      <c r="L146" s="15" t="s">
        <v>539</v>
      </c>
      <c r="M146" s="15"/>
      <c r="N146" s="15" t="s">
        <v>24</v>
      </c>
      <c r="O146" s="15" t="s">
        <v>60</v>
      </c>
    </row>
    <row r="147">
      <c r="A147" s="18" t="s">
        <v>7498</v>
      </c>
      <c r="B147" s="15" t="s">
        <v>7822</v>
      </c>
      <c r="C147" s="37">
        <v>45740.0</v>
      </c>
      <c r="D147" s="37">
        <v>45740.0</v>
      </c>
      <c r="E147" s="38" t="s">
        <v>7823</v>
      </c>
      <c r="F147" s="38" t="s">
        <v>7537</v>
      </c>
      <c r="G147" s="39">
        <v>16446.0</v>
      </c>
      <c r="H147" s="40"/>
      <c r="I147" s="42">
        <v>562.0</v>
      </c>
      <c r="J147" s="15"/>
      <c r="K147" s="15"/>
      <c r="L147" s="15" t="s">
        <v>539</v>
      </c>
      <c r="M147" s="15"/>
      <c r="N147" s="15" t="s">
        <v>24</v>
      </c>
      <c r="O147" s="15" t="s">
        <v>60</v>
      </c>
    </row>
    <row r="148">
      <c r="A148" s="18" t="s">
        <v>7498</v>
      </c>
      <c r="B148" s="15" t="s">
        <v>7824</v>
      </c>
      <c r="C148" s="37">
        <v>45741.0</v>
      </c>
      <c r="D148" s="37">
        <v>45741.0</v>
      </c>
      <c r="E148" s="38" t="s">
        <v>7825</v>
      </c>
      <c r="F148" s="38" t="s">
        <v>7826</v>
      </c>
      <c r="G148" s="39">
        <v>4430.0</v>
      </c>
      <c r="H148" s="40"/>
      <c r="I148" s="42" t="s">
        <v>21</v>
      </c>
      <c r="J148" s="15"/>
      <c r="K148" s="15"/>
      <c r="L148" s="18" t="s">
        <v>23</v>
      </c>
      <c r="M148" s="15"/>
      <c r="N148" s="15" t="s">
        <v>24</v>
      </c>
      <c r="O148" s="15" t="s">
        <v>25</v>
      </c>
    </row>
    <row r="149">
      <c r="A149" s="18" t="s">
        <v>7498</v>
      </c>
      <c r="B149" s="15" t="s">
        <v>7827</v>
      </c>
      <c r="C149" s="37">
        <v>45741.0</v>
      </c>
      <c r="D149" s="37">
        <v>45741.0</v>
      </c>
      <c r="E149" s="38" t="s">
        <v>7828</v>
      </c>
      <c r="F149" s="38" t="s">
        <v>7826</v>
      </c>
      <c r="G149" s="39">
        <v>4430.0</v>
      </c>
      <c r="H149" s="40"/>
      <c r="I149" s="42" t="s">
        <v>21</v>
      </c>
      <c r="J149" s="15"/>
      <c r="K149" s="15"/>
      <c r="L149" s="18" t="s">
        <v>23</v>
      </c>
      <c r="M149" s="15"/>
      <c r="N149" s="15" t="s">
        <v>24</v>
      </c>
      <c r="O149" s="15" t="s">
        <v>25</v>
      </c>
    </row>
    <row r="150">
      <c r="A150" s="18" t="s">
        <v>7498</v>
      </c>
      <c r="B150" s="15" t="s">
        <v>7829</v>
      </c>
      <c r="C150" s="37">
        <v>45742.0</v>
      </c>
      <c r="D150" s="37">
        <v>45742.0</v>
      </c>
      <c r="E150" s="38" t="s">
        <v>7830</v>
      </c>
      <c r="F150" s="38" t="s">
        <v>7544</v>
      </c>
      <c r="G150" s="39">
        <v>16446.0</v>
      </c>
      <c r="H150" s="40"/>
      <c r="I150" s="45">
        <v>1710.0</v>
      </c>
      <c r="J150" s="15"/>
      <c r="K150" s="15"/>
      <c r="L150" s="15" t="s">
        <v>539</v>
      </c>
      <c r="M150" s="15"/>
      <c r="N150" s="15" t="s">
        <v>24</v>
      </c>
      <c r="O150" s="15" t="s">
        <v>60</v>
      </c>
    </row>
    <row r="151">
      <c r="A151" s="18" t="s">
        <v>7498</v>
      </c>
      <c r="B151" s="15" t="s">
        <v>7831</v>
      </c>
      <c r="C151" s="37">
        <v>45742.0</v>
      </c>
      <c r="D151" s="37">
        <v>45742.0</v>
      </c>
      <c r="E151" s="38" t="s">
        <v>7832</v>
      </c>
      <c r="F151" s="38" t="s">
        <v>7557</v>
      </c>
      <c r="G151" s="39">
        <v>16446.0</v>
      </c>
      <c r="H151" s="40"/>
      <c r="I151" s="42">
        <v>320.0</v>
      </c>
      <c r="J151" s="15"/>
      <c r="K151" s="15"/>
      <c r="L151" s="15" t="s">
        <v>539</v>
      </c>
      <c r="M151" s="15"/>
      <c r="N151" s="15" t="s">
        <v>24</v>
      </c>
      <c r="O151" s="15" t="s">
        <v>60</v>
      </c>
    </row>
    <row r="152">
      <c r="A152" s="18" t="s">
        <v>7498</v>
      </c>
      <c r="B152" s="15" t="s">
        <v>7833</v>
      </c>
      <c r="C152" s="37">
        <v>45742.0</v>
      </c>
      <c r="D152" s="37">
        <v>45742.0</v>
      </c>
      <c r="E152" s="38" t="s">
        <v>7834</v>
      </c>
      <c r="F152" s="38" t="s">
        <v>7557</v>
      </c>
      <c r="G152" s="39">
        <v>16446.0</v>
      </c>
      <c r="H152" s="40"/>
      <c r="I152" s="45">
        <v>1203.0</v>
      </c>
      <c r="J152" s="15"/>
      <c r="K152" s="15"/>
      <c r="L152" s="15" t="s">
        <v>539</v>
      </c>
      <c r="M152" s="15"/>
      <c r="N152" s="15" t="s">
        <v>24</v>
      </c>
      <c r="O152" s="15" t="s">
        <v>60</v>
      </c>
    </row>
    <row r="153">
      <c r="A153" s="18" t="s">
        <v>7498</v>
      </c>
      <c r="B153" s="15" t="s">
        <v>7835</v>
      </c>
      <c r="C153" s="37">
        <v>45742.0</v>
      </c>
      <c r="D153" s="37">
        <v>45742.0</v>
      </c>
      <c r="E153" s="38" t="s">
        <v>7836</v>
      </c>
      <c r="F153" s="38" t="s">
        <v>7557</v>
      </c>
      <c r="G153" s="39">
        <v>16446.0</v>
      </c>
      <c r="H153" s="40"/>
      <c r="I153" s="45">
        <v>1288.0</v>
      </c>
      <c r="J153" s="15"/>
      <c r="K153" s="15"/>
      <c r="L153" s="15" t="s">
        <v>539</v>
      </c>
      <c r="M153" s="15"/>
      <c r="N153" s="15" t="s">
        <v>24</v>
      </c>
      <c r="O153" s="15" t="s">
        <v>60</v>
      </c>
    </row>
    <row r="154">
      <c r="A154" s="18" t="s">
        <v>7498</v>
      </c>
      <c r="B154" s="15" t="s">
        <v>7837</v>
      </c>
      <c r="C154" s="37">
        <v>45742.0</v>
      </c>
      <c r="D154" s="37">
        <v>45742.0</v>
      </c>
      <c r="E154" s="38" t="s">
        <v>7838</v>
      </c>
      <c r="F154" s="38" t="s">
        <v>7557</v>
      </c>
      <c r="G154" s="39">
        <v>16446.0</v>
      </c>
      <c r="H154" s="40"/>
      <c r="I154" s="42">
        <v>438.0</v>
      </c>
      <c r="J154" s="15"/>
      <c r="K154" s="15"/>
      <c r="L154" s="15" t="s">
        <v>539</v>
      </c>
      <c r="M154" s="15"/>
      <c r="N154" s="15" t="s">
        <v>24</v>
      </c>
      <c r="O154" s="15" t="s">
        <v>60</v>
      </c>
    </row>
    <row r="155">
      <c r="A155" s="18" t="s">
        <v>7498</v>
      </c>
      <c r="B155" s="15" t="s">
        <v>7839</v>
      </c>
      <c r="C155" s="37">
        <v>45743.0</v>
      </c>
      <c r="D155" s="37">
        <v>45743.0</v>
      </c>
      <c r="E155" s="38" t="s">
        <v>7840</v>
      </c>
      <c r="F155" s="38" t="s">
        <v>7580</v>
      </c>
      <c r="G155" s="39">
        <v>16446.0</v>
      </c>
      <c r="H155" s="40"/>
      <c r="I155" s="42">
        <v>496.0</v>
      </c>
      <c r="J155" s="15"/>
      <c r="K155" s="15"/>
      <c r="L155" s="15" t="s">
        <v>539</v>
      </c>
      <c r="M155" s="15"/>
      <c r="N155" s="15" t="s">
        <v>24</v>
      </c>
      <c r="O155" s="15" t="s">
        <v>60</v>
      </c>
    </row>
    <row r="156">
      <c r="A156" s="18" t="s">
        <v>7498</v>
      </c>
      <c r="B156" s="15" t="s">
        <v>7841</v>
      </c>
      <c r="C156" s="37">
        <v>45743.0</v>
      </c>
      <c r="D156" s="37">
        <v>45743.0</v>
      </c>
      <c r="E156" s="38" t="s">
        <v>7842</v>
      </c>
      <c r="F156" s="38" t="s">
        <v>7580</v>
      </c>
      <c r="G156" s="39">
        <v>16446.0</v>
      </c>
      <c r="H156" s="40"/>
      <c r="I156" s="42">
        <v>792.0</v>
      </c>
      <c r="J156" s="15"/>
      <c r="K156" s="15"/>
      <c r="L156" s="15" t="s">
        <v>539</v>
      </c>
      <c r="M156" s="15"/>
      <c r="N156" s="15" t="s">
        <v>24</v>
      </c>
      <c r="O156" s="15" t="s">
        <v>60</v>
      </c>
    </row>
    <row r="157">
      <c r="A157" s="18" t="s">
        <v>7498</v>
      </c>
      <c r="B157" s="15" t="s">
        <v>7843</v>
      </c>
      <c r="C157" s="37">
        <v>45743.0</v>
      </c>
      <c r="D157" s="37">
        <v>45743.0</v>
      </c>
      <c r="E157" s="38" t="s">
        <v>7844</v>
      </c>
      <c r="F157" s="38" t="s">
        <v>7580</v>
      </c>
      <c r="G157" s="39">
        <v>16446.0</v>
      </c>
      <c r="H157" s="40"/>
      <c r="I157" s="42">
        <v>417.0</v>
      </c>
      <c r="J157" s="15"/>
      <c r="K157" s="15"/>
      <c r="L157" s="15" t="s">
        <v>539</v>
      </c>
      <c r="M157" s="15"/>
      <c r="N157" s="15" t="s">
        <v>24</v>
      </c>
      <c r="O157" s="15" t="s">
        <v>60</v>
      </c>
    </row>
    <row r="158">
      <c r="A158" s="18" t="s">
        <v>7498</v>
      </c>
      <c r="B158" s="15" t="s">
        <v>7845</v>
      </c>
      <c r="C158" s="37">
        <v>45743.0</v>
      </c>
      <c r="D158" s="37">
        <v>45743.0</v>
      </c>
      <c r="E158" s="38" t="s">
        <v>7846</v>
      </c>
      <c r="F158" s="38" t="s">
        <v>7580</v>
      </c>
      <c r="G158" s="39">
        <v>16446.0</v>
      </c>
      <c r="H158" s="40"/>
      <c r="I158" s="42">
        <v>832.0</v>
      </c>
      <c r="J158" s="15"/>
      <c r="K158" s="15"/>
      <c r="L158" s="15" t="s">
        <v>539</v>
      </c>
      <c r="M158" s="15"/>
      <c r="N158" s="15" t="s">
        <v>24</v>
      </c>
      <c r="O158" s="15" t="s">
        <v>60</v>
      </c>
    </row>
    <row r="159">
      <c r="A159" s="18" t="s">
        <v>7498</v>
      </c>
      <c r="B159" s="15" t="s">
        <v>7847</v>
      </c>
      <c r="C159" s="37">
        <v>45743.0</v>
      </c>
      <c r="D159" s="37">
        <v>45743.0</v>
      </c>
      <c r="E159" s="38" t="s">
        <v>7848</v>
      </c>
      <c r="F159" s="38" t="s">
        <v>7580</v>
      </c>
      <c r="G159" s="39">
        <v>16446.0</v>
      </c>
      <c r="H159" s="40"/>
      <c r="I159" s="42">
        <v>299.0</v>
      </c>
      <c r="J159" s="15"/>
      <c r="K159" s="15"/>
      <c r="L159" s="15" t="s">
        <v>539</v>
      </c>
      <c r="M159" s="15"/>
      <c r="N159" s="15" t="s">
        <v>24</v>
      </c>
      <c r="O159" s="15" t="s">
        <v>60</v>
      </c>
    </row>
    <row r="160">
      <c r="A160" s="18" t="s">
        <v>7498</v>
      </c>
      <c r="B160" s="15" t="s">
        <v>7849</v>
      </c>
      <c r="C160" s="37">
        <v>45743.0</v>
      </c>
      <c r="D160" s="37">
        <v>45743.0</v>
      </c>
      <c r="E160" s="38" t="s">
        <v>7850</v>
      </c>
      <c r="F160" s="38" t="s">
        <v>7580</v>
      </c>
      <c r="G160" s="39">
        <v>16446.0</v>
      </c>
      <c r="H160" s="40"/>
      <c r="I160" s="42">
        <v>139.0</v>
      </c>
      <c r="J160" s="15"/>
      <c r="K160" s="15"/>
      <c r="L160" s="15" t="s">
        <v>539</v>
      </c>
      <c r="M160" s="15"/>
      <c r="N160" s="15" t="s">
        <v>24</v>
      </c>
      <c r="O160" s="15" t="s">
        <v>60</v>
      </c>
    </row>
    <row r="161">
      <c r="A161" s="18" t="s">
        <v>7498</v>
      </c>
      <c r="B161" s="15" t="s">
        <v>7851</v>
      </c>
      <c r="C161" s="37">
        <v>45743.0</v>
      </c>
      <c r="D161" s="37">
        <v>45743.0</v>
      </c>
      <c r="E161" s="38" t="s">
        <v>7852</v>
      </c>
      <c r="F161" s="38" t="s">
        <v>7580</v>
      </c>
      <c r="G161" s="39">
        <v>16446.0</v>
      </c>
      <c r="H161" s="40"/>
      <c r="I161" s="45">
        <v>3320.0</v>
      </c>
      <c r="J161" s="15"/>
      <c r="K161" s="15"/>
      <c r="L161" s="15" t="s">
        <v>539</v>
      </c>
      <c r="M161" s="15"/>
      <c r="N161" s="15" t="s">
        <v>24</v>
      </c>
      <c r="O161" s="15" t="s">
        <v>60</v>
      </c>
    </row>
    <row r="162">
      <c r="A162" s="18" t="s">
        <v>7498</v>
      </c>
      <c r="B162" s="15" t="s">
        <v>7853</v>
      </c>
      <c r="C162" s="37">
        <v>45744.0</v>
      </c>
      <c r="D162" s="37">
        <v>45744.0</v>
      </c>
      <c r="E162" s="38" t="s">
        <v>7854</v>
      </c>
      <c r="F162" s="38" t="s">
        <v>7508</v>
      </c>
      <c r="G162" s="39">
        <v>16446.0</v>
      </c>
      <c r="H162" s="40"/>
      <c r="I162" s="45">
        <v>1292.0</v>
      </c>
      <c r="J162" s="15"/>
      <c r="K162" s="15"/>
      <c r="L162" s="15" t="s">
        <v>539</v>
      </c>
      <c r="M162" s="15"/>
      <c r="N162" s="15" t="s">
        <v>24</v>
      </c>
      <c r="O162" s="15" t="s">
        <v>60</v>
      </c>
    </row>
    <row r="163">
      <c r="A163" s="18" t="s">
        <v>7498</v>
      </c>
      <c r="B163" s="15" t="s">
        <v>7855</v>
      </c>
      <c r="C163" s="37">
        <v>45744.0</v>
      </c>
      <c r="D163" s="37">
        <v>45744.0</v>
      </c>
      <c r="E163" s="38" t="s">
        <v>7856</v>
      </c>
      <c r="F163" s="38" t="s">
        <v>7857</v>
      </c>
      <c r="G163" s="39">
        <v>4430.0</v>
      </c>
      <c r="H163" s="40"/>
      <c r="I163" s="45">
        <v>2835.0</v>
      </c>
      <c r="J163" s="15"/>
      <c r="K163" s="15"/>
      <c r="L163" s="15" t="s">
        <v>539</v>
      </c>
      <c r="M163" s="15"/>
      <c r="N163" s="15" t="s">
        <v>24</v>
      </c>
      <c r="O163" s="15" t="s">
        <v>60</v>
      </c>
    </row>
    <row r="164">
      <c r="A164" s="18" t="s">
        <v>7498</v>
      </c>
      <c r="B164" s="15" t="s">
        <v>7858</v>
      </c>
      <c r="C164" s="37">
        <v>45744.0</v>
      </c>
      <c r="D164" s="37">
        <v>45744.0</v>
      </c>
      <c r="E164" s="38" t="s">
        <v>7859</v>
      </c>
      <c r="F164" s="38" t="s">
        <v>7508</v>
      </c>
      <c r="G164" s="39">
        <v>16446.0</v>
      </c>
      <c r="H164" s="40"/>
      <c r="I164" s="42">
        <v>506.0</v>
      </c>
      <c r="J164" s="15"/>
      <c r="K164" s="15"/>
      <c r="L164" s="15" t="s">
        <v>539</v>
      </c>
      <c r="M164" s="15"/>
      <c r="N164" s="15" t="s">
        <v>24</v>
      </c>
      <c r="O164" s="15" t="s">
        <v>60</v>
      </c>
    </row>
    <row r="165">
      <c r="A165" s="18" t="s">
        <v>7498</v>
      </c>
      <c r="B165" s="15" t="s">
        <v>7860</v>
      </c>
      <c r="C165" s="37">
        <v>45744.0</v>
      </c>
      <c r="D165" s="37">
        <v>45744.0</v>
      </c>
      <c r="E165" s="38" t="s">
        <v>7861</v>
      </c>
      <c r="F165" s="38" t="s">
        <v>7508</v>
      </c>
      <c r="G165" s="39">
        <v>16446.0</v>
      </c>
      <c r="H165" s="40"/>
      <c r="I165" s="42">
        <v>698.0</v>
      </c>
      <c r="J165" s="15"/>
      <c r="K165" s="15"/>
      <c r="L165" s="15" t="s">
        <v>539</v>
      </c>
      <c r="M165" s="15"/>
      <c r="N165" s="15" t="s">
        <v>24</v>
      </c>
      <c r="O165" s="15" t="s">
        <v>60</v>
      </c>
    </row>
    <row r="166">
      <c r="A166" s="18" t="s">
        <v>7498</v>
      </c>
      <c r="B166" s="15" t="s">
        <v>7862</v>
      </c>
      <c r="C166" s="37">
        <v>45744.0</v>
      </c>
      <c r="D166" s="37">
        <v>45744.0</v>
      </c>
      <c r="E166" s="38" t="s">
        <v>7863</v>
      </c>
      <c r="F166" s="38" t="s">
        <v>7508</v>
      </c>
      <c r="G166" s="39">
        <v>16446.0</v>
      </c>
      <c r="H166" s="40"/>
      <c r="I166" s="45">
        <v>1342.0</v>
      </c>
      <c r="J166" s="15"/>
      <c r="K166" s="15"/>
      <c r="L166" s="15" t="s">
        <v>539</v>
      </c>
      <c r="M166" s="15"/>
      <c r="N166" s="15" t="s">
        <v>24</v>
      </c>
      <c r="O166" s="15" t="s">
        <v>60</v>
      </c>
    </row>
    <row r="167">
      <c r="A167" s="18" t="s">
        <v>7498</v>
      </c>
      <c r="B167" s="15" t="s">
        <v>7864</v>
      </c>
      <c r="C167" s="37">
        <v>45744.0</v>
      </c>
      <c r="D167" s="37">
        <v>45744.0</v>
      </c>
      <c r="E167" s="38" t="s">
        <v>7865</v>
      </c>
      <c r="F167" s="38" t="s">
        <v>7508</v>
      </c>
      <c r="G167" s="39">
        <v>16446.0</v>
      </c>
      <c r="H167" s="40"/>
      <c r="I167" s="42">
        <v>40.0</v>
      </c>
      <c r="J167" s="15"/>
      <c r="K167" s="15"/>
      <c r="L167" s="15" t="s">
        <v>539</v>
      </c>
      <c r="M167" s="15"/>
      <c r="N167" s="15" t="s">
        <v>24</v>
      </c>
      <c r="O167" s="15" t="s">
        <v>60</v>
      </c>
    </row>
    <row r="168">
      <c r="A168" s="18" t="s">
        <v>7498</v>
      </c>
      <c r="B168" s="15" t="s">
        <v>7866</v>
      </c>
      <c r="C168" s="37">
        <v>45744.0</v>
      </c>
      <c r="D168" s="37">
        <v>45744.0</v>
      </c>
      <c r="E168" s="38" t="s">
        <v>7867</v>
      </c>
      <c r="F168" s="38" t="s">
        <v>7508</v>
      </c>
      <c r="G168" s="39">
        <v>16446.0</v>
      </c>
      <c r="H168" s="40"/>
      <c r="I168" s="45">
        <v>1247.0</v>
      </c>
      <c r="J168" s="15"/>
      <c r="K168" s="15"/>
      <c r="L168" s="15" t="s">
        <v>539</v>
      </c>
      <c r="M168" s="15"/>
      <c r="N168" s="15" t="s">
        <v>24</v>
      </c>
      <c r="O168" s="15" t="s">
        <v>60</v>
      </c>
    </row>
    <row r="169">
      <c r="A169" s="18" t="s">
        <v>7498</v>
      </c>
      <c r="B169" s="15" t="s">
        <v>7868</v>
      </c>
      <c r="C169" s="37">
        <v>45744.0</v>
      </c>
      <c r="D169" s="37">
        <v>45744.0</v>
      </c>
      <c r="E169" s="38" t="s">
        <v>7869</v>
      </c>
      <c r="F169" s="38" t="s">
        <v>7508</v>
      </c>
      <c r="G169" s="39">
        <v>16446.0</v>
      </c>
      <c r="H169" s="40"/>
      <c r="I169" s="42">
        <v>224.0</v>
      </c>
      <c r="J169" s="15"/>
      <c r="K169" s="15"/>
      <c r="L169" s="15" t="s">
        <v>539</v>
      </c>
      <c r="M169" s="15"/>
      <c r="N169" s="15" t="s">
        <v>24</v>
      </c>
      <c r="O169" s="15" t="s">
        <v>60</v>
      </c>
    </row>
    <row r="170">
      <c r="A170" s="18" t="s">
        <v>7498</v>
      </c>
      <c r="B170" s="15" t="s">
        <v>7870</v>
      </c>
      <c r="C170" s="37">
        <v>45745.0</v>
      </c>
      <c r="D170" s="37">
        <v>45745.0</v>
      </c>
      <c r="E170" s="38" t="s">
        <v>7871</v>
      </c>
      <c r="F170" s="38" t="s">
        <v>7857</v>
      </c>
      <c r="G170" s="39">
        <v>4430.0</v>
      </c>
      <c r="H170" s="40"/>
      <c r="I170" s="42" t="s">
        <v>7872</v>
      </c>
      <c r="J170" s="15"/>
      <c r="K170" s="15"/>
      <c r="L170" s="18" t="s">
        <v>23</v>
      </c>
      <c r="M170" s="15"/>
      <c r="N170" s="15" t="s">
        <v>24</v>
      </c>
      <c r="O170" s="15" t="s">
        <v>25</v>
      </c>
    </row>
    <row r="171">
      <c r="A171" s="18" t="s">
        <v>7498</v>
      </c>
      <c r="B171" s="15" t="s">
        <v>7873</v>
      </c>
      <c r="C171" s="37">
        <v>45745.0</v>
      </c>
      <c r="D171" s="37">
        <v>45745.0</v>
      </c>
      <c r="E171" s="38" t="s">
        <v>7874</v>
      </c>
      <c r="F171" s="38" t="s">
        <v>7857</v>
      </c>
      <c r="G171" s="39">
        <v>4430.0</v>
      </c>
      <c r="H171" s="40"/>
      <c r="I171" s="42" t="s">
        <v>7875</v>
      </c>
      <c r="J171" s="15"/>
      <c r="K171" s="15"/>
      <c r="L171" s="18" t="s">
        <v>23</v>
      </c>
      <c r="M171" s="15"/>
      <c r="N171" s="15" t="s">
        <v>7876</v>
      </c>
      <c r="O171" s="15" t="s">
        <v>25</v>
      </c>
    </row>
    <row r="172">
      <c r="A172" s="18" t="s">
        <v>7498</v>
      </c>
      <c r="B172" s="15" t="s">
        <v>7877</v>
      </c>
      <c r="C172" s="37">
        <v>45745.0</v>
      </c>
      <c r="D172" s="37">
        <v>45745.0</v>
      </c>
      <c r="E172" s="38" t="s">
        <v>7878</v>
      </c>
      <c r="F172" s="38" t="s">
        <v>7534</v>
      </c>
      <c r="G172" s="39">
        <v>16446.0</v>
      </c>
      <c r="H172" s="40"/>
      <c r="I172" s="42">
        <v>300.0</v>
      </c>
      <c r="J172" s="15"/>
      <c r="K172" s="15"/>
      <c r="L172" s="15" t="s">
        <v>539</v>
      </c>
      <c r="M172" s="15"/>
      <c r="N172" s="15" t="s">
        <v>24</v>
      </c>
      <c r="O172" s="15" t="s">
        <v>60</v>
      </c>
    </row>
    <row r="173">
      <c r="A173" s="18" t="s">
        <v>7498</v>
      </c>
      <c r="B173" s="15" t="s">
        <v>7879</v>
      </c>
      <c r="C173" s="37">
        <v>45745.0</v>
      </c>
      <c r="D173" s="37">
        <v>45745.0</v>
      </c>
      <c r="E173" s="38" t="s">
        <v>7880</v>
      </c>
      <c r="F173" s="38" t="s">
        <v>7534</v>
      </c>
      <c r="G173" s="39">
        <v>16446.0</v>
      </c>
      <c r="H173" s="40"/>
      <c r="I173" s="42">
        <v>690.0</v>
      </c>
      <c r="J173" s="15"/>
      <c r="K173" s="15"/>
      <c r="L173" s="15" t="s">
        <v>539</v>
      </c>
      <c r="M173" s="15"/>
      <c r="N173" s="15" t="s">
        <v>24</v>
      </c>
      <c r="O173" s="15" t="s">
        <v>60</v>
      </c>
    </row>
    <row r="174">
      <c r="A174" s="18" t="s">
        <v>7498</v>
      </c>
      <c r="B174" s="15" t="s">
        <v>7881</v>
      </c>
      <c r="C174" s="37">
        <v>45745.0</v>
      </c>
      <c r="D174" s="37">
        <v>45745.0</v>
      </c>
      <c r="E174" s="38" t="s">
        <v>7882</v>
      </c>
      <c r="F174" s="38" t="s">
        <v>7534</v>
      </c>
      <c r="G174" s="39">
        <v>16446.0</v>
      </c>
      <c r="H174" s="40"/>
      <c r="I174" s="42">
        <v>356.0</v>
      </c>
      <c r="J174" s="15"/>
      <c r="K174" s="15"/>
      <c r="L174" s="15" t="s">
        <v>539</v>
      </c>
      <c r="M174" s="15"/>
      <c r="N174" s="15" t="s">
        <v>24</v>
      </c>
      <c r="O174" s="15" t="s">
        <v>60</v>
      </c>
    </row>
    <row r="175">
      <c r="A175" s="18" t="s">
        <v>7498</v>
      </c>
      <c r="B175" s="15" t="s">
        <v>7883</v>
      </c>
      <c r="C175" s="37">
        <v>45745.0</v>
      </c>
      <c r="D175" s="37">
        <v>45745.0</v>
      </c>
      <c r="E175" s="38" t="s">
        <v>7884</v>
      </c>
      <c r="F175" s="38" t="s">
        <v>7534</v>
      </c>
      <c r="G175" s="39">
        <v>16446.0</v>
      </c>
      <c r="H175" s="40"/>
      <c r="I175" s="42">
        <v>400.0</v>
      </c>
      <c r="J175" s="15"/>
      <c r="K175" s="15"/>
      <c r="L175" s="15" t="s">
        <v>539</v>
      </c>
      <c r="M175" s="15"/>
      <c r="N175" s="15" t="s">
        <v>24</v>
      </c>
      <c r="O175" s="15" t="s">
        <v>60</v>
      </c>
    </row>
    <row r="176">
      <c r="A176" s="18" t="s">
        <v>7498</v>
      </c>
      <c r="B176" s="15" t="s">
        <v>7885</v>
      </c>
      <c r="C176" s="37">
        <v>45745.0</v>
      </c>
      <c r="D176" s="37">
        <v>45745.0</v>
      </c>
      <c r="E176" s="38" t="s">
        <v>7886</v>
      </c>
      <c r="F176" s="38" t="s">
        <v>7534</v>
      </c>
      <c r="G176" s="39">
        <v>16446.0</v>
      </c>
      <c r="H176" s="40"/>
      <c r="I176" s="45">
        <v>3888.0</v>
      </c>
      <c r="J176" s="15"/>
      <c r="K176" s="15"/>
      <c r="L176" s="15" t="s">
        <v>539</v>
      </c>
      <c r="M176" s="15"/>
      <c r="N176" s="15" t="s">
        <v>24</v>
      </c>
      <c r="O176" s="15" t="s">
        <v>60</v>
      </c>
    </row>
    <row r="177">
      <c r="A177" s="18" t="s">
        <v>7498</v>
      </c>
      <c r="B177" s="15" t="s">
        <v>7887</v>
      </c>
      <c r="C177" s="37">
        <v>45745.0</v>
      </c>
      <c r="D177" s="37">
        <v>45745.0</v>
      </c>
      <c r="E177" s="38" t="s">
        <v>7888</v>
      </c>
      <c r="F177" s="38" t="s">
        <v>7534</v>
      </c>
      <c r="G177" s="39">
        <v>16446.0</v>
      </c>
      <c r="H177" s="40"/>
      <c r="I177" s="42">
        <v>158.0</v>
      </c>
      <c r="J177" s="15"/>
      <c r="K177" s="15"/>
      <c r="L177" s="15" t="s">
        <v>539</v>
      </c>
      <c r="M177" s="15"/>
      <c r="N177" s="15" t="s">
        <v>24</v>
      </c>
      <c r="O177" s="15" t="s">
        <v>60</v>
      </c>
    </row>
    <row r="178">
      <c r="A178" s="18" t="s">
        <v>7498</v>
      </c>
      <c r="B178" s="15" t="s">
        <v>7889</v>
      </c>
      <c r="C178" s="37">
        <v>45745.0</v>
      </c>
      <c r="D178" s="37">
        <v>45745.0</v>
      </c>
      <c r="E178" s="38" t="s">
        <v>7890</v>
      </c>
      <c r="F178" s="38" t="s">
        <v>7534</v>
      </c>
      <c r="G178" s="39">
        <v>16446.0</v>
      </c>
      <c r="H178" s="40"/>
      <c r="I178" s="42">
        <v>375.0</v>
      </c>
      <c r="J178" s="15"/>
      <c r="K178" s="15"/>
      <c r="L178" s="15" t="s">
        <v>539</v>
      </c>
      <c r="M178" s="15"/>
      <c r="N178" s="15" t="s">
        <v>24</v>
      </c>
      <c r="O178" s="15" t="s">
        <v>60</v>
      </c>
    </row>
    <row r="179">
      <c r="A179" s="18" t="s">
        <v>7498</v>
      </c>
      <c r="B179" s="15" t="s">
        <v>7891</v>
      </c>
      <c r="C179" s="37">
        <v>45745.0</v>
      </c>
      <c r="D179" s="37">
        <v>45745.0</v>
      </c>
      <c r="E179" s="38" t="s">
        <v>7892</v>
      </c>
      <c r="F179" s="38" t="s">
        <v>7534</v>
      </c>
      <c r="G179" s="39">
        <v>16446.0</v>
      </c>
      <c r="H179" s="40"/>
      <c r="I179" s="45">
        <v>1224.0</v>
      </c>
      <c r="J179" s="15"/>
      <c r="K179" s="15"/>
      <c r="L179" s="15" t="s">
        <v>539</v>
      </c>
      <c r="M179" s="15"/>
      <c r="N179" s="15" t="s">
        <v>24</v>
      </c>
      <c r="O179" s="15" t="s">
        <v>60</v>
      </c>
    </row>
    <row r="180">
      <c r="A180" s="18" t="s">
        <v>7498</v>
      </c>
      <c r="B180" s="15" t="s">
        <v>7893</v>
      </c>
      <c r="C180" s="37">
        <v>45745.0</v>
      </c>
      <c r="D180" s="37">
        <v>45745.0</v>
      </c>
      <c r="E180" s="38" t="s">
        <v>7894</v>
      </c>
      <c r="F180" s="38" t="s">
        <v>7534</v>
      </c>
      <c r="G180" s="39">
        <v>16446.0</v>
      </c>
      <c r="H180" s="40"/>
      <c r="I180" s="45">
        <v>1180.0</v>
      </c>
      <c r="J180" s="15"/>
      <c r="K180" s="15"/>
      <c r="L180" s="15" t="s">
        <v>539</v>
      </c>
      <c r="M180" s="15"/>
      <c r="N180" s="15" t="s">
        <v>24</v>
      </c>
      <c r="O180" s="15" t="s">
        <v>60</v>
      </c>
    </row>
    <row r="181">
      <c r="A181" s="18" t="s">
        <v>7498</v>
      </c>
      <c r="B181" s="15" t="s">
        <v>7895</v>
      </c>
      <c r="C181" s="37">
        <v>45745.0</v>
      </c>
      <c r="D181" s="37">
        <v>45745.0</v>
      </c>
      <c r="E181" s="38" t="s">
        <v>7896</v>
      </c>
      <c r="F181" s="38" t="s">
        <v>7534</v>
      </c>
      <c r="G181" s="39">
        <v>16446.0</v>
      </c>
      <c r="H181" s="40"/>
      <c r="I181" s="42">
        <v>360.0</v>
      </c>
      <c r="J181" s="15"/>
      <c r="K181" s="15"/>
      <c r="L181" s="15" t="s">
        <v>539</v>
      </c>
      <c r="M181" s="15"/>
      <c r="N181" s="15" t="s">
        <v>24</v>
      </c>
      <c r="O181" s="15" t="s">
        <v>60</v>
      </c>
    </row>
    <row r="182">
      <c r="A182" s="18" t="s">
        <v>7498</v>
      </c>
      <c r="B182" s="15" t="s">
        <v>7897</v>
      </c>
      <c r="C182" s="37">
        <v>45746.0</v>
      </c>
      <c r="D182" s="37">
        <v>45746.0</v>
      </c>
      <c r="E182" s="38" t="s">
        <v>7898</v>
      </c>
      <c r="F182" s="38" t="s">
        <v>7567</v>
      </c>
      <c r="G182" s="39">
        <v>16446.0</v>
      </c>
      <c r="H182" s="40"/>
      <c r="I182" s="42">
        <v>597.0</v>
      </c>
      <c r="J182" s="15"/>
      <c r="K182" s="15"/>
      <c r="L182" s="15" t="s">
        <v>539</v>
      </c>
      <c r="M182" s="15"/>
      <c r="N182" s="15" t="s">
        <v>24</v>
      </c>
      <c r="O182" s="15" t="s">
        <v>60</v>
      </c>
    </row>
    <row r="183">
      <c r="A183" s="18" t="s">
        <v>7498</v>
      </c>
      <c r="B183" s="15" t="s">
        <v>7899</v>
      </c>
      <c r="C183" s="37">
        <v>45746.0</v>
      </c>
      <c r="D183" s="37">
        <v>45746.0</v>
      </c>
      <c r="E183" s="38" t="s">
        <v>7900</v>
      </c>
      <c r="F183" s="38" t="s">
        <v>7567</v>
      </c>
      <c r="G183" s="39">
        <v>16446.0</v>
      </c>
      <c r="H183" s="40"/>
      <c r="I183" s="42">
        <v>607.0</v>
      </c>
      <c r="J183" s="15"/>
      <c r="K183" s="15"/>
      <c r="L183" s="15" t="s">
        <v>539</v>
      </c>
      <c r="M183" s="15"/>
      <c r="N183" s="15" t="s">
        <v>24</v>
      </c>
      <c r="O183" s="15" t="s">
        <v>60</v>
      </c>
    </row>
    <row r="184">
      <c r="A184" s="18" t="s">
        <v>7498</v>
      </c>
      <c r="B184" s="15" t="s">
        <v>7901</v>
      </c>
      <c r="C184" s="37">
        <v>45746.0</v>
      </c>
      <c r="D184" s="37">
        <v>45746.0</v>
      </c>
      <c r="E184" s="38" t="s">
        <v>7902</v>
      </c>
      <c r="F184" s="38" t="s">
        <v>7567</v>
      </c>
      <c r="G184" s="39">
        <v>16446.0</v>
      </c>
      <c r="H184" s="40"/>
      <c r="I184" s="45">
        <v>1475.0</v>
      </c>
      <c r="J184" s="15"/>
      <c r="K184" s="15"/>
      <c r="L184" s="15" t="s">
        <v>539</v>
      </c>
      <c r="M184" s="15"/>
      <c r="N184" s="15" t="s">
        <v>24</v>
      </c>
      <c r="O184" s="15" t="s">
        <v>60</v>
      </c>
    </row>
    <row r="185">
      <c r="A185" s="18" t="s">
        <v>7498</v>
      </c>
      <c r="B185" s="15" t="s">
        <v>7903</v>
      </c>
      <c r="C185" s="37">
        <v>45746.0</v>
      </c>
      <c r="D185" s="37">
        <v>45746.0</v>
      </c>
      <c r="E185" s="38" t="s">
        <v>7904</v>
      </c>
      <c r="F185" s="38" t="s">
        <v>7567</v>
      </c>
      <c r="G185" s="39">
        <v>16446.0</v>
      </c>
      <c r="H185" s="40"/>
      <c r="I185" s="42">
        <v>470.0</v>
      </c>
      <c r="J185" s="15"/>
      <c r="K185" s="15"/>
      <c r="L185" s="15" t="s">
        <v>539</v>
      </c>
      <c r="M185" s="15"/>
      <c r="N185" s="15" t="s">
        <v>24</v>
      </c>
      <c r="O185" s="15" t="s">
        <v>60</v>
      </c>
    </row>
    <row r="186">
      <c r="A186" s="18" t="s">
        <v>7498</v>
      </c>
      <c r="B186" s="15" t="s">
        <v>7905</v>
      </c>
      <c r="C186" s="37">
        <v>45746.0</v>
      </c>
      <c r="D186" s="37">
        <v>45746.0</v>
      </c>
      <c r="E186" s="38" t="s">
        <v>7906</v>
      </c>
      <c r="F186" s="38" t="s">
        <v>7567</v>
      </c>
      <c r="G186" s="39">
        <v>16446.0</v>
      </c>
      <c r="H186" s="40"/>
      <c r="I186" s="45">
        <v>1200.0</v>
      </c>
      <c r="J186" s="15"/>
      <c r="K186" s="15"/>
      <c r="L186" s="15" t="s">
        <v>539</v>
      </c>
      <c r="M186" s="15"/>
      <c r="N186" s="15" t="s">
        <v>24</v>
      </c>
      <c r="O186" s="15" t="s">
        <v>60</v>
      </c>
    </row>
    <row r="187">
      <c r="A187" s="18" t="s">
        <v>7498</v>
      </c>
      <c r="B187" s="15" t="s">
        <v>7907</v>
      </c>
      <c r="C187" s="37">
        <v>45746.0</v>
      </c>
      <c r="D187" s="37">
        <v>45746.0</v>
      </c>
      <c r="E187" s="38" t="s">
        <v>7908</v>
      </c>
      <c r="F187" s="38" t="s">
        <v>7567</v>
      </c>
      <c r="G187" s="39">
        <v>16446.0</v>
      </c>
      <c r="H187" s="40"/>
      <c r="I187" s="42">
        <v>448.0</v>
      </c>
      <c r="J187" s="15"/>
      <c r="K187" s="15"/>
      <c r="L187" s="15" t="s">
        <v>539</v>
      </c>
      <c r="M187" s="15"/>
      <c r="N187" s="15" t="s">
        <v>24</v>
      </c>
      <c r="O187" s="15" t="s">
        <v>60</v>
      </c>
    </row>
    <row r="188">
      <c r="A188" s="18" t="s">
        <v>7498</v>
      </c>
      <c r="B188" s="15" t="s">
        <v>7909</v>
      </c>
      <c r="C188" s="37">
        <v>45746.0</v>
      </c>
      <c r="D188" s="37">
        <v>45746.0</v>
      </c>
      <c r="E188" s="38" t="s">
        <v>7910</v>
      </c>
      <c r="F188" s="38" t="s">
        <v>7567</v>
      </c>
      <c r="G188" s="39">
        <v>16446.0</v>
      </c>
      <c r="H188" s="40"/>
      <c r="I188" s="42">
        <v>358.0</v>
      </c>
      <c r="J188" s="15"/>
      <c r="K188" s="15"/>
      <c r="L188" s="15" t="s">
        <v>539</v>
      </c>
      <c r="M188" s="15"/>
      <c r="N188" s="15" t="s">
        <v>24</v>
      </c>
      <c r="O188" s="15" t="s">
        <v>60</v>
      </c>
    </row>
    <row r="189">
      <c r="A189" s="18" t="s">
        <v>7498</v>
      </c>
      <c r="B189" s="15" t="s">
        <v>7911</v>
      </c>
      <c r="C189" s="37">
        <v>45746.0</v>
      </c>
      <c r="D189" s="37">
        <v>45746.0</v>
      </c>
      <c r="E189" s="38" t="s">
        <v>7912</v>
      </c>
      <c r="F189" s="38" t="s">
        <v>7567</v>
      </c>
      <c r="G189" s="39">
        <v>16446.0</v>
      </c>
      <c r="H189" s="40"/>
      <c r="I189" s="42">
        <v>380.0</v>
      </c>
      <c r="J189" s="15"/>
      <c r="K189" s="15"/>
      <c r="L189" s="15" t="s">
        <v>539</v>
      </c>
      <c r="M189" s="15"/>
      <c r="N189" s="15" t="s">
        <v>24</v>
      </c>
      <c r="O189" s="15" t="s">
        <v>60</v>
      </c>
    </row>
    <row r="190">
      <c r="A190" s="18" t="s">
        <v>7498</v>
      </c>
      <c r="B190" s="15" t="s">
        <v>7913</v>
      </c>
      <c r="C190" s="37">
        <v>45746.0</v>
      </c>
      <c r="D190" s="37">
        <v>45746.0</v>
      </c>
      <c r="E190" s="38" t="s">
        <v>7914</v>
      </c>
      <c r="F190" s="38" t="s">
        <v>7915</v>
      </c>
      <c r="G190" s="39">
        <v>99922.0</v>
      </c>
      <c r="H190" s="45">
        <v>12500.0</v>
      </c>
      <c r="I190" s="40"/>
      <c r="J190" s="15"/>
      <c r="K190" s="15"/>
      <c r="L190" s="15" t="s">
        <v>123</v>
      </c>
      <c r="M190" s="15"/>
      <c r="N190" s="15" t="s">
        <v>114</v>
      </c>
      <c r="O190" s="15" t="s">
        <v>169</v>
      </c>
    </row>
    <row r="191">
      <c r="A191" s="18" t="s">
        <v>7498</v>
      </c>
      <c r="B191" s="15" t="s">
        <v>7916</v>
      </c>
      <c r="C191" s="37">
        <v>45747.0</v>
      </c>
      <c r="D191" s="37">
        <v>45747.0</v>
      </c>
      <c r="E191" s="38" t="s">
        <v>7917</v>
      </c>
      <c r="F191" s="38" t="s">
        <v>7537</v>
      </c>
      <c r="G191" s="39">
        <v>16446.0</v>
      </c>
      <c r="H191" s="40"/>
      <c r="I191" s="45">
        <v>1327.0</v>
      </c>
      <c r="J191" s="15"/>
      <c r="K191" s="15"/>
      <c r="L191" s="15" t="s">
        <v>539</v>
      </c>
      <c r="M191" s="15"/>
      <c r="N191" s="15" t="s">
        <v>24</v>
      </c>
      <c r="O191" s="15" t="s">
        <v>60</v>
      </c>
    </row>
    <row r="192">
      <c r="A192" s="18" t="s">
        <v>7498</v>
      </c>
      <c r="B192" s="15" t="s">
        <v>7918</v>
      </c>
      <c r="C192" s="37">
        <v>45747.0</v>
      </c>
      <c r="D192" s="37">
        <v>45747.0</v>
      </c>
      <c r="E192" s="38" t="s">
        <v>7919</v>
      </c>
      <c r="F192" s="38" t="s">
        <v>7537</v>
      </c>
      <c r="G192" s="39">
        <v>16446.0</v>
      </c>
      <c r="H192" s="40"/>
      <c r="I192" s="42">
        <v>757.0</v>
      </c>
      <c r="J192" s="15"/>
      <c r="K192" s="15"/>
      <c r="L192" s="15" t="s">
        <v>539</v>
      </c>
      <c r="M192" s="15"/>
      <c r="N192" s="15" t="s">
        <v>24</v>
      </c>
      <c r="O192" s="15" t="s">
        <v>60</v>
      </c>
    </row>
    <row r="193">
      <c r="A193" s="18" t="s">
        <v>7498</v>
      </c>
      <c r="B193" s="15" t="s">
        <v>7920</v>
      </c>
      <c r="C193" s="37">
        <v>45747.0</v>
      </c>
      <c r="D193" s="37">
        <v>45747.0</v>
      </c>
      <c r="E193" s="38" t="s">
        <v>7921</v>
      </c>
      <c r="F193" s="38" t="s">
        <v>7537</v>
      </c>
      <c r="G193" s="39">
        <v>16446.0</v>
      </c>
      <c r="H193" s="40"/>
      <c r="I193" s="45">
        <v>2437.0</v>
      </c>
      <c r="J193" s="15"/>
      <c r="K193" s="15"/>
      <c r="L193" s="15" t="s">
        <v>539</v>
      </c>
      <c r="M193" s="15"/>
      <c r="N193" s="15" t="s">
        <v>24</v>
      </c>
      <c r="O193" s="15" t="s">
        <v>60</v>
      </c>
    </row>
    <row r="194">
      <c r="A194" s="18" t="s">
        <v>7498</v>
      </c>
      <c r="B194" s="15" t="s">
        <v>7922</v>
      </c>
      <c r="C194" s="37">
        <v>45748.0</v>
      </c>
      <c r="D194" s="37">
        <v>45748.0</v>
      </c>
      <c r="E194" s="38" t="s">
        <v>7640</v>
      </c>
      <c r="F194" s="38" t="s">
        <v>7923</v>
      </c>
      <c r="G194" s="39">
        <v>99922.0</v>
      </c>
      <c r="H194" s="45">
        <v>14902.66</v>
      </c>
      <c r="I194" s="40"/>
      <c r="J194" s="15"/>
      <c r="K194" s="15"/>
      <c r="L194" s="15" t="s">
        <v>127</v>
      </c>
      <c r="M194" s="15"/>
      <c r="N194" s="15" t="s">
        <v>114</v>
      </c>
      <c r="O194" s="15" t="s">
        <v>220</v>
      </c>
    </row>
    <row r="195">
      <c r="A195" s="18" t="s">
        <v>7498</v>
      </c>
      <c r="B195" s="15" t="s">
        <v>7924</v>
      </c>
      <c r="C195" s="37">
        <v>45748.0</v>
      </c>
      <c r="D195" s="37">
        <v>45748.0</v>
      </c>
      <c r="E195" s="38" t="s">
        <v>7925</v>
      </c>
      <c r="F195" s="38" t="s">
        <v>7544</v>
      </c>
      <c r="G195" s="39">
        <v>16446.0</v>
      </c>
      <c r="H195" s="44"/>
      <c r="I195" s="46">
        <v>159.0</v>
      </c>
      <c r="J195" s="15"/>
      <c r="K195" s="15"/>
      <c r="L195" s="15" t="s">
        <v>127</v>
      </c>
      <c r="M195" s="15"/>
      <c r="N195" s="15" t="s">
        <v>24</v>
      </c>
      <c r="O195" s="15" t="s">
        <v>60</v>
      </c>
    </row>
    <row r="196">
      <c r="A196" s="18" t="s">
        <v>7498</v>
      </c>
      <c r="B196" s="15" t="s">
        <v>7926</v>
      </c>
      <c r="C196" s="37">
        <v>45748.0</v>
      </c>
      <c r="D196" s="37">
        <v>45748.0</v>
      </c>
      <c r="E196" s="38" t="s">
        <v>7927</v>
      </c>
      <c r="F196" s="38" t="s">
        <v>7544</v>
      </c>
      <c r="G196" s="39">
        <v>16446.0</v>
      </c>
      <c r="H196" s="40"/>
      <c r="I196" s="46">
        <v>930.0</v>
      </c>
      <c r="J196" s="15"/>
      <c r="K196" s="15"/>
      <c r="L196" s="15" t="s">
        <v>123</v>
      </c>
      <c r="M196" s="47" t="s">
        <v>7928</v>
      </c>
      <c r="N196" s="15" t="s">
        <v>24</v>
      </c>
      <c r="O196" s="15" t="s">
        <v>60</v>
      </c>
    </row>
    <row r="197">
      <c r="A197" s="18" t="s">
        <v>7498</v>
      </c>
      <c r="B197" s="15" t="s">
        <v>7929</v>
      </c>
      <c r="C197" s="43">
        <v>45748.0</v>
      </c>
      <c r="D197" s="43">
        <v>45748.0</v>
      </c>
      <c r="E197" s="38" t="s">
        <v>7930</v>
      </c>
      <c r="F197" s="38" t="s">
        <v>7544</v>
      </c>
      <c r="G197" s="39">
        <v>16446.0</v>
      </c>
      <c r="H197" s="40"/>
      <c r="I197" s="46">
        <v>347.0</v>
      </c>
      <c r="J197" s="15"/>
      <c r="K197" s="15"/>
      <c r="L197" s="15" t="s">
        <v>123</v>
      </c>
      <c r="M197" s="47" t="s">
        <v>7931</v>
      </c>
      <c r="N197" s="15" t="s">
        <v>24</v>
      </c>
      <c r="O197" s="15" t="s">
        <v>60</v>
      </c>
    </row>
    <row r="198">
      <c r="A198" s="18" t="s">
        <v>7498</v>
      </c>
      <c r="B198" s="15" t="s">
        <v>7932</v>
      </c>
      <c r="C198" s="43">
        <v>45748.0</v>
      </c>
      <c r="D198" s="43">
        <v>45748.0</v>
      </c>
      <c r="E198" s="38" t="s">
        <v>7933</v>
      </c>
      <c r="F198" s="38" t="s">
        <v>7544</v>
      </c>
      <c r="G198" s="39">
        <v>16446.0</v>
      </c>
      <c r="H198" s="40"/>
      <c r="I198" s="46">
        <v>280.0</v>
      </c>
      <c r="J198" s="15"/>
      <c r="K198" s="15"/>
      <c r="L198" s="15" t="s">
        <v>127</v>
      </c>
      <c r="M198" s="15" t="s">
        <v>7934</v>
      </c>
      <c r="N198" s="15" t="s">
        <v>24</v>
      </c>
      <c r="O198" s="15" t="s">
        <v>60</v>
      </c>
    </row>
    <row r="199">
      <c r="A199" s="18" t="s">
        <v>7498</v>
      </c>
      <c r="B199" s="15" t="s">
        <v>7935</v>
      </c>
      <c r="C199" s="43">
        <v>45748.0</v>
      </c>
      <c r="D199" s="43">
        <v>45748.0</v>
      </c>
      <c r="E199" s="38" t="s">
        <v>7936</v>
      </c>
      <c r="F199" s="38" t="s">
        <v>7544</v>
      </c>
      <c r="G199" s="39">
        <v>16446.0</v>
      </c>
      <c r="H199" s="40"/>
      <c r="I199" s="46">
        <v>880.0</v>
      </c>
      <c r="J199" s="15"/>
      <c r="K199" s="15"/>
      <c r="L199" s="15" t="s">
        <v>127</v>
      </c>
      <c r="M199" s="15" t="s">
        <v>7937</v>
      </c>
      <c r="N199" s="15" t="s">
        <v>24</v>
      </c>
      <c r="O199" s="15" t="s">
        <v>60</v>
      </c>
    </row>
    <row r="200">
      <c r="A200" s="18" t="s">
        <v>7498</v>
      </c>
      <c r="B200" s="15" t="s">
        <v>7938</v>
      </c>
      <c r="C200" s="43">
        <v>45749.0</v>
      </c>
      <c r="D200" s="43">
        <v>45749.0</v>
      </c>
      <c r="E200" s="38" t="s">
        <v>7939</v>
      </c>
      <c r="F200" s="38" t="s">
        <v>7557</v>
      </c>
      <c r="G200" s="39">
        <v>16446.0</v>
      </c>
      <c r="H200" s="40"/>
      <c r="I200" s="46">
        <v>3596.0</v>
      </c>
      <c r="J200" s="15"/>
      <c r="K200" s="15"/>
      <c r="L200" s="15" t="s">
        <v>123</v>
      </c>
      <c r="M200" s="47" t="s">
        <v>7940</v>
      </c>
      <c r="N200" s="15" t="s">
        <v>24</v>
      </c>
      <c r="O200" s="15" t="s">
        <v>60</v>
      </c>
    </row>
    <row r="201">
      <c r="A201" s="18" t="s">
        <v>7498</v>
      </c>
      <c r="B201" s="15" t="s">
        <v>7941</v>
      </c>
      <c r="C201" s="43">
        <v>45749.0</v>
      </c>
      <c r="D201" s="43">
        <v>45749.0</v>
      </c>
      <c r="E201" s="38" t="s">
        <v>7942</v>
      </c>
      <c r="F201" s="38" t="s">
        <v>7943</v>
      </c>
      <c r="G201" s="39">
        <v>99922.0</v>
      </c>
      <c r="H201" s="45" t="s">
        <v>7944</v>
      </c>
      <c r="I201" s="40"/>
      <c r="J201" s="15"/>
      <c r="K201" s="15" t="s">
        <v>7945</v>
      </c>
      <c r="L201" s="15" t="s">
        <v>119</v>
      </c>
      <c r="M201" s="15"/>
      <c r="N201" s="15" t="s">
        <v>114</v>
      </c>
      <c r="O201" s="15" t="s">
        <v>7513</v>
      </c>
    </row>
    <row r="202">
      <c r="A202" s="18" t="s">
        <v>7498</v>
      </c>
      <c r="B202" s="15" t="s">
        <v>7946</v>
      </c>
      <c r="C202" s="43">
        <v>45750.0</v>
      </c>
      <c r="D202" s="43">
        <v>45750.0</v>
      </c>
      <c r="E202" s="38" t="s">
        <v>7947</v>
      </c>
      <c r="F202" s="38" t="s">
        <v>7580</v>
      </c>
      <c r="G202" s="39">
        <v>16446.0</v>
      </c>
      <c r="H202" s="40"/>
      <c r="I202" s="46">
        <v>988.0</v>
      </c>
      <c r="J202" s="15"/>
      <c r="K202" s="15"/>
      <c r="L202" s="15" t="s">
        <v>7948</v>
      </c>
      <c r="M202" s="15"/>
      <c r="N202" s="15" t="s">
        <v>24</v>
      </c>
      <c r="O202" s="15" t="s">
        <v>60</v>
      </c>
    </row>
    <row r="203">
      <c r="A203" s="18" t="s">
        <v>7498</v>
      </c>
      <c r="B203" s="15" t="s">
        <v>7949</v>
      </c>
      <c r="C203" s="43">
        <v>45750.0</v>
      </c>
      <c r="D203" s="43">
        <v>45750.0</v>
      </c>
      <c r="E203" s="38" t="s">
        <v>7950</v>
      </c>
      <c r="F203" s="38" t="s">
        <v>7580</v>
      </c>
      <c r="G203" s="39">
        <v>16446.0</v>
      </c>
      <c r="H203" s="40"/>
      <c r="I203" s="46">
        <v>320.0</v>
      </c>
      <c r="J203" s="15"/>
      <c r="K203" s="15"/>
      <c r="L203" s="15" t="s">
        <v>127</v>
      </c>
      <c r="M203" s="15"/>
      <c r="N203" s="15" t="s">
        <v>24</v>
      </c>
      <c r="O203" s="15" t="s">
        <v>60</v>
      </c>
    </row>
    <row r="204">
      <c r="A204" s="18" t="s">
        <v>7498</v>
      </c>
      <c r="B204" s="15" t="s">
        <v>7951</v>
      </c>
      <c r="C204" s="43">
        <v>45750.0</v>
      </c>
      <c r="D204" s="43">
        <v>45750.0</v>
      </c>
      <c r="E204" s="38" t="s">
        <v>7952</v>
      </c>
      <c r="F204" s="38" t="s">
        <v>7580</v>
      </c>
      <c r="G204" s="39">
        <v>16446.0</v>
      </c>
      <c r="H204" s="40"/>
      <c r="I204" s="46">
        <v>448.0</v>
      </c>
      <c r="J204" s="15"/>
      <c r="K204" s="15"/>
      <c r="L204" s="15" t="s">
        <v>127</v>
      </c>
      <c r="M204" s="15" t="s">
        <v>7953</v>
      </c>
      <c r="N204" s="15" t="s">
        <v>24</v>
      </c>
      <c r="O204" s="15" t="s">
        <v>60</v>
      </c>
    </row>
    <row r="205">
      <c r="A205" s="18" t="s">
        <v>7498</v>
      </c>
      <c r="B205" s="15" t="s">
        <v>7954</v>
      </c>
      <c r="C205" s="43">
        <v>45750.0</v>
      </c>
      <c r="D205" s="43">
        <v>45750.0</v>
      </c>
      <c r="E205" s="38" t="s">
        <v>7955</v>
      </c>
      <c r="F205" s="38" t="s">
        <v>7580</v>
      </c>
      <c r="G205" s="39">
        <v>16446.0</v>
      </c>
      <c r="H205" s="40"/>
      <c r="I205" s="46">
        <v>997.0</v>
      </c>
      <c r="J205" s="15"/>
      <c r="K205" s="15"/>
      <c r="L205" s="15" t="s">
        <v>123</v>
      </c>
      <c r="M205" s="47" t="s">
        <v>7956</v>
      </c>
      <c r="N205" s="15" t="s">
        <v>24</v>
      </c>
      <c r="O205" s="15" t="s">
        <v>60</v>
      </c>
    </row>
    <row r="206">
      <c r="A206" s="18" t="s">
        <v>7498</v>
      </c>
      <c r="B206" s="15" t="s">
        <v>7957</v>
      </c>
      <c r="C206" s="43">
        <v>45750.0</v>
      </c>
      <c r="D206" s="43">
        <v>45750.0</v>
      </c>
      <c r="E206" s="38" t="s">
        <v>7958</v>
      </c>
      <c r="F206" s="38" t="s">
        <v>7580</v>
      </c>
      <c r="G206" s="39">
        <v>16446.0</v>
      </c>
      <c r="H206" s="40"/>
      <c r="I206" s="46">
        <v>695.0</v>
      </c>
      <c r="J206" s="15"/>
      <c r="K206" s="15"/>
      <c r="L206" s="15" t="s">
        <v>123</v>
      </c>
      <c r="M206" s="47" t="s">
        <v>7959</v>
      </c>
      <c r="N206" s="15" t="s">
        <v>24</v>
      </c>
      <c r="O206" s="15" t="s">
        <v>60</v>
      </c>
    </row>
    <row r="207">
      <c r="A207" s="18" t="s">
        <v>7498</v>
      </c>
      <c r="B207" s="15" t="s">
        <v>7960</v>
      </c>
      <c r="C207" s="43">
        <v>45750.0</v>
      </c>
      <c r="D207" s="43">
        <v>45750.0</v>
      </c>
      <c r="E207" s="38" t="s">
        <v>7961</v>
      </c>
      <c r="F207" s="38" t="s">
        <v>7962</v>
      </c>
      <c r="G207" s="39">
        <v>99922.0</v>
      </c>
      <c r="H207" s="44"/>
      <c r="I207" s="42" t="s">
        <v>21</v>
      </c>
      <c r="J207" s="15"/>
      <c r="K207" s="15"/>
      <c r="L207" s="18" t="s">
        <v>23</v>
      </c>
      <c r="M207" s="15"/>
      <c r="N207" s="15" t="s">
        <v>24</v>
      </c>
      <c r="O207" s="15" t="s">
        <v>25</v>
      </c>
    </row>
    <row r="208">
      <c r="A208" s="18" t="s">
        <v>7498</v>
      </c>
      <c r="B208" s="15" t="s">
        <v>7963</v>
      </c>
      <c r="C208" s="43">
        <v>45750.0</v>
      </c>
      <c r="D208" s="43">
        <v>45750.0</v>
      </c>
      <c r="E208" s="38" t="s">
        <v>7964</v>
      </c>
      <c r="F208" s="38" t="s">
        <v>7857</v>
      </c>
      <c r="G208" s="39">
        <v>4430.0</v>
      </c>
      <c r="H208" s="44"/>
      <c r="I208" s="42" t="s">
        <v>7965</v>
      </c>
      <c r="J208" s="15"/>
      <c r="K208" s="15"/>
      <c r="L208" s="18" t="s">
        <v>23</v>
      </c>
      <c r="M208" s="15"/>
      <c r="N208" s="15" t="s">
        <v>24</v>
      </c>
      <c r="O208" s="15" t="s">
        <v>25</v>
      </c>
    </row>
    <row r="209">
      <c r="A209" s="18" t="s">
        <v>7498</v>
      </c>
      <c r="B209" s="15" t="s">
        <v>7966</v>
      </c>
      <c r="C209" s="43">
        <v>45750.0</v>
      </c>
      <c r="D209" s="43">
        <v>45750.0</v>
      </c>
      <c r="E209" s="38" t="s">
        <v>7967</v>
      </c>
      <c r="F209" s="38" t="s">
        <v>7580</v>
      </c>
      <c r="G209" s="39">
        <v>16446.0</v>
      </c>
      <c r="H209" s="40"/>
      <c r="I209" s="46">
        <v>838.0</v>
      </c>
      <c r="J209" s="15"/>
      <c r="K209" s="15"/>
      <c r="L209" s="15" t="s">
        <v>123</v>
      </c>
      <c r="M209" s="47" t="s">
        <v>7968</v>
      </c>
      <c r="N209" s="15" t="s">
        <v>24</v>
      </c>
      <c r="O209" s="15" t="s">
        <v>60</v>
      </c>
    </row>
    <row r="210">
      <c r="A210" s="18" t="s">
        <v>7498</v>
      </c>
      <c r="B210" s="15" t="s">
        <v>7969</v>
      </c>
      <c r="C210" s="43">
        <v>45750.0</v>
      </c>
      <c r="D210" s="43">
        <v>45750.0</v>
      </c>
      <c r="E210" s="38" t="s">
        <v>7970</v>
      </c>
      <c r="F210" s="38" t="s">
        <v>7580</v>
      </c>
      <c r="G210" s="39">
        <v>16446.0</v>
      </c>
      <c r="H210" s="40"/>
      <c r="I210" s="46">
        <v>330.0</v>
      </c>
      <c r="J210" s="15"/>
      <c r="K210" s="15"/>
      <c r="L210" s="15" t="s">
        <v>7948</v>
      </c>
      <c r="M210" s="15"/>
      <c r="N210" s="15" t="s">
        <v>24</v>
      </c>
      <c r="O210" s="15" t="s">
        <v>60</v>
      </c>
    </row>
    <row r="211">
      <c r="A211" s="18" t="s">
        <v>7498</v>
      </c>
      <c r="B211" s="15" t="s">
        <v>7971</v>
      </c>
      <c r="C211" s="43">
        <v>45750.0</v>
      </c>
      <c r="D211" s="43">
        <v>45750.0</v>
      </c>
      <c r="E211" s="38" t="s">
        <v>7972</v>
      </c>
      <c r="F211" s="38" t="s">
        <v>7580</v>
      </c>
      <c r="G211" s="39">
        <v>16446.0</v>
      </c>
      <c r="H211" s="40"/>
      <c r="I211" s="46">
        <v>352.0</v>
      </c>
      <c r="J211" s="15"/>
      <c r="K211" s="15"/>
      <c r="L211" s="15" t="s">
        <v>127</v>
      </c>
      <c r="M211" s="15"/>
      <c r="N211" s="15" t="s">
        <v>24</v>
      </c>
      <c r="O211" s="15" t="s">
        <v>60</v>
      </c>
    </row>
    <row r="212">
      <c r="A212" s="18" t="s">
        <v>7498</v>
      </c>
      <c r="B212" s="15" t="s">
        <v>7973</v>
      </c>
      <c r="C212" s="43">
        <v>45751.0</v>
      </c>
      <c r="D212" s="43">
        <v>45751.0</v>
      </c>
      <c r="E212" s="38" t="s">
        <v>7974</v>
      </c>
      <c r="F212" s="38" t="s">
        <v>7975</v>
      </c>
      <c r="G212" s="39">
        <v>99922.0</v>
      </c>
      <c r="H212" s="45">
        <v>6326.0</v>
      </c>
      <c r="I212" s="40"/>
      <c r="J212" s="15"/>
      <c r="K212" s="15"/>
      <c r="L212" s="15" t="s">
        <v>127</v>
      </c>
      <c r="M212" s="15"/>
      <c r="N212" s="15" t="s">
        <v>114</v>
      </c>
      <c r="O212" s="15" t="s">
        <v>1080</v>
      </c>
    </row>
    <row r="213">
      <c r="A213" s="18" t="s">
        <v>7498</v>
      </c>
      <c r="B213" s="15" t="s">
        <v>7976</v>
      </c>
      <c r="C213" s="43">
        <v>45751.0</v>
      </c>
      <c r="D213" s="43">
        <v>45751.0</v>
      </c>
      <c r="E213" s="38" t="s">
        <v>7977</v>
      </c>
      <c r="F213" s="38" t="s">
        <v>7857</v>
      </c>
      <c r="G213" s="39">
        <v>4430.0</v>
      </c>
      <c r="H213" s="40"/>
      <c r="I213" s="46">
        <v>774.0</v>
      </c>
      <c r="J213" s="15"/>
      <c r="K213" s="15"/>
      <c r="L213" s="15" t="s">
        <v>127</v>
      </c>
      <c r="M213" s="15"/>
      <c r="N213" s="15" t="s">
        <v>24</v>
      </c>
      <c r="O213" s="15" t="s">
        <v>60</v>
      </c>
    </row>
    <row r="214">
      <c r="A214" s="18" t="s">
        <v>7498</v>
      </c>
      <c r="B214" s="15" t="s">
        <v>7978</v>
      </c>
      <c r="C214" s="43">
        <v>45751.0</v>
      </c>
      <c r="D214" s="43">
        <v>45751.0</v>
      </c>
      <c r="E214" s="38" t="s">
        <v>7979</v>
      </c>
      <c r="F214" s="38" t="s">
        <v>7508</v>
      </c>
      <c r="G214" s="39">
        <v>16446.0</v>
      </c>
      <c r="H214" s="40"/>
      <c r="I214" s="46">
        <v>890.0</v>
      </c>
      <c r="J214" s="15"/>
      <c r="K214" s="15"/>
      <c r="L214" s="15" t="s">
        <v>127</v>
      </c>
      <c r="M214" s="15" t="s">
        <v>533</v>
      </c>
      <c r="N214" s="15" t="s">
        <v>24</v>
      </c>
      <c r="O214" s="15" t="s">
        <v>60</v>
      </c>
    </row>
    <row r="215">
      <c r="A215" s="18" t="s">
        <v>7498</v>
      </c>
      <c r="B215" s="15" t="s">
        <v>7980</v>
      </c>
      <c r="C215" s="43">
        <v>45751.0</v>
      </c>
      <c r="D215" s="43">
        <v>45751.0</v>
      </c>
      <c r="E215" s="38" t="s">
        <v>7981</v>
      </c>
      <c r="F215" s="38" t="s">
        <v>7508</v>
      </c>
      <c r="G215" s="39">
        <v>16446.0</v>
      </c>
      <c r="H215" s="40"/>
      <c r="I215" s="46">
        <v>640.0</v>
      </c>
      <c r="J215" s="15"/>
      <c r="K215" s="15"/>
      <c r="L215" s="15" t="s">
        <v>127</v>
      </c>
      <c r="M215" s="15" t="s">
        <v>7982</v>
      </c>
      <c r="N215" s="15" t="s">
        <v>24</v>
      </c>
      <c r="O215" s="15" t="s">
        <v>60</v>
      </c>
    </row>
    <row r="216">
      <c r="A216" s="18" t="s">
        <v>7498</v>
      </c>
      <c r="B216" s="15" t="s">
        <v>7983</v>
      </c>
      <c r="C216" s="43">
        <v>45751.0</v>
      </c>
      <c r="D216" s="43">
        <v>45751.0</v>
      </c>
      <c r="E216" s="38" t="s">
        <v>7984</v>
      </c>
      <c r="F216" s="38" t="s">
        <v>7508</v>
      </c>
      <c r="G216" s="39">
        <v>16446.0</v>
      </c>
      <c r="H216" s="40"/>
      <c r="I216" s="46">
        <v>473.0</v>
      </c>
      <c r="J216" s="15"/>
      <c r="K216" s="15"/>
      <c r="L216" s="15" t="s">
        <v>127</v>
      </c>
      <c r="M216" s="15" t="s">
        <v>7985</v>
      </c>
      <c r="N216" s="15" t="s">
        <v>24</v>
      </c>
      <c r="O216" s="15" t="s">
        <v>60</v>
      </c>
    </row>
    <row r="217">
      <c r="A217" s="18" t="s">
        <v>7498</v>
      </c>
      <c r="B217" s="15" t="s">
        <v>7986</v>
      </c>
      <c r="C217" s="43">
        <v>45751.0</v>
      </c>
      <c r="D217" s="43">
        <v>45751.0</v>
      </c>
      <c r="E217" s="38" t="s">
        <v>7987</v>
      </c>
      <c r="F217" s="38" t="s">
        <v>7508</v>
      </c>
      <c r="G217" s="39">
        <v>16446.0</v>
      </c>
      <c r="H217" s="40"/>
      <c r="I217" s="46">
        <v>357.0</v>
      </c>
      <c r="J217" s="15"/>
      <c r="K217" s="15"/>
      <c r="L217" s="15" t="s">
        <v>123</v>
      </c>
      <c r="M217" s="47" t="s">
        <v>7988</v>
      </c>
      <c r="N217" s="15" t="s">
        <v>24</v>
      </c>
      <c r="O217" s="15" t="s">
        <v>60</v>
      </c>
    </row>
    <row r="218">
      <c r="A218" s="18" t="s">
        <v>7498</v>
      </c>
      <c r="B218" s="15" t="s">
        <v>7989</v>
      </c>
      <c r="C218" s="43">
        <v>45751.0</v>
      </c>
      <c r="D218" s="43">
        <v>45751.0</v>
      </c>
      <c r="E218" s="38" t="s">
        <v>7990</v>
      </c>
      <c r="F218" s="38" t="s">
        <v>7508</v>
      </c>
      <c r="G218" s="39">
        <v>16446.0</v>
      </c>
      <c r="H218" s="40"/>
      <c r="I218" s="46">
        <v>640.0</v>
      </c>
      <c r="J218" s="15"/>
      <c r="K218" s="15"/>
      <c r="L218" s="15" t="s">
        <v>127</v>
      </c>
      <c r="M218" s="15" t="s">
        <v>7991</v>
      </c>
      <c r="N218" s="15" t="s">
        <v>24</v>
      </c>
      <c r="O218" s="15" t="s">
        <v>60</v>
      </c>
    </row>
    <row r="219">
      <c r="A219" s="18" t="s">
        <v>7498</v>
      </c>
      <c r="B219" s="15" t="s">
        <v>7992</v>
      </c>
      <c r="C219" s="43">
        <v>45751.0</v>
      </c>
      <c r="D219" s="43">
        <v>45751.0</v>
      </c>
      <c r="E219" s="38" t="s">
        <v>7993</v>
      </c>
      <c r="F219" s="38" t="s">
        <v>7508</v>
      </c>
      <c r="G219" s="39">
        <v>16446.0</v>
      </c>
      <c r="H219" s="40"/>
      <c r="I219" s="46">
        <v>368.0</v>
      </c>
      <c r="J219" s="15"/>
      <c r="K219" s="15"/>
      <c r="L219" s="15" t="s">
        <v>127</v>
      </c>
      <c r="M219" s="15" t="s">
        <v>7994</v>
      </c>
      <c r="N219" s="15" t="s">
        <v>24</v>
      </c>
      <c r="O219" s="15" t="s">
        <v>60</v>
      </c>
    </row>
    <row r="220">
      <c r="A220" s="18" t="s">
        <v>7498</v>
      </c>
      <c r="B220" s="15" t="s">
        <v>7995</v>
      </c>
      <c r="C220" s="43">
        <v>45751.0</v>
      </c>
      <c r="D220" s="43">
        <v>45751.0</v>
      </c>
      <c r="E220" s="38" t="s">
        <v>7996</v>
      </c>
      <c r="F220" s="38" t="s">
        <v>7508</v>
      </c>
      <c r="G220" s="39">
        <v>16446.0</v>
      </c>
      <c r="H220" s="40"/>
      <c r="I220" s="46">
        <v>790.0</v>
      </c>
      <c r="J220" s="15"/>
      <c r="K220" s="15"/>
      <c r="L220" s="15" t="s">
        <v>127</v>
      </c>
      <c r="M220" s="15" t="s">
        <v>7997</v>
      </c>
      <c r="N220" s="15" t="s">
        <v>24</v>
      </c>
      <c r="O220" s="15" t="s">
        <v>60</v>
      </c>
    </row>
    <row r="221">
      <c r="A221" s="18" t="s">
        <v>7498</v>
      </c>
      <c r="B221" s="15" t="s">
        <v>7998</v>
      </c>
      <c r="C221" s="43">
        <v>45751.0</v>
      </c>
      <c r="D221" s="43">
        <v>45751.0</v>
      </c>
      <c r="E221" s="38" t="s">
        <v>7999</v>
      </c>
      <c r="F221" s="38" t="s">
        <v>7508</v>
      </c>
      <c r="G221" s="39">
        <v>16446.0</v>
      </c>
      <c r="H221" s="40"/>
      <c r="I221" s="46">
        <v>814.0</v>
      </c>
      <c r="J221" s="15"/>
      <c r="K221" s="15"/>
      <c r="L221" s="15" t="s">
        <v>127</v>
      </c>
      <c r="M221" s="15"/>
      <c r="N221" s="15" t="s">
        <v>24</v>
      </c>
      <c r="O221" s="15" t="s">
        <v>60</v>
      </c>
    </row>
    <row r="222">
      <c r="A222" s="18" t="s">
        <v>7498</v>
      </c>
      <c r="B222" s="15" t="s">
        <v>8000</v>
      </c>
      <c r="C222" s="43">
        <v>45751.0</v>
      </c>
      <c r="D222" s="43">
        <v>45751.0</v>
      </c>
      <c r="E222" s="38" t="s">
        <v>8001</v>
      </c>
      <c r="F222" s="38" t="s">
        <v>7508</v>
      </c>
      <c r="G222" s="39">
        <v>16446.0</v>
      </c>
      <c r="H222" s="40"/>
      <c r="I222" s="46">
        <v>160.0</v>
      </c>
      <c r="J222" s="15"/>
      <c r="K222" s="15"/>
      <c r="L222" s="15" t="s">
        <v>7948</v>
      </c>
      <c r="M222" s="15"/>
      <c r="N222" s="15" t="s">
        <v>24</v>
      </c>
      <c r="O222" s="15" t="s">
        <v>60</v>
      </c>
    </row>
    <row r="223">
      <c r="A223" s="18" t="s">
        <v>7498</v>
      </c>
      <c r="B223" s="15" t="s">
        <v>8002</v>
      </c>
      <c r="C223" s="43">
        <v>45751.0</v>
      </c>
      <c r="D223" s="43">
        <v>45751.0</v>
      </c>
      <c r="E223" s="38" t="s">
        <v>8003</v>
      </c>
      <c r="F223" s="38" t="s">
        <v>7508</v>
      </c>
      <c r="G223" s="39">
        <v>16446.0</v>
      </c>
      <c r="H223" s="40"/>
      <c r="I223" s="46">
        <v>1160.0</v>
      </c>
      <c r="J223" s="15"/>
      <c r="K223" s="15"/>
      <c r="L223" s="15" t="s">
        <v>127</v>
      </c>
      <c r="M223" s="15" t="s">
        <v>8004</v>
      </c>
      <c r="N223" s="15" t="s">
        <v>24</v>
      </c>
      <c r="O223" s="15" t="s">
        <v>60</v>
      </c>
    </row>
    <row r="224">
      <c r="A224" s="18" t="s">
        <v>7498</v>
      </c>
      <c r="B224" s="15" t="s">
        <v>8005</v>
      </c>
      <c r="C224" s="43">
        <v>45752.0</v>
      </c>
      <c r="D224" s="43">
        <v>45752.0</v>
      </c>
      <c r="E224" s="38" t="s">
        <v>8006</v>
      </c>
      <c r="F224" s="38" t="s">
        <v>8007</v>
      </c>
      <c r="G224" s="39">
        <v>99922.0</v>
      </c>
      <c r="H224" s="45">
        <v>3304.0</v>
      </c>
      <c r="I224" s="40"/>
      <c r="J224" s="15"/>
      <c r="K224" s="15"/>
      <c r="L224" s="15" t="s">
        <v>123</v>
      </c>
      <c r="M224" s="15"/>
      <c r="N224" s="15" t="s">
        <v>114</v>
      </c>
      <c r="O224" s="15" t="s">
        <v>478</v>
      </c>
    </row>
    <row r="225">
      <c r="A225" s="18" t="s">
        <v>7498</v>
      </c>
      <c r="B225" s="15" t="s">
        <v>8008</v>
      </c>
      <c r="C225" s="43">
        <v>45752.0</v>
      </c>
      <c r="D225" s="43">
        <v>45752.0</v>
      </c>
      <c r="E225" s="38" t="s">
        <v>8009</v>
      </c>
      <c r="F225" s="38" t="s">
        <v>8010</v>
      </c>
      <c r="G225" s="39">
        <v>99922.0</v>
      </c>
      <c r="H225" s="45">
        <v>12567.0</v>
      </c>
      <c r="I225" s="40"/>
      <c r="J225" s="15"/>
      <c r="K225" s="15"/>
      <c r="L225" s="15" t="s">
        <v>123</v>
      </c>
      <c r="M225" s="15"/>
      <c r="N225" s="15" t="s">
        <v>114</v>
      </c>
      <c r="O225" s="15" t="s">
        <v>478</v>
      </c>
    </row>
    <row r="226">
      <c r="A226" s="18" t="s">
        <v>7498</v>
      </c>
      <c r="B226" s="15" t="s">
        <v>8011</v>
      </c>
      <c r="C226" s="43">
        <v>45752.0</v>
      </c>
      <c r="D226" s="43">
        <v>45752.0</v>
      </c>
      <c r="E226" s="38" t="s">
        <v>8012</v>
      </c>
      <c r="F226" s="38" t="s">
        <v>7534</v>
      </c>
      <c r="G226" s="39">
        <v>16446.0</v>
      </c>
      <c r="H226" s="40"/>
      <c r="I226" s="46">
        <v>1488.0</v>
      </c>
      <c r="J226" s="15"/>
      <c r="K226" s="15"/>
      <c r="L226" s="15" t="s">
        <v>7948</v>
      </c>
      <c r="M226" s="15"/>
      <c r="N226" s="15" t="s">
        <v>24</v>
      </c>
      <c r="O226" s="15" t="s">
        <v>60</v>
      </c>
    </row>
    <row r="227">
      <c r="A227" s="18" t="s">
        <v>7498</v>
      </c>
      <c r="B227" s="15" t="s">
        <v>8013</v>
      </c>
      <c r="C227" s="43">
        <v>45752.0</v>
      </c>
      <c r="D227" s="43">
        <v>45752.0</v>
      </c>
      <c r="E227" s="38" t="s">
        <v>8014</v>
      </c>
      <c r="F227" s="38" t="s">
        <v>7534</v>
      </c>
      <c r="G227" s="39">
        <v>16446.0</v>
      </c>
      <c r="H227" s="40"/>
      <c r="I227" s="46">
        <v>200.0</v>
      </c>
      <c r="J227" s="15"/>
      <c r="K227" s="15"/>
      <c r="L227" s="15" t="s">
        <v>123</v>
      </c>
      <c r="M227" s="47" t="s">
        <v>8015</v>
      </c>
      <c r="N227" s="15" t="s">
        <v>24</v>
      </c>
      <c r="O227" s="15" t="s">
        <v>60</v>
      </c>
    </row>
    <row r="228">
      <c r="A228" s="18" t="s">
        <v>7498</v>
      </c>
      <c r="B228" s="15" t="s">
        <v>8016</v>
      </c>
      <c r="C228" s="43">
        <v>45752.0</v>
      </c>
      <c r="D228" s="43">
        <v>45752.0</v>
      </c>
      <c r="E228" s="38" t="s">
        <v>8017</v>
      </c>
      <c r="F228" s="38" t="s">
        <v>7534</v>
      </c>
      <c r="G228" s="39">
        <v>16446.0</v>
      </c>
      <c r="H228" s="40"/>
      <c r="I228" s="46">
        <v>5000.0</v>
      </c>
      <c r="J228" s="15"/>
      <c r="K228" s="15"/>
      <c r="L228" s="15" t="s">
        <v>7948</v>
      </c>
      <c r="M228" s="15"/>
      <c r="N228" s="15" t="s">
        <v>24</v>
      </c>
      <c r="O228" s="15" t="s">
        <v>60</v>
      </c>
    </row>
    <row r="229">
      <c r="A229" s="18" t="s">
        <v>7498</v>
      </c>
      <c r="B229" s="15" t="s">
        <v>8018</v>
      </c>
      <c r="C229" s="43">
        <v>45752.0</v>
      </c>
      <c r="D229" s="43">
        <v>45752.0</v>
      </c>
      <c r="E229" s="38" t="s">
        <v>8019</v>
      </c>
      <c r="F229" s="38" t="s">
        <v>7534</v>
      </c>
      <c r="G229" s="39">
        <v>16446.0</v>
      </c>
      <c r="H229" s="40"/>
      <c r="I229" s="46">
        <v>643.0</v>
      </c>
      <c r="J229" s="15"/>
      <c r="K229" s="15"/>
      <c r="L229" s="15" t="s">
        <v>123</v>
      </c>
      <c r="M229" s="47" t="s">
        <v>8020</v>
      </c>
      <c r="N229" s="15" t="s">
        <v>24</v>
      </c>
      <c r="O229" s="15" t="s">
        <v>60</v>
      </c>
    </row>
    <row r="230">
      <c r="A230" s="18" t="s">
        <v>7498</v>
      </c>
      <c r="B230" s="15" t="s">
        <v>8021</v>
      </c>
      <c r="C230" s="43">
        <v>45752.0</v>
      </c>
      <c r="D230" s="43">
        <v>45752.0</v>
      </c>
      <c r="E230" s="38" t="s">
        <v>8022</v>
      </c>
      <c r="F230" s="38" t="s">
        <v>7534</v>
      </c>
      <c r="G230" s="39">
        <v>16446.0</v>
      </c>
      <c r="H230" s="40"/>
      <c r="I230" s="46">
        <v>477.0</v>
      </c>
      <c r="J230" s="15"/>
      <c r="K230" s="15"/>
      <c r="L230" s="15" t="s">
        <v>123</v>
      </c>
      <c r="M230" s="47" t="s">
        <v>8023</v>
      </c>
      <c r="N230" s="15" t="s">
        <v>24</v>
      </c>
      <c r="O230" s="15" t="s">
        <v>60</v>
      </c>
    </row>
    <row r="231">
      <c r="A231" s="18" t="s">
        <v>7498</v>
      </c>
      <c r="B231" s="15" t="s">
        <v>8024</v>
      </c>
      <c r="C231" s="43">
        <v>45752.0</v>
      </c>
      <c r="D231" s="43">
        <v>45752.0</v>
      </c>
      <c r="E231" s="38" t="s">
        <v>8025</v>
      </c>
      <c r="F231" s="38" t="s">
        <v>7534</v>
      </c>
      <c r="G231" s="39">
        <v>16446.0</v>
      </c>
      <c r="H231" s="40"/>
      <c r="I231" s="46">
        <v>288.0</v>
      </c>
      <c r="J231" s="15"/>
      <c r="K231" s="15"/>
      <c r="L231" s="15" t="s">
        <v>127</v>
      </c>
      <c r="M231" s="15" t="s">
        <v>493</v>
      </c>
      <c r="N231" s="15" t="s">
        <v>24</v>
      </c>
      <c r="O231" s="15" t="s">
        <v>60</v>
      </c>
    </row>
    <row r="232">
      <c r="A232" s="18" t="s">
        <v>7498</v>
      </c>
      <c r="B232" s="15" t="s">
        <v>8026</v>
      </c>
      <c r="C232" s="43">
        <v>45752.0</v>
      </c>
      <c r="D232" s="43">
        <v>45752.0</v>
      </c>
      <c r="E232" s="38" t="s">
        <v>8027</v>
      </c>
      <c r="F232" s="38" t="s">
        <v>7534</v>
      </c>
      <c r="G232" s="39">
        <v>16446.0</v>
      </c>
      <c r="H232" s="40"/>
      <c r="I232" s="46">
        <v>712.0</v>
      </c>
      <c r="J232" s="15"/>
      <c r="K232" s="15"/>
      <c r="L232" s="15" t="s">
        <v>123</v>
      </c>
      <c r="M232" s="47" t="s">
        <v>8028</v>
      </c>
      <c r="N232" s="15" t="s">
        <v>24</v>
      </c>
      <c r="O232" s="15" t="s">
        <v>60</v>
      </c>
    </row>
    <row r="233">
      <c r="A233" s="18" t="s">
        <v>7498</v>
      </c>
      <c r="B233" s="15" t="s">
        <v>8029</v>
      </c>
      <c r="C233" s="43">
        <v>45752.0</v>
      </c>
      <c r="D233" s="43">
        <v>45752.0</v>
      </c>
      <c r="E233" s="38" t="s">
        <v>8030</v>
      </c>
      <c r="F233" s="38" t="s">
        <v>7534</v>
      </c>
      <c r="G233" s="39">
        <v>16446.0</v>
      </c>
      <c r="H233" s="40"/>
      <c r="I233" s="46">
        <v>1600.0</v>
      </c>
      <c r="J233" s="15"/>
      <c r="K233" s="15"/>
      <c r="L233" s="15" t="s">
        <v>7948</v>
      </c>
      <c r="M233" s="15"/>
      <c r="N233" s="15" t="s">
        <v>24</v>
      </c>
      <c r="O233" s="15" t="s">
        <v>60</v>
      </c>
    </row>
    <row r="234">
      <c r="A234" s="18" t="s">
        <v>7498</v>
      </c>
      <c r="B234" s="15" t="s">
        <v>8031</v>
      </c>
      <c r="C234" s="43">
        <v>45752.0</v>
      </c>
      <c r="D234" s="43">
        <v>45752.0</v>
      </c>
      <c r="E234" s="38" t="s">
        <v>8032</v>
      </c>
      <c r="F234" s="38" t="s">
        <v>7534</v>
      </c>
      <c r="G234" s="39">
        <v>16446.0</v>
      </c>
      <c r="H234" s="40"/>
      <c r="I234" s="46">
        <v>656.0</v>
      </c>
      <c r="J234" s="15"/>
      <c r="K234" s="15"/>
      <c r="L234" s="15" t="s">
        <v>127</v>
      </c>
      <c r="M234" s="15" t="s">
        <v>8033</v>
      </c>
      <c r="N234" s="15" t="s">
        <v>24</v>
      </c>
      <c r="O234" s="15" t="s">
        <v>60</v>
      </c>
    </row>
    <row r="235">
      <c r="A235" s="18" t="s">
        <v>7498</v>
      </c>
      <c r="B235" s="15" t="s">
        <v>8034</v>
      </c>
      <c r="C235" s="43">
        <v>45752.0</v>
      </c>
      <c r="D235" s="43">
        <v>45752.0</v>
      </c>
      <c r="E235" s="38" t="s">
        <v>8035</v>
      </c>
      <c r="F235" s="38" t="s">
        <v>7534</v>
      </c>
      <c r="G235" s="39">
        <v>16446.0</v>
      </c>
      <c r="H235" s="40"/>
      <c r="I235" s="46">
        <v>356.0</v>
      </c>
      <c r="J235" s="15"/>
      <c r="K235" s="15"/>
      <c r="L235" s="15" t="s">
        <v>127</v>
      </c>
      <c r="M235" s="15" t="s">
        <v>8036</v>
      </c>
      <c r="N235" s="15" t="s">
        <v>24</v>
      </c>
      <c r="O235" s="15" t="s">
        <v>60</v>
      </c>
    </row>
    <row r="236">
      <c r="A236" s="18" t="s">
        <v>7498</v>
      </c>
      <c r="B236" s="15" t="s">
        <v>8037</v>
      </c>
      <c r="C236" s="43">
        <v>45752.0</v>
      </c>
      <c r="D236" s="43">
        <v>45752.0</v>
      </c>
      <c r="E236" s="38" t="s">
        <v>8038</v>
      </c>
      <c r="F236" s="38" t="s">
        <v>8039</v>
      </c>
      <c r="G236" s="39">
        <v>99922.0</v>
      </c>
      <c r="H236" s="45" t="s">
        <v>8040</v>
      </c>
      <c r="I236" s="40"/>
      <c r="J236" s="15"/>
      <c r="K236" s="15"/>
      <c r="L236" s="15" t="s">
        <v>119</v>
      </c>
      <c r="M236" s="15"/>
      <c r="N236" s="15" t="s">
        <v>114</v>
      </c>
      <c r="O236" s="15" t="s">
        <v>7513</v>
      </c>
    </row>
    <row r="237">
      <c r="A237" s="18" t="s">
        <v>7498</v>
      </c>
      <c r="B237" s="15" t="s">
        <v>8041</v>
      </c>
      <c r="C237" s="43">
        <v>45753.0</v>
      </c>
      <c r="D237" s="43">
        <v>45753.0</v>
      </c>
      <c r="E237" s="38" t="s">
        <v>8042</v>
      </c>
      <c r="F237" s="38" t="s">
        <v>7567</v>
      </c>
      <c r="G237" s="39">
        <v>16446.0</v>
      </c>
      <c r="H237" s="40"/>
      <c r="I237" s="46">
        <v>384.0</v>
      </c>
      <c r="J237" s="15"/>
      <c r="K237" s="15"/>
      <c r="L237" s="15" t="s">
        <v>127</v>
      </c>
      <c r="M237" s="15"/>
      <c r="N237" s="15" t="s">
        <v>24</v>
      </c>
      <c r="O237" s="15" t="s">
        <v>60</v>
      </c>
    </row>
    <row r="238">
      <c r="A238" s="18" t="s">
        <v>7498</v>
      </c>
      <c r="B238" s="15" t="s">
        <v>8043</v>
      </c>
      <c r="C238" s="43">
        <v>45753.0</v>
      </c>
      <c r="D238" s="43">
        <v>45753.0</v>
      </c>
      <c r="E238" s="38" t="s">
        <v>8044</v>
      </c>
      <c r="F238" s="38" t="s">
        <v>7567</v>
      </c>
      <c r="G238" s="39">
        <v>16446.0</v>
      </c>
      <c r="H238" s="40"/>
      <c r="I238" s="46">
        <v>3664.0</v>
      </c>
      <c r="J238" s="15"/>
      <c r="K238" s="15"/>
      <c r="L238" s="15" t="s">
        <v>127</v>
      </c>
      <c r="M238" s="15"/>
      <c r="N238" s="15" t="s">
        <v>24</v>
      </c>
      <c r="O238" s="15" t="s">
        <v>60</v>
      </c>
    </row>
    <row r="239">
      <c r="A239" s="18" t="s">
        <v>7498</v>
      </c>
      <c r="B239" s="15" t="s">
        <v>8045</v>
      </c>
      <c r="C239" s="43">
        <v>45753.0</v>
      </c>
      <c r="D239" s="43">
        <v>45753.0</v>
      </c>
      <c r="E239" s="38" t="s">
        <v>8046</v>
      </c>
      <c r="F239" s="38" t="s">
        <v>8047</v>
      </c>
      <c r="G239" s="39">
        <v>99922.0</v>
      </c>
      <c r="H239" s="45">
        <v>27000.0</v>
      </c>
      <c r="I239" s="40"/>
      <c r="J239" s="15"/>
      <c r="K239" s="15"/>
      <c r="L239" s="15" t="s">
        <v>127</v>
      </c>
      <c r="M239" s="15"/>
      <c r="N239" s="15" t="s">
        <v>114</v>
      </c>
      <c r="O239" s="15" t="s">
        <v>115</v>
      </c>
    </row>
    <row r="240">
      <c r="A240" s="18" t="s">
        <v>7498</v>
      </c>
      <c r="B240" s="15" t="s">
        <v>8048</v>
      </c>
      <c r="C240" s="43">
        <v>45753.0</v>
      </c>
      <c r="D240" s="43">
        <v>45753.0</v>
      </c>
      <c r="E240" s="38" t="s">
        <v>8049</v>
      </c>
      <c r="F240" s="38" t="s">
        <v>7567</v>
      </c>
      <c r="G240" s="39">
        <v>16446.0</v>
      </c>
      <c r="H240" s="40"/>
      <c r="I240" s="46">
        <v>320.0</v>
      </c>
      <c r="J240" s="15"/>
      <c r="K240" s="15"/>
      <c r="L240" s="15" t="s">
        <v>127</v>
      </c>
      <c r="M240" s="15"/>
      <c r="N240" s="15" t="s">
        <v>24</v>
      </c>
      <c r="O240" s="15" t="s">
        <v>60</v>
      </c>
    </row>
    <row r="241">
      <c r="A241" s="18" t="s">
        <v>7498</v>
      </c>
      <c r="B241" s="15" t="s">
        <v>8050</v>
      </c>
      <c r="C241" s="43">
        <v>45753.0</v>
      </c>
      <c r="D241" s="43">
        <v>45753.0</v>
      </c>
      <c r="E241" s="38" t="s">
        <v>8051</v>
      </c>
      <c r="F241" s="38" t="s">
        <v>7567</v>
      </c>
      <c r="G241" s="39">
        <v>16446.0</v>
      </c>
      <c r="H241" s="40"/>
      <c r="I241" s="46">
        <v>576.0</v>
      </c>
      <c r="J241" s="15"/>
      <c r="K241" s="15"/>
      <c r="L241" s="15" t="s">
        <v>123</v>
      </c>
      <c r="M241" s="47" t="s">
        <v>8052</v>
      </c>
      <c r="N241" s="15" t="s">
        <v>24</v>
      </c>
      <c r="O241" s="15" t="s">
        <v>60</v>
      </c>
    </row>
    <row r="242">
      <c r="A242" s="18" t="s">
        <v>7498</v>
      </c>
      <c r="B242" s="15" t="s">
        <v>8053</v>
      </c>
      <c r="C242" s="43">
        <v>45753.0</v>
      </c>
      <c r="D242" s="43">
        <v>45753.0</v>
      </c>
      <c r="E242" s="38" t="s">
        <v>8054</v>
      </c>
      <c r="F242" s="38" t="s">
        <v>7567</v>
      </c>
      <c r="G242" s="39">
        <v>16446.0</v>
      </c>
      <c r="H242" s="40"/>
      <c r="I242" s="46">
        <v>666.12</v>
      </c>
      <c r="J242" s="15"/>
      <c r="K242" s="15"/>
      <c r="L242" s="15" t="s">
        <v>127</v>
      </c>
      <c r="M242" s="15" t="s">
        <v>8055</v>
      </c>
      <c r="N242" s="15" t="s">
        <v>24</v>
      </c>
      <c r="O242" s="15" t="s">
        <v>60</v>
      </c>
    </row>
    <row r="243">
      <c r="A243" s="18" t="s">
        <v>7498</v>
      </c>
      <c r="B243" s="15" t="s">
        <v>8056</v>
      </c>
      <c r="C243" s="43">
        <v>45753.0</v>
      </c>
      <c r="D243" s="43">
        <v>45753.0</v>
      </c>
      <c r="E243" s="38" t="s">
        <v>8057</v>
      </c>
      <c r="F243" s="38" t="s">
        <v>7567</v>
      </c>
      <c r="G243" s="39">
        <v>16446.0</v>
      </c>
      <c r="H243" s="40"/>
      <c r="I243" s="46">
        <v>536.0</v>
      </c>
      <c r="J243" s="15"/>
      <c r="K243" s="15"/>
      <c r="L243" s="15" t="s">
        <v>127</v>
      </c>
      <c r="M243" s="15" t="s">
        <v>8058</v>
      </c>
      <c r="N243" s="15" t="s">
        <v>24</v>
      </c>
      <c r="O243" s="15" t="s">
        <v>60</v>
      </c>
    </row>
    <row r="244">
      <c r="A244" s="18" t="s">
        <v>7498</v>
      </c>
      <c r="B244" s="15" t="s">
        <v>8059</v>
      </c>
      <c r="C244" s="43">
        <v>45754.0</v>
      </c>
      <c r="D244" s="43">
        <v>45754.0</v>
      </c>
      <c r="E244" s="38" t="s">
        <v>7500</v>
      </c>
      <c r="F244" s="38" t="s">
        <v>7501</v>
      </c>
      <c r="G244" s="39">
        <v>16446.0</v>
      </c>
      <c r="H244" s="44"/>
      <c r="I244" s="42" t="s">
        <v>2117</v>
      </c>
      <c r="J244" s="15"/>
      <c r="K244" s="15"/>
      <c r="L244" s="18" t="s">
        <v>23</v>
      </c>
      <c r="M244" s="15"/>
      <c r="N244" s="15" t="s">
        <v>24</v>
      </c>
      <c r="O244" s="15" t="s">
        <v>25</v>
      </c>
    </row>
    <row r="245">
      <c r="A245" s="18" t="s">
        <v>7498</v>
      </c>
      <c r="B245" s="15" t="s">
        <v>8060</v>
      </c>
      <c r="C245" s="43">
        <v>45754.0</v>
      </c>
      <c r="D245" s="43">
        <v>45754.0</v>
      </c>
      <c r="E245" s="38" t="s">
        <v>8061</v>
      </c>
      <c r="F245" s="38" t="s">
        <v>7537</v>
      </c>
      <c r="G245" s="39">
        <v>16446.0</v>
      </c>
      <c r="H245" s="40"/>
      <c r="I245" s="46">
        <v>1622.0</v>
      </c>
      <c r="J245" s="15"/>
      <c r="K245" s="15"/>
      <c r="L245" s="15" t="s">
        <v>123</v>
      </c>
      <c r="M245" s="47" t="s">
        <v>8062</v>
      </c>
      <c r="N245" s="15" t="s">
        <v>24</v>
      </c>
      <c r="O245" s="15" t="s">
        <v>60</v>
      </c>
    </row>
    <row r="246">
      <c r="A246" s="18" t="s">
        <v>7498</v>
      </c>
      <c r="B246" s="15" t="s">
        <v>8063</v>
      </c>
      <c r="C246" s="43">
        <v>45754.0</v>
      </c>
      <c r="D246" s="43">
        <v>45754.0</v>
      </c>
      <c r="E246" s="38" t="s">
        <v>8064</v>
      </c>
      <c r="F246" s="38" t="s">
        <v>8065</v>
      </c>
      <c r="G246" s="39">
        <v>99922.0</v>
      </c>
      <c r="H246" s="45">
        <v>40120.0</v>
      </c>
      <c r="I246" s="40"/>
      <c r="J246" s="15"/>
      <c r="K246" s="15"/>
      <c r="L246" s="15" t="s">
        <v>123</v>
      </c>
      <c r="M246" s="15"/>
      <c r="N246" s="15" t="s">
        <v>114</v>
      </c>
      <c r="O246" s="15" t="s">
        <v>115</v>
      </c>
    </row>
    <row r="247">
      <c r="A247" s="18" t="s">
        <v>7498</v>
      </c>
      <c r="B247" s="15" t="s">
        <v>8066</v>
      </c>
      <c r="C247" s="43">
        <v>45754.0</v>
      </c>
      <c r="D247" s="43">
        <v>45754.0</v>
      </c>
      <c r="E247" s="38" t="s">
        <v>8067</v>
      </c>
      <c r="F247" s="38" t="s">
        <v>8068</v>
      </c>
      <c r="G247" s="39">
        <v>99922.0</v>
      </c>
      <c r="H247" s="45">
        <v>10000.0</v>
      </c>
      <c r="I247" s="40"/>
      <c r="J247" s="15"/>
      <c r="K247" s="15"/>
      <c r="L247" s="15" t="s">
        <v>119</v>
      </c>
      <c r="M247" s="15"/>
      <c r="N247" s="15" t="s">
        <v>114</v>
      </c>
      <c r="O247" s="15" t="s">
        <v>115</v>
      </c>
    </row>
    <row r="248">
      <c r="A248" s="18" t="s">
        <v>7498</v>
      </c>
      <c r="B248" s="15" t="s">
        <v>8069</v>
      </c>
      <c r="C248" s="43">
        <v>45754.0</v>
      </c>
      <c r="D248" s="43">
        <v>45754.0</v>
      </c>
      <c r="E248" s="38" t="s">
        <v>8070</v>
      </c>
      <c r="F248" s="38" t="s">
        <v>7537</v>
      </c>
      <c r="G248" s="39">
        <v>16446.0</v>
      </c>
      <c r="H248" s="40"/>
      <c r="I248" s="46">
        <v>457.0</v>
      </c>
      <c r="J248" s="15"/>
      <c r="K248" s="15"/>
      <c r="L248" s="15" t="s">
        <v>123</v>
      </c>
      <c r="M248" s="47" t="s">
        <v>8071</v>
      </c>
      <c r="N248" s="15" t="s">
        <v>24</v>
      </c>
      <c r="O248" s="15" t="s">
        <v>60</v>
      </c>
    </row>
    <row r="249">
      <c r="A249" s="18" t="s">
        <v>7498</v>
      </c>
      <c r="B249" s="15" t="s">
        <v>8072</v>
      </c>
      <c r="C249" s="43">
        <v>45754.0</v>
      </c>
      <c r="D249" s="43">
        <v>45754.0</v>
      </c>
      <c r="E249" s="38" t="s">
        <v>8073</v>
      </c>
      <c r="F249" s="38" t="s">
        <v>7537</v>
      </c>
      <c r="G249" s="39">
        <v>16446.0</v>
      </c>
      <c r="H249" s="40"/>
      <c r="I249" s="46">
        <v>820.0</v>
      </c>
      <c r="J249" s="15"/>
      <c r="K249" s="15"/>
      <c r="L249" s="15" t="s">
        <v>123</v>
      </c>
      <c r="M249" s="18" t="s">
        <v>8074</v>
      </c>
      <c r="N249" s="15" t="s">
        <v>24</v>
      </c>
      <c r="O249" s="15" t="s">
        <v>60</v>
      </c>
    </row>
    <row r="250">
      <c r="A250" s="18" t="s">
        <v>7498</v>
      </c>
      <c r="B250" s="15" t="s">
        <v>8075</v>
      </c>
      <c r="C250" s="43">
        <v>45754.0</v>
      </c>
      <c r="D250" s="43">
        <v>45754.0</v>
      </c>
      <c r="E250" s="38" t="s">
        <v>8076</v>
      </c>
      <c r="F250" s="38" t="s">
        <v>7537</v>
      </c>
      <c r="G250" s="39">
        <v>16446.0</v>
      </c>
      <c r="H250" s="40"/>
      <c r="I250" s="46">
        <v>312.0</v>
      </c>
      <c r="J250" s="15"/>
      <c r="K250" s="15"/>
      <c r="L250" s="15" t="s">
        <v>127</v>
      </c>
      <c r="M250" s="15" t="s">
        <v>8077</v>
      </c>
      <c r="N250" s="15" t="s">
        <v>24</v>
      </c>
      <c r="O250" s="15" t="s">
        <v>60</v>
      </c>
    </row>
    <row r="251">
      <c r="A251" s="18" t="s">
        <v>7498</v>
      </c>
      <c r="B251" s="15" t="s">
        <v>8078</v>
      </c>
      <c r="C251" s="43">
        <v>45754.0</v>
      </c>
      <c r="D251" s="43">
        <v>45754.0</v>
      </c>
      <c r="E251" s="38" t="s">
        <v>8079</v>
      </c>
      <c r="F251" s="38" t="s">
        <v>7537</v>
      </c>
      <c r="G251" s="39">
        <v>16446.0</v>
      </c>
      <c r="H251" s="40"/>
      <c r="I251" s="46">
        <v>737.0</v>
      </c>
      <c r="J251" s="15"/>
      <c r="K251" s="15"/>
      <c r="L251" s="15" t="s">
        <v>123</v>
      </c>
      <c r="M251" s="47" t="s">
        <v>8080</v>
      </c>
      <c r="N251" s="15" t="s">
        <v>24</v>
      </c>
      <c r="O251" s="15" t="s">
        <v>60</v>
      </c>
    </row>
    <row r="252">
      <c r="A252" s="18" t="s">
        <v>7498</v>
      </c>
      <c r="B252" s="15" t="s">
        <v>8081</v>
      </c>
      <c r="C252" s="43">
        <v>45754.0</v>
      </c>
      <c r="D252" s="43">
        <v>45754.0</v>
      </c>
      <c r="E252" s="38" t="s">
        <v>8082</v>
      </c>
      <c r="F252" s="38" t="s">
        <v>7537</v>
      </c>
      <c r="G252" s="39">
        <v>16446.0</v>
      </c>
      <c r="H252" s="40"/>
      <c r="I252" s="46">
        <v>506.0</v>
      </c>
      <c r="J252" s="15"/>
      <c r="K252" s="15"/>
      <c r="L252" s="15" t="s">
        <v>7948</v>
      </c>
      <c r="M252" s="15"/>
      <c r="N252" s="15" t="s">
        <v>24</v>
      </c>
      <c r="O252" s="15" t="s">
        <v>60</v>
      </c>
    </row>
    <row r="253">
      <c r="A253" s="18" t="s">
        <v>7498</v>
      </c>
      <c r="B253" s="15" t="s">
        <v>8083</v>
      </c>
      <c r="C253" s="43">
        <v>45754.0</v>
      </c>
      <c r="D253" s="43">
        <v>45754.0</v>
      </c>
      <c r="E253" s="38" t="s">
        <v>8084</v>
      </c>
      <c r="F253" s="38" t="s">
        <v>8085</v>
      </c>
      <c r="G253" s="39">
        <v>99922.0</v>
      </c>
      <c r="H253" s="45">
        <v>9000.0</v>
      </c>
      <c r="I253" s="40"/>
      <c r="J253" s="15"/>
      <c r="K253" s="15"/>
      <c r="L253" s="15" t="s">
        <v>123</v>
      </c>
      <c r="M253" s="15"/>
      <c r="N253" s="15" t="s">
        <v>114</v>
      </c>
      <c r="O253" s="15" t="s">
        <v>169</v>
      </c>
    </row>
    <row r="254">
      <c r="A254" s="18" t="s">
        <v>7498</v>
      </c>
      <c r="B254" s="15" t="s">
        <v>8086</v>
      </c>
      <c r="C254" s="43">
        <v>45754.0</v>
      </c>
      <c r="D254" s="43">
        <v>45754.0</v>
      </c>
      <c r="E254" s="38" t="s">
        <v>7657</v>
      </c>
      <c r="F254" s="38" t="s">
        <v>8087</v>
      </c>
      <c r="G254" s="39">
        <v>99922.0</v>
      </c>
      <c r="H254" s="45">
        <v>20000.0</v>
      </c>
      <c r="I254" s="40"/>
      <c r="J254" s="15"/>
      <c r="K254" s="15"/>
      <c r="L254" s="15" t="s">
        <v>123</v>
      </c>
      <c r="M254" s="15"/>
      <c r="N254" s="15" t="s">
        <v>114</v>
      </c>
      <c r="O254" s="15" t="s">
        <v>169</v>
      </c>
    </row>
    <row r="255">
      <c r="A255" s="18" t="s">
        <v>7498</v>
      </c>
      <c r="B255" s="15" t="s">
        <v>8088</v>
      </c>
      <c r="C255" s="43">
        <v>45754.0</v>
      </c>
      <c r="D255" s="43">
        <v>45754.0</v>
      </c>
      <c r="E255" s="38" t="s">
        <v>7657</v>
      </c>
      <c r="F255" s="38" t="s">
        <v>8089</v>
      </c>
      <c r="G255" s="39">
        <v>99922.0</v>
      </c>
      <c r="H255" s="45">
        <v>16500.0</v>
      </c>
      <c r="I255" s="40"/>
      <c r="J255" s="15"/>
      <c r="K255" s="15"/>
      <c r="L255" s="15" t="s">
        <v>127</v>
      </c>
      <c r="M255" s="15"/>
      <c r="N255" s="15" t="s">
        <v>114</v>
      </c>
      <c r="O255" s="15" t="s">
        <v>169</v>
      </c>
    </row>
    <row r="256">
      <c r="A256" s="18" t="s">
        <v>7498</v>
      </c>
      <c r="B256" s="15" t="s">
        <v>8090</v>
      </c>
      <c r="C256" s="43">
        <v>45754.0</v>
      </c>
      <c r="D256" s="43">
        <v>45754.0</v>
      </c>
      <c r="E256" s="38" t="s">
        <v>7657</v>
      </c>
      <c r="F256" s="38" t="s">
        <v>8091</v>
      </c>
      <c r="G256" s="39">
        <v>99922.0</v>
      </c>
      <c r="H256" s="45">
        <v>15000.0</v>
      </c>
      <c r="I256" s="40"/>
      <c r="J256" s="15"/>
      <c r="K256" s="15"/>
      <c r="L256" s="15" t="s">
        <v>123</v>
      </c>
      <c r="M256" s="15"/>
      <c r="N256" s="15" t="s">
        <v>114</v>
      </c>
      <c r="O256" s="15" t="s">
        <v>169</v>
      </c>
    </row>
    <row r="257">
      <c r="A257" s="18" t="s">
        <v>7498</v>
      </c>
      <c r="B257" s="15" t="s">
        <v>8092</v>
      </c>
      <c r="C257" s="43">
        <v>45754.0</v>
      </c>
      <c r="D257" s="43">
        <v>45754.0</v>
      </c>
      <c r="E257" s="38" t="s">
        <v>8093</v>
      </c>
      <c r="F257" s="38" t="s">
        <v>8094</v>
      </c>
      <c r="G257" s="39">
        <v>99922.0</v>
      </c>
      <c r="H257" s="45">
        <v>20000.0</v>
      </c>
      <c r="I257" s="40"/>
      <c r="J257" s="15"/>
      <c r="K257" s="15"/>
      <c r="L257" s="15" t="s">
        <v>127</v>
      </c>
      <c r="M257" s="15"/>
      <c r="N257" s="15" t="s">
        <v>114</v>
      </c>
      <c r="O257" s="15" t="s">
        <v>169</v>
      </c>
    </row>
    <row r="258">
      <c r="A258" s="18" t="s">
        <v>7498</v>
      </c>
      <c r="B258" s="15" t="s">
        <v>8095</v>
      </c>
      <c r="C258" s="43">
        <v>45754.0</v>
      </c>
      <c r="D258" s="43">
        <v>45754.0</v>
      </c>
      <c r="E258" s="38" t="s">
        <v>8096</v>
      </c>
      <c r="F258" s="38" t="s">
        <v>7537</v>
      </c>
      <c r="G258" s="39">
        <v>16446.0</v>
      </c>
      <c r="H258" s="40"/>
      <c r="I258" s="46">
        <v>361.0</v>
      </c>
      <c r="J258" s="15"/>
      <c r="K258" s="15"/>
      <c r="L258" s="15" t="s">
        <v>123</v>
      </c>
      <c r="M258" s="47" t="s">
        <v>8097</v>
      </c>
      <c r="N258" s="15" t="s">
        <v>24</v>
      </c>
      <c r="O258" s="15" t="s">
        <v>60</v>
      </c>
    </row>
    <row r="259">
      <c r="A259" s="18" t="s">
        <v>7498</v>
      </c>
      <c r="B259" s="15" t="s">
        <v>8098</v>
      </c>
      <c r="C259" s="43">
        <v>45755.0</v>
      </c>
      <c r="D259" s="43">
        <v>45755.0</v>
      </c>
      <c r="E259" s="38" t="s">
        <v>8099</v>
      </c>
      <c r="F259" s="38" t="s">
        <v>7544</v>
      </c>
      <c r="G259" s="39">
        <v>16446.0</v>
      </c>
      <c r="H259" s="40"/>
      <c r="I259" s="46">
        <v>376.0</v>
      </c>
      <c r="J259" s="15"/>
      <c r="K259" s="15"/>
      <c r="L259" s="15" t="s">
        <v>7948</v>
      </c>
      <c r="M259" s="15"/>
      <c r="N259" s="15" t="s">
        <v>24</v>
      </c>
      <c r="O259" s="15" t="s">
        <v>60</v>
      </c>
    </row>
    <row r="260">
      <c r="A260" s="18" t="s">
        <v>7498</v>
      </c>
      <c r="B260" s="15" t="s">
        <v>8100</v>
      </c>
      <c r="C260" s="43">
        <v>45755.0</v>
      </c>
      <c r="D260" s="43">
        <v>45755.0</v>
      </c>
      <c r="E260" s="38" t="s">
        <v>8101</v>
      </c>
      <c r="F260" s="38" t="s">
        <v>7544</v>
      </c>
      <c r="G260" s="39">
        <v>16446.0</v>
      </c>
      <c r="H260" s="40"/>
      <c r="I260" s="46">
        <v>2999.0</v>
      </c>
      <c r="J260" s="15"/>
      <c r="K260" s="15"/>
      <c r="L260" s="15" t="s">
        <v>123</v>
      </c>
      <c r="M260" s="47" t="s">
        <v>8102</v>
      </c>
      <c r="N260" s="15" t="s">
        <v>24</v>
      </c>
      <c r="O260" s="15" t="s">
        <v>60</v>
      </c>
    </row>
    <row r="261">
      <c r="A261" s="18" t="s">
        <v>7498</v>
      </c>
      <c r="B261" s="15" t="s">
        <v>8103</v>
      </c>
      <c r="C261" s="43">
        <v>45755.0</v>
      </c>
      <c r="D261" s="43">
        <v>45755.0</v>
      </c>
      <c r="E261" s="38" t="s">
        <v>8104</v>
      </c>
      <c r="F261" s="38" t="s">
        <v>7544</v>
      </c>
      <c r="G261" s="39">
        <v>16446.0</v>
      </c>
      <c r="H261" s="40"/>
      <c r="I261" s="46">
        <v>572.0</v>
      </c>
      <c r="J261" s="15"/>
      <c r="K261" s="15"/>
      <c r="L261" s="15" t="s">
        <v>127</v>
      </c>
      <c r="M261" s="15" t="s">
        <v>8105</v>
      </c>
      <c r="N261" s="15" t="s">
        <v>24</v>
      </c>
      <c r="O261" s="15" t="s">
        <v>60</v>
      </c>
    </row>
    <row r="262">
      <c r="A262" s="18" t="s">
        <v>7498</v>
      </c>
      <c r="B262" s="15" t="s">
        <v>8106</v>
      </c>
      <c r="C262" s="43">
        <v>45755.0</v>
      </c>
      <c r="D262" s="43">
        <v>45755.0</v>
      </c>
      <c r="E262" s="38" t="s">
        <v>8107</v>
      </c>
      <c r="F262" s="38" t="s">
        <v>7544</v>
      </c>
      <c r="G262" s="39">
        <v>16446.0</v>
      </c>
      <c r="H262" s="40"/>
      <c r="I262" s="46">
        <v>1388.0</v>
      </c>
      <c r="J262" s="15"/>
      <c r="K262" s="15"/>
      <c r="L262" s="15" t="s">
        <v>127</v>
      </c>
      <c r="M262" s="15" t="s">
        <v>8108</v>
      </c>
      <c r="N262" s="15" t="s">
        <v>24</v>
      </c>
      <c r="O262" s="15" t="s">
        <v>60</v>
      </c>
    </row>
    <row r="263">
      <c r="A263" s="18" t="s">
        <v>7498</v>
      </c>
      <c r="B263" s="15" t="s">
        <v>8109</v>
      </c>
      <c r="C263" s="43">
        <v>45755.0</v>
      </c>
      <c r="D263" s="43">
        <v>45755.0</v>
      </c>
      <c r="E263" s="38" t="s">
        <v>8110</v>
      </c>
      <c r="F263" s="38" t="s">
        <v>7544</v>
      </c>
      <c r="G263" s="39">
        <v>16446.0</v>
      </c>
      <c r="H263" s="40"/>
      <c r="I263" s="46">
        <v>150.0</v>
      </c>
      <c r="J263" s="15"/>
      <c r="K263" s="15"/>
      <c r="L263" s="15" t="s">
        <v>127</v>
      </c>
      <c r="M263" s="15" t="s">
        <v>8111</v>
      </c>
      <c r="N263" s="15" t="s">
        <v>24</v>
      </c>
      <c r="O263" s="15" t="s">
        <v>60</v>
      </c>
    </row>
    <row r="264">
      <c r="A264" s="18" t="s">
        <v>7498</v>
      </c>
      <c r="B264" s="15" t="s">
        <v>8112</v>
      </c>
      <c r="C264" s="43">
        <v>45756.0</v>
      </c>
      <c r="D264" s="43">
        <v>45756.0</v>
      </c>
      <c r="E264" s="38" t="s">
        <v>8113</v>
      </c>
      <c r="F264" s="38" t="s">
        <v>7557</v>
      </c>
      <c r="G264" s="39">
        <v>16446.0</v>
      </c>
      <c r="H264" s="40"/>
      <c r="I264" s="46">
        <v>356.0</v>
      </c>
      <c r="J264" s="15"/>
      <c r="K264" s="15"/>
      <c r="L264" s="15" t="s">
        <v>127</v>
      </c>
      <c r="M264" s="15" t="s">
        <v>8114</v>
      </c>
      <c r="N264" s="15" t="s">
        <v>24</v>
      </c>
      <c r="O264" s="15" t="s">
        <v>60</v>
      </c>
    </row>
    <row r="265">
      <c r="A265" s="18" t="s">
        <v>7498</v>
      </c>
      <c r="B265" s="15" t="s">
        <v>8115</v>
      </c>
      <c r="C265" s="37">
        <v>45757.0</v>
      </c>
      <c r="D265" s="37">
        <v>45757.0</v>
      </c>
      <c r="E265" s="38" t="s">
        <v>8116</v>
      </c>
      <c r="F265" s="38" t="s">
        <v>8117</v>
      </c>
      <c r="G265" s="39">
        <v>99922.0</v>
      </c>
      <c r="H265" s="45">
        <v>7367.0</v>
      </c>
      <c r="I265" s="40"/>
      <c r="J265" s="15"/>
      <c r="K265" s="15"/>
      <c r="L265" s="15" t="s">
        <v>123</v>
      </c>
      <c r="M265" s="15"/>
      <c r="N265" s="15" t="s">
        <v>114</v>
      </c>
      <c r="O265" s="15" t="s">
        <v>169</v>
      </c>
    </row>
    <row r="266">
      <c r="A266" s="18" t="s">
        <v>7498</v>
      </c>
      <c r="B266" s="15" t="s">
        <v>8118</v>
      </c>
      <c r="C266" s="37">
        <v>45757.0</v>
      </c>
      <c r="D266" s="37">
        <v>45757.0</v>
      </c>
      <c r="E266" s="38" t="s">
        <v>8119</v>
      </c>
      <c r="F266" s="38" t="s">
        <v>7580</v>
      </c>
      <c r="G266" s="39">
        <v>16446.0</v>
      </c>
      <c r="H266" s="40"/>
      <c r="I266" s="46">
        <v>450.0</v>
      </c>
      <c r="J266" s="15"/>
      <c r="K266" s="15"/>
      <c r="L266" s="15" t="s">
        <v>123</v>
      </c>
      <c r="M266" s="47" t="s">
        <v>8120</v>
      </c>
      <c r="N266" s="15" t="s">
        <v>24</v>
      </c>
      <c r="O266" s="15" t="s">
        <v>60</v>
      </c>
    </row>
    <row r="267">
      <c r="A267" s="18" t="s">
        <v>7498</v>
      </c>
      <c r="B267" s="15" t="s">
        <v>8121</v>
      </c>
      <c r="C267" s="37">
        <v>45758.0</v>
      </c>
      <c r="D267" s="37">
        <v>45758.0</v>
      </c>
      <c r="E267" s="38" t="s">
        <v>8122</v>
      </c>
      <c r="F267" s="38" t="s">
        <v>7508</v>
      </c>
      <c r="G267" s="39">
        <v>16446.0</v>
      </c>
      <c r="H267" s="40"/>
      <c r="I267" s="46">
        <v>208.0</v>
      </c>
      <c r="J267" s="15"/>
      <c r="K267" s="15"/>
      <c r="L267" s="15" t="s">
        <v>7948</v>
      </c>
      <c r="M267" s="15"/>
      <c r="N267" s="15" t="s">
        <v>24</v>
      </c>
      <c r="O267" s="15" t="s">
        <v>60</v>
      </c>
    </row>
    <row r="268">
      <c r="A268" s="18" t="s">
        <v>7498</v>
      </c>
      <c r="B268" s="15" t="s">
        <v>8123</v>
      </c>
      <c r="C268" s="37">
        <v>45758.0</v>
      </c>
      <c r="D268" s="37">
        <v>45758.0</v>
      </c>
      <c r="E268" s="38" t="s">
        <v>8124</v>
      </c>
      <c r="F268" s="38" t="s">
        <v>7857</v>
      </c>
      <c r="G268" s="39">
        <v>4430.0</v>
      </c>
      <c r="H268" s="40"/>
      <c r="I268" s="46">
        <v>484.0</v>
      </c>
      <c r="J268" s="15"/>
      <c r="K268" s="15"/>
      <c r="L268" s="15" t="s">
        <v>127</v>
      </c>
      <c r="M268" s="15"/>
      <c r="N268" s="15" t="s">
        <v>24</v>
      </c>
      <c r="O268" s="15" t="s">
        <v>60</v>
      </c>
    </row>
    <row r="269">
      <c r="A269" s="18" t="s">
        <v>7498</v>
      </c>
      <c r="B269" s="15" t="s">
        <v>8125</v>
      </c>
      <c r="C269" s="37">
        <v>45758.0</v>
      </c>
      <c r="D269" s="37">
        <v>45758.0</v>
      </c>
      <c r="E269" s="38" t="s">
        <v>8126</v>
      </c>
      <c r="F269" s="38" t="s">
        <v>7508</v>
      </c>
      <c r="G269" s="39">
        <v>16446.0</v>
      </c>
      <c r="H269" s="40"/>
      <c r="I269" s="46">
        <v>800.0</v>
      </c>
      <c r="J269" s="15"/>
      <c r="K269" s="15"/>
      <c r="L269" s="15" t="s">
        <v>123</v>
      </c>
      <c r="M269" s="47" t="s">
        <v>8127</v>
      </c>
      <c r="N269" s="15" t="s">
        <v>24</v>
      </c>
      <c r="O269" s="15" t="s">
        <v>60</v>
      </c>
    </row>
    <row r="270">
      <c r="A270" s="18" t="s">
        <v>7498</v>
      </c>
      <c r="B270" s="15" t="s">
        <v>8128</v>
      </c>
      <c r="C270" s="37">
        <v>45758.0</v>
      </c>
      <c r="D270" s="37">
        <v>45758.0</v>
      </c>
      <c r="E270" s="38" t="s">
        <v>8129</v>
      </c>
      <c r="F270" s="38" t="s">
        <v>7508</v>
      </c>
      <c r="G270" s="39">
        <v>16446.0</v>
      </c>
      <c r="H270" s="40"/>
      <c r="I270" s="46">
        <v>2841.0</v>
      </c>
      <c r="J270" s="15"/>
      <c r="K270" s="15"/>
      <c r="L270" s="15" t="s">
        <v>123</v>
      </c>
      <c r="M270" s="47" t="s">
        <v>8130</v>
      </c>
      <c r="N270" s="15" t="s">
        <v>24</v>
      </c>
      <c r="O270" s="15" t="s">
        <v>60</v>
      </c>
    </row>
    <row r="271">
      <c r="A271" s="18" t="s">
        <v>7498</v>
      </c>
      <c r="B271" s="15" t="s">
        <v>8131</v>
      </c>
      <c r="C271" s="37">
        <v>45759.0</v>
      </c>
      <c r="D271" s="37">
        <v>45759.0</v>
      </c>
      <c r="E271" s="38" t="s">
        <v>8132</v>
      </c>
      <c r="F271" s="38" t="s">
        <v>8133</v>
      </c>
      <c r="G271" s="39">
        <v>4430.0</v>
      </c>
      <c r="H271" s="44"/>
      <c r="I271" s="42" t="s">
        <v>865</v>
      </c>
      <c r="J271" s="15"/>
      <c r="K271" s="15"/>
      <c r="L271" s="18" t="s">
        <v>23</v>
      </c>
      <c r="M271" s="15"/>
      <c r="N271" s="15" t="s">
        <v>24</v>
      </c>
      <c r="O271" s="15" t="s">
        <v>25</v>
      </c>
    </row>
    <row r="272">
      <c r="A272" s="18" t="s">
        <v>7498</v>
      </c>
      <c r="B272" s="15" t="s">
        <v>8134</v>
      </c>
      <c r="C272" s="37">
        <v>45759.0</v>
      </c>
      <c r="D272" s="37">
        <v>45759.0</v>
      </c>
      <c r="E272" s="38" t="s">
        <v>8135</v>
      </c>
      <c r="F272" s="38" t="s">
        <v>8136</v>
      </c>
      <c r="G272" s="39">
        <v>99922.0</v>
      </c>
      <c r="H272" s="45" t="s">
        <v>8137</v>
      </c>
      <c r="I272" s="40"/>
      <c r="J272" s="15"/>
      <c r="K272" s="15"/>
      <c r="L272" s="15" t="s">
        <v>119</v>
      </c>
      <c r="M272" s="15"/>
      <c r="N272" s="15" t="s">
        <v>114</v>
      </c>
      <c r="O272" s="15" t="s">
        <v>7513</v>
      </c>
    </row>
    <row r="273">
      <c r="A273" s="18" t="s">
        <v>7498</v>
      </c>
      <c r="B273" s="15" t="s">
        <v>8138</v>
      </c>
      <c r="C273" s="37">
        <v>45759.0</v>
      </c>
      <c r="D273" s="37">
        <v>45759.0</v>
      </c>
      <c r="E273" s="38" t="s">
        <v>8139</v>
      </c>
      <c r="F273" s="38" t="s">
        <v>7534</v>
      </c>
      <c r="G273" s="39">
        <v>16446.0</v>
      </c>
      <c r="H273" s="40"/>
      <c r="I273" s="46">
        <v>576.0</v>
      </c>
      <c r="J273" s="15"/>
      <c r="K273" s="15"/>
      <c r="L273" s="15" t="s">
        <v>123</v>
      </c>
      <c r="M273" s="47" t="s">
        <v>8140</v>
      </c>
      <c r="N273" s="15" t="s">
        <v>24</v>
      </c>
      <c r="O273" s="15" t="s">
        <v>60</v>
      </c>
    </row>
    <row r="274">
      <c r="A274" s="18" t="s">
        <v>7498</v>
      </c>
      <c r="B274" s="15" t="s">
        <v>8141</v>
      </c>
      <c r="C274" s="37">
        <v>45759.0</v>
      </c>
      <c r="D274" s="37">
        <v>45759.0</v>
      </c>
      <c r="E274" s="38" t="s">
        <v>8142</v>
      </c>
      <c r="F274" s="38" t="s">
        <v>7534</v>
      </c>
      <c r="G274" s="39">
        <v>16446.0</v>
      </c>
      <c r="H274" s="40"/>
      <c r="I274" s="46">
        <v>1282.0</v>
      </c>
      <c r="J274" s="15"/>
      <c r="K274" s="15"/>
      <c r="L274" s="15" t="s">
        <v>123</v>
      </c>
      <c r="M274" s="47" t="s">
        <v>8143</v>
      </c>
      <c r="N274" s="15" t="s">
        <v>24</v>
      </c>
      <c r="O274" s="15" t="s">
        <v>60</v>
      </c>
    </row>
    <row r="275">
      <c r="A275" s="18" t="s">
        <v>7498</v>
      </c>
      <c r="B275" s="15" t="s">
        <v>8144</v>
      </c>
      <c r="C275" s="37">
        <v>45759.0</v>
      </c>
      <c r="D275" s="37">
        <v>45759.0</v>
      </c>
      <c r="E275" s="38" t="s">
        <v>8145</v>
      </c>
      <c r="F275" s="38" t="s">
        <v>7534</v>
      </c>
      <c r="G275" s="39">
        <v>16446.0</v>
      </c>
      <c r="H275" s="40"/>
      <c r="I275" s="46">
        <v>581.0</v>
      </c>
      <c r="J275" s="15"/>
      <c r="K275" s="15"/>
      <c r="L275" s="15" t="s">
        <v>123</v>
      </c>
      <c r="M275" s="47" t="s">
        <v>8146</v>
      </c>
      <c r="N275" s="15" t="s">
        <v>24</v>
      </c>
      <c r="O275" s="15" t="s">
        <v>60</v>
      </c>
    </row>
    <row r="276">
      <c r="A276" s="18" t="s">
        <v>7498</v>
      </c>
      <c r="B276" s="15" t="s">
        <v>8147</v>
      </c>
      <c r="C276" s="37">
        <v>45759.0</v>
      </c>
      <c r="D276" s="37">
        <v>45759.0</v>
      </c>
      <c r="E276" s="38" t="s">
        <v>8148</v>
      </c>
      <c r="F276" s="38" t="s">
        <v>7534</v>
      </c>
      <c r="G276" s="39">
        <v>16446.0</v>
      </c>
      <c r="H276" s="40"/>
      <c r="I276" s="46">
        <v>400.0</v>
      </c>
      <c r="J276" s="15"/>
      <c r="K276" s="15"/>
      <c r="L276" s="15" t="s">
        <v>127</v>
      </c>
      <c r="M276" s="15" t="s">
        <v>8149</v>
      </c>
      <c r="N276" s="15" t="s">
        <v>24</v>
      </c>
      <c r="O276" s="15" t="s">
        <v>60</v>
      </c>
    </row>
    <row r="277">
      <c r="A277" s="18" t="s">
        <v>7498</v>
      </c>
      <c r="B277" s="15" t="s">
        <v>8150</v>
      </c>
      <c r="C277" s="37">
        <v>45759.0</v>
      </c>
      <c r="D277" s="37">
        <v>45759.0</v>
      </c>
      <c r="E277" s="38" t="s">
        <v>8151</v>
      </c>
      <c r="F277" s="38" t="s">
        <v>7534</v>
      </c>
      <c r="G277" s="39">
        <v>16446.0</v>
      </c>
      <c r="H277" s="40"/>
      <c r="I277" s="46">
        <v>1136.0</v>
      </c>
      <c r="J277" s="15"/>
      <c r="K277" s="15"/>
      <c r="L277" s="15" t="s">
        <v>127</v>
      </c>
      <c r="M277" s="15" t="s">
        <v>8152</v>
      </c>
      <c r="N277" s="15" t="s">
        <v>24</v>
      </c>
      <c r="O277" s="15" t="s">
        <v>60</v>
      </c>
    </row>
    <row r="278">
      <c r="A278" s="18" t="s">
        <v>7498</v>
      </c>
      <c r="B278" s="15" t="s">
        <v>8153</v>
      </c>
      <c r="C278" s="37">
        <v>45759.0</v>
      </c>
      <c r="D278" s="37">
        <v>45759.0</v>
      </c>
      <c r="E278" s="38" t="s">
        <v>8154</v>
      </c>
      <c r="F278" s="38" t="s">
        <v>7794</v>
      </c>
      <c r="G278" s="39">
        <v>16209.0</v>
      </c>
      <c r="H278" s="44"/>
      <c r="I278" s="42" t="s">
        <v>8155</v>
      </c>
      <c r="J278" s="15"/>
      <c r="K278" s="15"/>
      <c r="L278" s="18" t="s">
        <v>23</v>
      </c>
      <c r="M278" s="15"/>
      <c r="N278" s="15" t="s">
        <v>24</v>
      </c>
      <c r="O278" s="15" t="s">
        <v>25</v>
      </c>
    </row>
    <row r="279">
      <c r="A279" s="18" t="s">
        <v>7498</v>
      </c>
      <c r="B279" s="15" t="s">
        <v>8156</v>
      </c>
      <c r="C279" s="37">
        <v>45760.0</v>
      </c>
      <c r="D279" s="37">
        <v>45760.0</v>
      </c>
      <c r="E279" s="38" t="s">
        <v>8157</v>
      </c>
      <c r="F279" s="38" t="s">
        <v>7567</v>
      </c>
      <c r="G279" s="39">
        <v>16446.0</v>
      </c>
      <c r="H279" s="40"/>
      <c r="I279" s="46">
        <v>1348.0</v>
      </c>
      <c r="J279" s="15"/>
      <c r="K279" s="15"/>
      <c r="L279" s="15" t="s">
        <v>123</v>
      </c>
      <c r="M279" s="47" t="s">
        <v>8158</v>
      </c>
      <c r="N279" s="15" t="s">
        <v>24</v>
      </c>
      <c r="O279" s="15" t="s">
        <v>60</v>
      </c>
    </row>
    <row r="280">
      <c r="A280" s="18" t="s">
        <v>7498</v>
      </c>
      <c r="B280" s="15" t="s">
        <v>8159</v>
      </c>
      <c r="C280" s="37">
        <v>45760.0</v>
      </c>
      <c r="D280" s="37">
        <v>45760.0</v>
      </c>
      <c r="E280" s="38" t="s">
        <v>8160</v>
      </c>
      <c r="F280" s="38" t="s">
        <v>7567</v>
      </c>
      <c r="G280" s="39">
        <v>16446.0</v>
      </c>
      <c r="H280" s="40"/>
      <c r="I280" s="46">
        <v>930.0</v>
      </c>
      <c r="J280" s="15"/>
      <c r="K280" s="15"/>
      <c r="L280" s="15" t="s">
        <v>123</v>
      </c>
      <c r="M280" s="47" t="s">
        <v>7928</v>
      </c>
      <c r="N280" s="15" t="s">
        <v>24</v>
      </c>
      <c r="O280" s="15" t="s">
        <v>60</v>
      </c>
    </row>
    <row r="281">
      <c r="A281" s="18" t="s">
        <v>7498</v>
      </c>
      <c r="B281" s="15" t="s">
        <v>8161</v>
      </c>
      <c r="C281" s="37">
        <v>45760.0</v>
      </c>
      <c r="D281" s="37">
        <v>45760.0</v>
      </c>
      <c r="E281" s="38" t="s">
        <v>8162</v>
      </c>
      <c r="F281" s="38" t="s">
        <v>7501</v>
      </c>
      <c r="G281" s="39">
        <v>4292.0</v>
      </c>
      <c r="H281" s="45">
        <v>16820.6</v>
      </c>
      <c r="I281" s="40"/>
      <c r="J281" s="15"/>
      <c r="K281" s="15"/>
      <c r="L281" s="15" t="s">
        <v>127</v>
      </c>
      <c r="M281" s="15"/>
      <c r="N281" s="15" t="s">
        <v>114</v>
      </c>
      <c r="O281" s="15" t="s">
        <v>478</v>
      </c>
    </row>
    <row r="282">
      <c r="A282" s="18" t="s">
        <v>7498</v>
      </c>
      <c r="B282" s="15" t="s">
        <v>8163</v>
      </c>
      <c r="C282" s="37">
        <v>45760.0</v>
      </c>
      <c r="D282" s="37">
        <v>45760.0</v>
      </c>
      <c r="E282" s="38" t="s">
        <v>8164</v>
      </c>
      <c r="F282" s="38" t="s">
        <v>7567</v>
      </c>
      <c r="G282" s="39">
        <v>16446.0</v>
      </c>
      <c r="H282" s="40"/>
      <c r="I282" s="46">
        <v>1204.0</v>
      </c>
      <c r="J282" s="15"/>
      <c r="K282" s="15"/>
      <c r="L282" s="15" t="s">
        <v>127</v>
      </c>
      <c r="M282" s="15"/>
      <c r="N282" s="15" t="s">
        <v>24</v>
      </c>
      <c r="O282" s="15" t="s">
        <v>60</v>
      </c>
    </row>
    <row r="283">
      <c r="A283" s="18" t="s">
        <v>7498</v>
      </c>
      <c r="B283" s="15" t="s">
        <v>8165</v>
      </c>
      <c r="C283" s="37">
        <v>45760.0</v>
      </c>
      <c r="D283" s="37">
        <v>45760.0</v>
      </c>
      <c r="E283" s="38" t="s">
        <v>8166</v>
      </c>
      <c r="F283" s="38" t="s">
        <v>7567</v>
      </c>
      <c r="G283" s="39">
        <v>16446.0</v>
      </c>
      <c r="H283" s="40"/>
      <c r="I283" s="46">
        <v>960.0</v>
      </c>
      <c r="J283" s="15"/>
      <c r="K283" s="15"/>
      <c r="L283" s="15" t="s">
        <v>7948</v>
      </c>
      <c r="M283" s="15"/>
      <c r="N283" s="15" t="s">
        <v>24</v>
      </c>
      <c r="O283" s="15" t="s">
        <v>60</v>
      </c>
    </row>
    <row r="284">
      <c r="A284" s="18" t="s">
        <v>7498</v>
      </c>
      <c r="B284" s="15" t="s">
        <v>8167</v>
      </c>
      <c r="C284" s="37">
        <v>45760.0</v>
      </c>
      <c r="D284" s="37">
        <v>45760.0</v>
      </c>
      <c r="E284" s="38" t="s">
        <v>8168</v>
      </c>
      <c r="F284" s="38" t="s">
        <v>7567</v>
      </c>
      <c r="G284" s="39">
        <v>16446.0</v>
      </c>
      <c r="H284" s="40"/>
      <c r="I284" s="46">
        <v>192.0</v>
      </c>
      <c r="J284" s="15"/>
      <c r="K284" s="15"/>
      <c r="L284" s="15" t="s">
        <v>7948</v>
      </c>
      <c r="M284" s="15"/>
      <c r="N284" s="15" t="s">
        <v>24</v>
      </c>
      <c r="O284" s="15" t="s">
        <v>60</v>
      </c>
    </row>
    <row r="285">
      <c r="A285" s="18" t="s">
        <v>7498</v>
      </c>
      <c r="B285" s="15" t="s">
        <v>8169</v>
      </c>
      <c r="C285" s="37">
        <v>45761.0</v>
      </c>
      <c r="D285" s="37">
        <v>45761.0</v>
      </c>
      <c r="E285" s="38" t="s">
        <v>8170</v>
      </c>
      <c r="F285" s="38" t="s">
        <v>7537</v>
      </c>
      <c r="G285" s="39">
        <v>16446.0</v>
      </c>
      <c r="H285" s="40"/>
      <c r="I285" s="46">
        <v>109.0</v>
      </c>
      <c r="J285" s="15"/>
      <c r="K285" s="15"/>
      <c r="L285" s="15" t="s">
        <v>123</v>
      </c>
      <c r="M285" s="47" t="s">
        <v>8171</v>
      </c>
      <c r="N285" s="15" t="s">
        <v>24</v>
      </c>
      <c r="O285" s="15" t="s">
        <v>60</v>
      </c>
    </row>
    <row r="286">
      <c r="A286" s="18" t="s">
        <v>7498</v>
      </c>
      <c r="B286" s="15" t="s">
        <v>8172</v>
      </c>
      <c r="C286" s="37">
        <v>45761.0</v>
      </c>
      <c r="D286" s="37">
        <v>45761.0</v>
      </c>
      <c r="E286" s="38" t="s">
        <v>8173</v>
      </c>
      <c r="F286" s="38" t="s">
        <v>8174</v>
      </c>
      <c r="G286" s="39">
        <v>16209.0</v>
      </c>
      <c r="H286" s="44"/>
      <c r="I286" s="42" t="s">
        <v>21</v>
      </c>
      <c r="J286" s="15"/>
      <c r="K286" s="15"/>
      <c r="L286" s="18" t="s">
        <v>23</v>
      </c>
      <c r="M286" s="15"/>
      <c r="N286" s="15" t="s">
        <v>24</v>
      </c>
      <c r="O286" s="15" t="s">
        <v>25</v>
      </c>
    </row>
    <row r="287">
      <c r="A287" s="18" t="s">
        <v>7498</v>
      </c>
      <c r="B287" s="15" t="s">
        <v>8175</v>
      </c>
      <c r="C287" s="37">
        <v>45761.0</v>
      </c>
      <c r="D287" s="37">
        <v>45761.0</v>
      </c>
      <c r="E287" s="38" t="s">
        <v>8176</v>
      </c>
      <c r="F287" s="38" t="s">
        <v>8174</v>
      </c>
      <c r="G287" s="39">
        <v>16209.0</v>
      </c>
      <c r="H287" s="44"/>
      <c r="I287" s="42" t="s">
        <v>8177</v>
      </c>
      <c r="J287" s="15"/>
      <c r="K287" s="15"/>
      <c r="L287" s="18" t="s">
        <v>23</v>
      </c>
      <c r="M287" s="15"/>
      <c r="N287" s="15" t="s">
        <v>24</v>
      </c>
      <c r="O287" s="15" t="s">
        <v>25</v>
      </c>
    </row>
    <row r="288">
      <c r="A288" s="18" t="s">
        <v>7498</v>
      </c>
      <c r="B288" s="15" t="s">
        <v>8178</v>
      </c>
      <c r="C288" s="37">
        <v>45761.0</v>
      </c>
      <c r="D288" s="37">
        <v>45761.0</v>
      </c>
      <c r="E288" s="38" t="s">
        <v>8179</v>
      </c>
      <c r="F288" s="38" t="s">
        <v>7537</v>
      </c>
      <c r="G288" s="39">
        <v>16446.0</v>
      </c>
      <c r="H288" s="40"/>
      <c r="I288" s="46">
        <v>292.0</v>
      </c>
      <c r="J288" s="15"/>
      <c r="K288" s="15"/>
      <c r="L288" s="15" t="s">
        <v>123</v>
      </c>
      <c r="M288" s="47" t="s">
        <v>8180</v>
      </c>
      <c r="N288" s="15" t="s">
        <v>24</v>
      </c>
      <c r="O288" s="15" t="s">
        <v>60</v>
      </c>
    </row>
    <row r="289">
      <c r="A289" s="18" t="s">
        <v>7498</v>
      </c>
      <c r="B289" s="15" t="s">
        <v>8181</v>
      </c>
      <c r="C289" s="37">
        <v>45761.0</v>
      </c>
      <c r="D289" s="37">
        <v>45761.0</v>
      </c>
      <c r="E289" s="38" t="s">
        <v>8182</v>
      </c>
      <c r="F289" s="38" t="s">
        <v>7537</v>
      </c>
      <c r="G289" s="39">
        <v>16446.0</v>
      </c>
      <c r="H289" s="40"/>
      <c r="I289" s="46">
        <v>282.0</v>
      </c>
      <c r="J289" s="15"/>
      <c r="K289" s="15"/>
      <c r="L289" s="15" t="s">
        <v>127</v>
      </c>
      <c r="M289" s="15"/>
      <c r="N289" s="15" t="s">
        <v>24</v>
      </c>
      <c r="O289" s="15" t="s">
        <v>60</v>
      </c>
    </row>
    <row r="290">
      <c r="A290" s="18" t="s">
        <v>7498</v>
      </c>
      <c r="B290" s="15" t="s">
        <v>8183</v>
      </c>
      <c r="C290" s="37">
        <v>45762.0</v>
      </c>
      <c r="D290" s="37">
        <v>45762.0</v>
      </c>
      <c r="E290" s="38" t="s">
        <v>8184</v>
      </c>
      <c r="F290" s="38" t="s">
        <v>7544</v>
      </c>
      <c r="G290" s="39">
        <v>16446.0</v>
      </c>
      <c r="H290" s="40"/>
      <c r="I290" s="46">
        <v>406.0</v>
      </c>
      <c r="J290" s="15"/>
      <c r="K290" s="15"/>
      <c r="L290" s="15" t="s">
        <v>123</v>
      </c>
      <c r="M290" s="48">
        <v>208.0</v>
      </c>
      <c r="N290" s="15" t="s">
        <v>24</v>
      </c>
      <c r="O290" s="15" t="s">
        <v>60</v>
      </c>
    </row>
    <row r="291">
      <c r="A291" s="18" t="s">
        <v>7498</v>
      </c>
      <c r="B291" s="15" t="s">
        <v>8185</v>
      </c>
      <c r="C291" s="37">
        <v>45762.0</v>
      </c>
      <c r="D291" s="37">
        <v>45762.0</v>
      </c>
      <c r="E291" s="38" t="s">
        <v>8186</v>
      </c>
      <c r="F291" s="38" t="s">
        <v>7544</v>
      </c>
      <c r="G291" s="39">
        <v>16446.0</v>
      </c>
      <c r="H291" s="40"/>
      <c r="I291" s="46">
        <v>640.0</v>
      </c>
      <c r="J291" s="15"/>
      <c r="K291" s="15"/>
      <c r="L291" s="15" t="s">
        <v>127</v>
      </c>
      <c r="M291" s="15" t="s">
        <v>8187</v>
      </c>
      <c r="N291" s="15" t="s">
        <v>24</v>
      </c>
      <c r="O291" s="15" t="s">
        <v>60</v>
      </c>
    </row>
    <row r="292">
      <c r="A292" s="18" t="s">
        <v>7498</v>
      </c>
      <c r="B292" s="15" t="s">
        <v>8188</v>
      </c>
      <c r="C292" s="37">
        <v>45762.0</v>
      </c>
      <c r="D292" s="37">
        <v>45762.0</v>
      </c>
      <c r="E292" s="38" t="s">
        <v>8189</v>
      </c>
      <c r="F292" s="38" t="s">
        <v>7544</v>
      </c>
      <c r="G292" s="39">
        <v>16446.0</v>
      </c>
      <c r="H292" s="40"/>
      <c r="I292" s="46">
        <v>320.0</v>
      </c>
      <c r="J292" s="15"/>
      <c r="K292" s="15"/>
      <c r="L292" s="15" t="s">
        <v>127</v>
      </c>
      <c r="M292" s="15"/>
      <c r="N292" s="15" t="s">
        <v>24</v>
      </c>
      <c r="O292" s="15" t="s">
        <v>60</v>
      </c>
    </row>
    <row r="293">
      <c r="A293" s="18" t="s">
        <v>7498</v>
      </c>
      <c r="B293" s="15" t="s">
        <v>8190</v>
      </c>
      <c r="C293" s="37">
        <v>45762.0</v>
      </c>
      <c r="D293" s="37">
        <v>45762.0</v>
      </c>
      <c r="E293" s="38" t="s">
        <v>8191</v>
      </c>
      <c r="F293" s="38" t="s">
        <v>7544</v>
      </c>
      <c r="G293" s="39">
        <v>16446.0</v>
      </c>
      <c r="H293" s="40"/>
      <c r="I293" s="46">
        <v>250.0</v>
      </c>
      <c r="J293" s="15"/>
      <c r="K293" s="15"/>
      <c r="L293" s="15" t="s">
        <v>127</v>
      </c>
      <c r="M293" s="15" t="s">
        <v>8192</v>
      </c>
      <c r="N293" s="15" t="s">
        <v>24</v>
      </c>
      <c r="O293" s="15" t="s">
        <v>60</v>
      </c>
    </row>
    <row r="294">
      <c r="A294" s="18" t="s">
        <v>7498</v>
      </c>
      <c r="B294" s="15" t="s">
        <v>8193</v>
      </c>
      <c r="C294" s="37">
        <v>45762.0</v>
      </c>
      <c r="D294" s="37">
        <v>45762.0</v>
      </c>
      <c r="E294" s="38" t="s">
        <v>8194</v>
      </c>
      <c r="F294" s="38" t="s">
        <v>7857</v>
      </c>
      <c r="G294" s="39">
        <v>4430.0</v>
      </c>
      <c r="H294" s="44"/>
      <c r="I294" s="42" t="s">
        <v>8195</v>
      </c>
      <c r="J294" s="15"/>
      <c r="K294" s="15"/>
      <c r="L294" s="18" t="s">
        <v>23</v>
      </c>
      <c r="M294" s="15"/>
      <c r="N294" s="15" t="s">
        <v>24</v>
      </c>
      <c r="O294" s="15" t="s">
        <v>25</v>
      </c>
    </row>
    <row r="295">
      <c r="A295" s="18" t="s">
        <v>7498</v>
      </c>
      <c r="B295" s="15" t="s">
        <v>8196</v>
      </c>
      <c r="C295" s="37">
        <v>45762.0</v>
      </c>
      <c r="D295" s="37">
        <v>45762.0</v>
      </c>
      <c r="E295" s="38" t="s">
        <v>8197</v>
      </c>
      <c r="F295" s="38" t="s">
        <v>7857</v>
      </c>
      <c r="G295" s="39">
        <v>4430.0</v>
      </c>
      <c r="H295" s="44"/>
      <c r="I295" s="42" t="s">
        <v>8195</v>
      </c>
      <c r="J295" s="15"/>
      <c r="K295" s="15"/>
      <c r="L295" s="18" t="s">
        <v>23</v>
      </c>
      <c r="M295" s="15"/>
      <c r="N295" s="15" t="s">
        <v>24</v>
      </c>
      <c r="O295" s="15" t="s">
        <v>25</v>
      </c>
    </row>
    <row r="296">
      <c r="A296" s="18" t="s">
        <v>7498</v>
      </c>
      <c r="B296" s="15" t="s">
        <v>8198</v>
      </c>
      <c r="C296" s="37">
        <v>45763.0</v>
      </c>
      <c r="D296" s="37">
        <v>45763.0</v>
      </c>
      <c r="E296" s="38" t="s">
        <v>8199</v>
      </c>
      <c r="F296" s="38" t="s">
        <v>7857</v>
      </c>
      <c r="G296" s="39">
        <v>4430.0</v>
      </c>
      <c r="H296" s="40"/>
      <c r="I296" s="46">
        <v>10000.0</v>
      </c>
      <c r="J296" s="15"/>
      <c r="K296" s="15"/>
      <c r="L296" s="18" t="s">
        <v>23</v>
      </c>
      <c r="M296" s="15"/>
      <c r="N296" s="15" t="s">
        <v>24</v>
      </c>
      <c r="O296" s="15" t="s">
        <v>25</v>
      </c>
    </row>
    <row r="297">
      <c r="A297" s="18" t="s">
        <v>7498</v>
      </c>
      <c r="B297" s="15" t="s">
        <v>8200</v>
      </c>
      <c r="C297" s="37">
        <v>45763.0</v>
      </c>
      <c r="D297" s="37">
        <v>45763.0</v>
      </c>
      <c r="E297" s="38" t="s">
        <v>8201</v>
      </c>
      <c r="F297" s="38" t="s">
        <v>8202</v>
      </c>
      <c r="G297" s="39">
        <v>99922.0</v>
      </c>
      <c r="H297" s="49">
        <v>1066619.0</v>
      </c>
      <c r="I297" s="40"/>
      <c r="J297" s="15"/>
      <c r="K297" s="15"/>
      <c r="L297" s="15" t="s">
        <v>113</v>
      </c>
      <c r="M297" s="15"/>
      <c r="N297" s="15" t="s">
        <v>114</v>
      </c>
      <c r="O297" s="15" t="s">
        <v>7513</v>
      </c>
    </row>
    <row r="298">
      <c r="A298" s="18" t="s">
        <v>7498</v>
      </c>
      <c r="B298" s="15" t="s">
        <v>8203</v>
      </c>
      <c r="C298" s="37">
        <v>45763.0</v>
      </c>
      <c r="D298" s="37">
        <v>45763.0</v>
      </c>
      <c r="E298" s="38" t="s">
        <v>8204</v>
      </c>
      <c r="F298" s="38" t="s">
        <v>7557</v>
      </c>
      <c r="G298" s="39">
        <v>16446.0</v>
      </c>
      <c r="H298" s="40"/>
      <c r="I298" s="46">
        <v>712.0</v>
      </c>
      <c r="J298" s="15"/>
      <c r="K298" s="15"/>
      <c r="L298" s="15" t="s">
        <v>123</v>
      </c>
      <c r="M298" s="47" t="s">
        <v>8028</v>
      </c>
      <c r="N298" s="15" t="s">
        <v>24</v>
      </c>
      <c r="O298" s="15" t="s">
        <v>60</v>
      </c>
    </row>
    <row r="299">
      <c r="A299" s="18" t="s">
        <v>7498</v>
      </c>
      <c r="B299" s="15" t="s">
        <v>8205</v>
      </c>
      <c r="C299" s="37">
        <v>45763.0</v>
      </c>
      <c r="D299" s="37">
        <v>45763.0</v>
      </c>
      <c r="E299" s="38" t="s">
        <v>8206</v>
      </c>
      <c r="F299" s="38" t="s">
        <v>7557</v>
      </c>
      <c r="G299" s="39">
        <v>16446.0</v>
      </c>
      <c r="H299" s="40"/>
      <c r="I299" s="46">
        <v>1244.0</v>
      </c>
      <c r="J299" s="15"/>
      <c r="K299" s="15"/>
      <c r="L299" s="15" t="s">
        <v>123</v>
      </c>
      <c r="M299" s="18" t="s">
        <v>8207</v>
      </c>
      <c r="N299" s="15" t="s">
        <v>24</v>
      </c>
      <c r="O299" s="15" t="s">
        <v>60</v>
      </c>
    </row>
    <row r="300">
      <c r="A300" s="18" t="s">
        <v>7498</v>
      </c>
      <c r="B300" s="15" t="s">
        <v>8208</v>
      </c>
      <c r="C300" s="37">
        <v>45764.0</v>
      </c>
      <c r="D300" s="37">
        <v>45764.0</v>
      </c>
      <c r="E300" s="38" t="s">
        <v>8209</v>
      </c>
      <c r="F300" s="38" t="s">
        <v>8210</v>
      </c>
      <c r="G300" s="39">
        <v>4430.0</v>
      </c>
      <c r="H300" s="44"/>
      <c r="I300" s="42" t="s">
        <v>8211</v>
      </c>
      <c r="J300" s="15"/>
      <c r="K300" s="15"/>
      <c r="L300" s="18" t="s">
        <v>23</v>
      </c>
      <c r="M300" s="15"/>
      <c r="N300" s="15" t="s">
        <v>24</v>
      </c>
      <c r="O300" s="15" t="s">
        <v>25</v>
      </c>
    </row>
    <row r="301">
      <c r="A301" s="18" t="s">
        <v>7498</v>
      </c>
      <c r="B301" s="15" t="s">
        <v>8212</v>
      </c>
      <c r="C301" s="37">
        <v>45764.0</v>
      </c>
      <c r="D301" s="37">
        <v>45764.0</v>
      </c>
      <c r="E301" s="38" t="s">
        <v>8213</v>
      </c>
      <c r="F301" s="38" t="s">
        <v>8214</v>
      </c>
      <c r="G301" s="39">
        <v>99922.0</v>
      </c>
      <c r="H301" s="45" t="s">
        <v>8215</v>
      </c>
      <c r="I301" s="40"/>
      <c r="J301" s="15"/>
      <c r="K301" s="15"/>
      <c r="L301" s="15" t="s">
        <v>113</v>
      </c>
      <c r="M301" s="15"/>
      <c r="N301" s="15" t="s">
        <v>114</v>
      </c>
      <c r="O301" s="15" t="s">
        <v>7513</v>
      </c>
    </row>
    <row r="302">
      <c r="A302" s="18" t="s">
        <v>7498</v>
      </c>
      <c r="B302" s="15" t="s">
        <v>8216</v>
      </c>
      <c r="C302" s="37">
        <v>45764.0</v>
      </c>
      <c r="D302" s="37">
        <v>45764.0</v>
      </c>
      <c r="E302" s="38" t="s">
        <v>8217</v>
      </c>
      <c r="F302" s="38" t="s">
        <v>7580</v>
      </c>
      <c r="G302" s="39">
        <v>16446.0</v>
      </c>
      <c r="H302" s="40"/>
      <c r="I302" s="46">
        <v>220.0</v>
      </c>
      <c r="J302" s="15"/>
      <c r="K302" s="15"/>
      <c r="L302" s="15" t="s">
        <v>127</v>
      </c>
      <c r="M302" s="15"/>
      <c r="N302" s="15" t="s">
        <v>24</v>
      </c>
      <c r="O302" s="15" t="s">
        <v>60</v>
      </c>
    </row>
    <row r="303">
      <c r="A303" s="18" t="s">
        <v>7498</v>
      </c>
      <c r="B303" s="15" t="s">
        <v>8218</v>
      </c>
      <c r="C303" s="37">
        <v>45764.0</v>
      </c>
      <c r="D303" s="37">
        <v>45764.0</v>
      </c>
      <c r="E303" s="38" t="s">
        <v>8219</v>
      </c>
      <c r="F303" s="38" t="s">
        <v>7580</v>
      </c>
      <c r="G303" s="39">
        <v>16446.0</v>
      </c>
      <c r="H303" s="40"/>
      <c r="I303" s="46">
        <v>373.0</v>
      </c>
      <c r="J303" s="15"/>
      <c r="K303" s="15"/>
      <c r="L303" s="15" t="s">
        <v>127</v>
      </c>
      <c r="M303" s="15"/>
      <c r="N303" s="15" t="s">
        <v>24</v>
      </c>
      <c r="O303" s="15" t="s">
        <v>60</v>
      </c>
    </row>
    <row r="304">
      <c r="A304" s="18" t="s">
        <v>7498</v>
      </c>
      <c r="B304" s="15" t="s">
        <v>8220</v>
      </c>
      <c r="C304" s="37">
        <v>45765.0</v>
      </c>
      <c r="D304" s="37">
        <v>45765.0</v>
      </c>
      <c r="E304" s="38" t="s">
        <v>8221</v>
      </c>
      <c r="F304" s="38" t="s">
        <v>7508</v>
      </c>
      <c r="G304" s="39">
        <v>16446.0</v>
      </c>
      <c r="H304" s="40"/>
      <c r="I304" s="46">
        <v>735.0</v>
      </c>
      <c r="J304" s="15"/>
      <c r="K304" s="15"/>
      <c r="L304" s="15" t="s">
        <v>127</v>
      </c>
      <c r="M304" s="18" t="s">
        <v>8222</v>
      </c>
      <c r="N304" s="15" t="s">
        <v>24</v>
      </c>
      <c r="O304" s="15" t="s">
        <v>60</v>
      </c>
    </row>
    <row r="305">
      <c r="A305" s="18" t="s">
        <v>7498</v>
      </c>
      <c r="B305" s="15" t="s">
        <v>8223</v>
      </c>
      <c r="C305" s="37">
        <v>45765.0</v>
      </c>
      <c r="D305" s="37">
        <v>45765.0</v>
      </c>
      <c r="E305" s="38" t="s">
        <v>8224</v>
      </c>
      <c r="F305" s="38" t="s">
        <v>7508</v>
      </c>
      <c r="G305" s="39">
        <v>16446.0</v>
      </c>
      <c r="H305" s="40"/>
      <c r="I305" s="46">
        <v>2000.0</v>
      </c>
      <c r="J305" s="15"/>
      <c r="K305" s="15"/>
      <c r="L305" s="15" t="s">
        <v>127</v>
      </c>
      <c r="M305" s="15" t="s">
        <v>8225</v>
      </c>
      <c r="N305" s="15" t="s">
        <v>24</v>
      </c>
      <c r="O305" s="15" t="s">
        <v>60</v>
      </c>
    </row>
    <row r="306">
      <c r="A306" s="18" t="s">
        <v>7498</v>
      </c>
      <c r="B306" s="15" t="s">
        <v>8226</v>
      </c>
      <c r="C306" s="37">
        <v>45765.0</v>
      </c>
      <c r="D306" s="37">
        <v>45765.0</v>
      </c>
      <c r="E306" s="38" t="s">
        <v>8227</v>
      </c>
      <c r="F306" s="38" t="s">
        <v>7508</v>
      </c>
      <c r="G306" s="39">
        <v>16446.0</v>
      </c>
      <c r="H306" s="40"/>
      <c r="I306" s="46">
        <v>500.0</v>
      </c>
      <c r="J306" s="15"/>
      <c r="K306" s="15"/>
      <c r="L306" s="15" t="s">
        <v>127</v>
      </c>
      <c r="M306" s="15" t="s">
        <v>8228</v>
      </c>
      <c r="N306" s="15" t="s">
        <v>24</v>
      </c>
      <c r="O306" s="15" t="s">
        <v>60</v>
      </c>
    </row>
    <row r="307">
      <c r="A307" s="18" t="s">
        <v>7498</v>
      </c>
      <c r="B307" s="15" t="s">
        <v>8229</v>
      </c>
      <c r="C307" s="37">
        <v>45766.0</v>
      </c>
      <c r="D307" s="37">
        <v>45766.0</v>
      </c>
      <c r="E307" s="38" t="s">
        <v>8230</v>
      </c>
      <c r="F307" s="38" t="s">
        <v>7857</v>
      </c>
      <c r="G307" s="39">
        <v>4430.0</v>
      </c>
      <c r="H307" s="40"/>
      <c r="I307" s="46">
        <v>3046.0</v>
      </c>
      <c r="J307" s="15"/>
      <c r="K307" s="15"/>
      <c r="L307" s="15" t="s">
        <v>127</v>
      </c>
      <c r="M307" s="15" t="s">
        <v>8231</v>
      </c>
      <c r="N307" s="15" t="s">
        <v>24</v>
      </c>
      <c r="O307" s="15" t="s">
        <v>60</v>
      </c>
    </row>
    <row r="308">
      <c r="A308" s="18" t="s">
        <v>7498</v>
      </c>
      <c r="B308" s="15" t="s">
        <v>8232</v>
      </c>
      <c r="C308" s="37">
        <v>45766.0</v>
      </c>
      <c r="D308" s="37">
        <v>45766.0</v>
      </c>
      <c r="E308" s="38" t="s">
        <v>8233</v>
      </c>
      <c r="F308" s="38" t="s">
        <v>7534</v>
      </c>
      <c r="G308" s="39">
        <v>16446.0</v>
      </c>
      <c r="H308" s="40"/>
      <c r="I308" s="46">
        <v>560.0</v>
      </c>
      <c r="J308" s="15"/>
      <c r="K308" s="15"/>
      <c r="L308" s="15" t="s">
        <v>7948</v>
      </c>
      <c r="M308" s="15"/>
      <c r="N308" s="15" t="s">
        <v>24</v>
      </c>
      <c r="O308" s="15" t="s">
        <v>60</v>
      </c>
    </row>
    <row r="309">
      <c r="A309" s="18" t="s">
        <v>7498</v>
      </c>
      <c r="B309" s="15" t="s">
        <v>8234</v>
      </c>
      <c r="C309" s="37">
        <v>45766.0</v>
      </c>
      <c r="D309" s="37">
        <v>45766.0</v>
      </c>
      <c r="E309" s="38" t="s">
        <v>8235</v>
      </c>
      <c r="F309" s="38" t="s">
        <v>7534</v>
      </c>
      <c r="G309" s="39">
        <v>16446.0</v>
      </c>
      <c r="H309" s="40"/>
      <c r="I309" s="46">
        <v>356.0</v>
      </c>
      <c r="J309" s="15"/>
      <c r="K309" s="15"/>
      <c r="L309" s="15" t="s">
        <v>127</v>
      </c>
      <c r="M309" s="15" t="s">
        <v>8236</v>
      </c>
      <c r="N309" s="15" t="s">
        <v>24</v>
      </c>
      <c r="O309" s="15" t="s">
        <v>60</v>
      </c>
    </row>
    <row r="310">
      <c r="A310" s="18" t="s">
        <v>7498</v>
      </c>
      <c r="B310" s="15" t="s">
        <v>8237</v>
      </c>
      <c r="C310" s="37">
        <v>45767.0</v>
      </c>
      <c r="D310" s="37">
        <v>45767.0</v>
      </c>
      <c r="E310" s="38" t="s">
        <v>8238</v>
      </c>
      <c r="F310" s="38" t="s">
        <v>7567</v>
      </c>
      <c r="G310" s="39">
        <v>16446.0</v>
      </c>
      <c r="H310" s="40"/>
      <c r="I310" s="46">
        <v>496.0</v>
      </c>
      <c r="J310" s="15"/>
      <c r="K310" s="15"/>
      <c r="L310" s="15" t="s">
        <v>127</v>
      </c>
      <c r="M310" s="15" t="s">
        <v>262</v>
      </c>
      <c r="N310" s="15" t="s">
        <v>24</v>
      </c>
      <c r="O310" s="15" t="s">
        <v>60</v>
      </c>
    </row>
    <row r="311">
      <c r="A311" s="18" t="s">
        <v>7498</v>
      </c>
      <c r="B311" s="15" t="s">
        <v>8239</v>
      </c>
      <c r="C311" s="37">
        <v>45767.0</v>
      </c>
      <c r="D311" s="37">
        <v>45767.0</v>
      </c>
      <c r="E311" s="38" t="s">
        <v>8240</v>
      </c>
      <c r="F311" s="38" t="s">
        <v>7567</v>
      </c>
      <c r="G311" s="39">
        <v>16446.0</v>
      </c>
      <c r="H311" s="40"/>
      <c r="I311" s="46">
        <v>368.0</v>
      </c>
      <c r="J311" s="15"/>
      <c r="K311" s="15"/>
      <c r="L311" s="15" t="s">
        <v>127</v>
      </c>
      <c r="M311" s="15" t="s">
        <v>8241</v>
      </c>
      <c r="N311" s="15" t="s">
        <v>24</v>
      </c>
      <c r="O311" s="15" t="s">
        <v>60</v>
      </c>
    </row>
    <row r="312">
      <c r="A312" s="18" t="s">
        <v>7498</v>
      </c>
      <c r="B312" s="15" t="s">
        <v>8242</v>
      </c>
      <c r="C312" s="37">
        <v>45767.0</v>
      </c>
      <c r="D312" s="37">
        <v>45767.0</v>
      </c>
      <c r="E312" s="38" t="s">
        <v>8243</v>
      </c>
      <c r="F312" s="38" t="s">
        <v>7567</v>
      </c>
      <c r="G312" s="39">
        <v>16446.0</v>
      </c>
      <c r="H312" s="40"/>
      <c r="I312" s="46">
        <v>240.0</v>
      </c>
      <c r="J312" s="15"/>
      <c r="K312" s="15"/>
      <c r="L312" s="15" t="s">
        <v>127</v>
      </c>
      <c r="M312" s="15" t="s">
        <v>8244</v>
      </c>
      <c r="N312" s="15" t="s">
        <v>24</v>
      </c>
      <c r="O312" s="15" t="s">
        <v>60</v>
      </c>
    </row>
    <row r="313">
      <c r="A313" s="18" t="s">
        <v>7498</v>
      </c>
      <c r="B313" s="15" t="s">
        <v>8245</v>
      </c>
      <c r="C313" s="37">
        <v>45767.0</v>
      </c>
      <c r="D313" s="37">
        <v>45767.0</v>
      </c>
      <c r="E313" s="38" t="s">
        <v>8246</v>
      </c>
      <c r="F313" s="38" t="s">
        <v>7567</v>
      </c>
      <c r="G313" s="39">
        <v>16446.0</v>
      </c>
      <c r="H313" s="40"/>
      <c r="I313" s="46">
        <v>868.0</v>
      </c>
      <c r="J313" s="15"/>
      <c r="K313" s="15"/>
      <c r="L313" s="15" t="s">
        <v>123</v>
      </c>
      <c r="M313" s="47" t="s">
        <v>8247</v>
      </c>
      <c r="N313" s="15" t="s">
        <v>24</v>
      </c>
      <c r="O313" s="15" t="s">
        <v>60</v>
      </c>
    </row>
    <row r="314">
      <c r="A314" s="18" t="s">
        <v>7498</v>
      </c>
      <c r="B314" s="15" t="s">
        <v>8248</v>
      </c>
      <c r="C314" s="37">
        <v>45767.0</v>
      </c>
      <c r="D314" s="37">
        <v>45767.0</v>
      </c>
      <c r="E314" s="38" t="s">
        <v>8249</v>
      </c>
      <c r="F314" s="38" t="s">
        <v>7567</v>
      </c>
      <c r="G314" s="39">
        <v>16446.0</v>
      </c>
      <c r="H314" s="40"/>
      <c r="I314" s="46">
        <v>680.0</v>
      </c>
      <c r="J314" s="15"/>
      <c r="K314" s="15"/>
      <c r="L314" s="15" t="s">
        <v>127</v>
      </c>
      <c r="M314" s="15" t="s">
        <v>8250</v>
      </c>
      <c r="N314" s="15" t="s">
        <v>24</v>
      </c>
      <c r="O314" s="15" t="s">
        <v>60</v>
      </c>
    </row>
    <row r="315">
      <c r="A315" s="18" t="s">
        <v>7498</v>
      </c>
      <c r="B315" s="15" t="s">
        <v>8251</v>
      </c>
      <c r="C315" s="37">
        <v>45767.0</v>
      </c>
      <c r="D315" s="37">
        <v>45767.0</v>
      </c>
      <c r="E315" s="38" t="s">
        <v>8252</v>
      </c>
      <c r="F315" s="38" t="s">
        <v>7567</v>
      </c>
      <c r="G315" s="39">
        <v>16446.0</v>
      </c>
      <c r="H315" s="40"/>
      <c r="I315" s="46">
        <v>288.0</v>
      </c>
      <c r="J315" s="15"/>
      <c r="K315" s="15"/>
      <c r="L315" s="15" t="s">
        <v>127</v>
      </c>
      <c r="M315" s="15" t="s">
        <v>8253</v>
      </c>
      <c r="N315" s="15" t="s">
        <v>24</v>
      </c>
      <c r="O315" s="15" t="s">
        <v>60</v>
      </c>
    </row>
    <row r="316">
      <c r="A316" s="18" t="s">
        <v>7498</v>
      </c>
      <c r="B316" s="15" t="s">
        <v>8254</v>
      </c>
      <c r="C316" s="37">
        <v>45767.0</v>
      </c>
      <c r="D316" s="37">
        <v>45767.0</v>
      </c>
      <c r="E316" s="38" t="s">
        <v>8255</v>
      </c>
      <c r="F316" s="38" t="s">
        <v>7567</v>
      </c>
      <c r="G316" s="39">
        <v>16446.0</v>
      </c>
      <c r="H316" s="40"/>
      <c r="I316" s="46">
        <v>662.0</v>
      </c>
      <c r="J316" s="15"/>
      <c r="K316" s="15"/>
      <c r="L316" s="15" t="s">
        <v>7948</v>
      </c>
      <c r="M316" s="15"/>
      <c r="N316" s="15" t="s">
        <v>24</v>
      </c>
      <c r="O316" s="15" t="s">
        <v>60</v>
      </c>
    </row>
    <row r="317">
      <c r="A317" s="18" t="s">
        <v>7498</v>
      </c>
      <c r="B317" s="15" t="s">
        <v>8256</v>
      </c>
      <c r="C317" s="37">
        <v>45767.0</v>
      </c>
      <c r="D317" s="37">
        <v>45767.0</v>
      </c>
      <c r="E317" s="38" t="s">
        <v>8257</v>
      </c>
      <c r="F317" s="38" t="s">
        <v>7567</v>
      </c>
      <c r="G317" s="39">
        <v>16446.0</v>
      </c>
      <c r="H317" s="40"/>
      <c r="I317" s="46">
        <v>675.0</v>
      </c>
      <c r="J317" s="15"/>
      <c r="K317" s="15"/>
      <c r="L317" s="15" t="s">
        <v>127</v>
      </c>
      <c r="M317" s="15" t="s">
        <v>8258</v>
      </c>
      <c r="N317" s="15" t="s">
        <v>24</v>
      </c>
      <c r="O317" s="15" t="s">
        <v>60</v>
      </c>
    </row>
    <row r="318">
      <c r="A318" s="18" t="s">
        <v>7498</v>
      </c>
      <c r="B318" s="15" t="s">
        <v>8259</v>
      </c>
      <c r="C318" s="37">
        <v>45768.0</v>
      </c>
      <c r="D318" s="37">
        <v>45768.0</v>
      </c>
      <c r="E318" s="38" t="s">
        <v>8260</v>
      </c>
      <c r="F318" s="38" t="s">
        <v>7537</v>
      </c>
      <c r="G318" s="39">
        <v>16446.0</v>
      </c>
      <c r="H318" s="40"/>
      <c r="I318" s="46">
        <v>448.0</v>
      </c>
      <c r="J318" s="15"/>
      <c r="K318" s="15"/>
      <c r="L318" s="15" t="s">
        <v>127</v>
      </c>
      <c r="M318" s="15" t="s">
        <v>8261</v>
      </c>
      <c r="N318" s="15" t="s">
        <v>24</v>
      </c>
      <c r="O318" s="15" t="s">
        <v>60</v>
      </c>
    </row>
    <row r="319">
      <c r="A319" s="18" t="s">
        <v>7498</v>
      </c>
      <c r="B319" s="15" t="s">
        <v>8262</v>
      </c>
      <c r="C319" s="37">
        <v>45768.0</v>
      </c>
      <c r="D319" s="37">
        <v>45768.0</v>
      </c>
      <c r="E319" s="38" t="s">
        <v>8263</v>
      </c>
      <c r="F319" s="38" t="s">
        <v>7537</v>
      </c>
      <c r="G319" s="39">
        <v>16446.0</v>
      </c>
      <c r="H319" s="40"/>
      <c r="I319" s="46">
        <v>208.0</v>
      </c>
      <c r="J319" s="15"/>
      <c r="K319" s="15"/>
      <c r="L319" s="15" t="s">
        <v>127</v>
      </c>
      <c r="M319" s="15" t="s">
        <v>8264</v>
      </c>
      <c r="N319" s="15" t="s">
        <v>24</v>
      </c>
      <c r="O319" s="15" t="s">
        <v>60</v>
      </c>
    </row>
    <row r="320">
      <c r="A320" s="18" t="s">
        <v>7498</v>
      </c>
      <c r="B320" s="15" t="s">
        <v>8265</v>
      </c>
      <c r="C320" s="37">
        <v>45768.0</v>
      </c>
      <c r="D320" s="37">
        <v>45768.0</v>
      </c>
      <c r="E320" s="38" t="s">
        <v>8266</v>
      </c>
      <c r="F320" s="38" t="s">
        <v>7537</v>
      </c>
      <c r="G320" s="39">
        <v>16446.0</v>
      </c>
      <c r="H320" s="40"/>
      <c r="I320" s="46">
        <v>804.0</v>
      </c>
      <c r="J320" s="15"/>
      <c r="K320" s="15"/>
      <c r="L320" s="15" t="s">
        <v>127</v>
      </c>
      <c r="M320" s="15" t="s">
        <v>286</v>
      </c>
      <c r="N320" s="15" t="s">
        <v>24</v>
      </c>
      <c r="O320" s="15" t="s">
        <v>60</v>
      </c>
    </row>
    <row r="321">
      <c r="A321" s="18" t="s">
        <v>7498</v>
      </c>
      <c r="B321" s="15" t="s">
        <v>8267</v>
      </c>
      <c r="C321" s="37">
        <v>45768.0</v>
      </c>
      <c r="D321" s="37">
        <v>45768.0</v>
      </c>
      <c r="E321" s="38" t="s">
        <v>8268</v>
      </c>
      <c r="F321" s="38" t="s">
        <v>7537</v>
      </c>
      <c r="G321" s="39">
        <v>16446.0</v>
      </c>
      <c r="H321" s="40"/>
      <c r="I321" s="46">
        <v>495.0</v>
      </c>
      <c r="J321" s="15"/>
      <c r="K321" s="15"/>
      <c r="L321" s="15" t="s">
        <v>127</v>
      </c>
      <c r="M321" s="15" t="s">
        <v>8269</v>
      </c>
      <c r="N321" s="15" t="s">
        <v>24</v>
      </c>
      <c r="O321" s="15" t="s">
        <v>60</v>
      </c>
    </row>
    <row r="322">
      <c r="A322" s="18" t="s">
        <v>7498</v>
      </c>
      <c r="B322" s="15" t="s">
        <v>8270</v>
      </c>
      <c r="C322" s="37">
        <v>45768.0</v>
      </c>
      <c r="D322" s="37">
        <v>45768.0</v>
      </c>
      <c r="E322" s="38" t="s">
        <v>8271</v>
      </c>
      <c r="F322" s="38" t="s">
        <v>7537</v>
      </c>
      <c r="G322" s="39">
        <v>16446.0</v>
      </c>
      <c r="H322" s="40"/>
      <c r="I322" s="46">
        <v>792.0</v>
      </c>
      <c r="J322" s="15"/>
      <c r="K322" s="15"/>
      <c r="L322" s="15" t="s">
        <v>127</v>
      </c>
      <c r="M322" s="15" t="s">
        <v>8272</v>
      </c>
      <c r="N322" s="15" t="s">
        <v>24</v>
      </c>
      <c r="O322" s="15" t="s">
        <v>60</v>
      </c>
    </row>
    <row r="323">
      <c r="A323" s="18" t="s">
        <v>7498</v>
      </c>
      <c r="B323" s="15" t="s">
        <v>8273</v>
      </c>
      <c r="C323" s="37">
        <v>45769.0</v>
      </c>
      <c r="D323" s="37">
        <v>45769.0</v>
      </c>
      <c r="E323" s="38" t="s">
        <v>8274</v>
      </c>
      <c r="F323" s="38" t="s">
        <v>7544</v>
      </c>
      <c r="G323" s="39">
        <v>16446.0</v>
      </c>
      <c r="H323" s="40"/>
      <c r="I323" s="46">
        <v>390.0</v>
      </c>
      <c r="J323" s="15"/>
      <c r="K323" s="15"/>
      <c r="L323" s="15" t="s">
        <v>123</v>
      </c>
      <c r="M323" s="47" t="s">
        <v>8275</v>
      </c>
      <c r="N323" s="15" t="s">
        <v>24</v>
      </c>
      <c r="O323" s="15" t="s">
        <v>60</v>
      </c>
    </row>
    <row r="324">
      <c r="A324" s="18" t="s">
        <v>7498</v>
      </c>
      <c r="B324" s="15" t="s">
        <v>8276</v>
      </c>
      <c r="C324" s="37">
        <v>45769.0</v>
      </c>
      <c r="D324" s="37">
        <v>45769.0</v>
      </c>
      <c r="E324" s="38" t="s">
        <v>8277</v>
      </c>
      <c r="F324" s="38" t="s">
        <v>7544</v>
      </c>
      <c r="G324" s="39">
        <v>16446.0</v>
      </c>
      <c r="H324" s="40"/>
      <c r="I324" s="46">
        <v>242.0</v>
      </c>
      <c r="J324" s="15"/>
      <c r="K324" s="15"/>
      <c r="L324" s="15" t="s">
        <v>127</v>
      </c>
      <c r="M324" s="15" t="s">
        <v>8278</v>
      </c>
      <c r="N324" s="15" t="s">
        <v>24</v>
      </c>
      <c r="O324" s="15" t="s">
        <v>60</v>
      </c>
    </row>
    <row r="325">
      <c r="A325" s="18" t="s">
        <v>7498</v>
      </c>
      <c r="B325" s="15" t="s">
        <v>8279</v>
      </c>
      <c r="C325" s="37">
        <v>45770.0</v>
      </c>
      <c r="D325" s="37">
        <v>45770.0</v>
      </c>
      <c r="E325" s="38" t="s">
        <v>8280</v>
      </c>
      <c r="F325" s="38" t="s">
        <v>7557</v>
      </c>
      <c r="G325" s="39">
        <v>16446.0</v>
      </c>
      <c r="H325" s="40"/>
      <c r="I325" s="46">
        <v>600.0</v>
      </c>
      <c r="J325" s="15"/>
      <c r="K325" s="15"/>
      <c r="L325" s="15" t="s">
        <v>127</v>
      </c>
      <c r="M325" s="15" t="s">
        <v>8281</v>
      </c>
      <c r="N325" s="15" t="s">
        <v>24</v>
      </c>
      <c r="O325" s="15" t="s">
        <v>60</v>
      </c>
    </row>
    <row r="326">
      <c r="A326" s="18" t="s">
        <v>7498</v>
      </c>
      <c r="B326" s="15" t="s">
        <v>8282</v>
      </c>
      <c r="C326" s="37">
        <v>45770.0</v>
      </c>
      <c r="D326" s="37">
        <v>45770.0</v>
      </c>
      <c r="E326" s="38" t="s">
        <v>8283</v>
      </c>
      <c r="F326" s="38" t="s">
        <v>7557</v>
      </c>
      <c r="G326" s="39">
        <v>16446.0</v>
      </c>
      <c r="H326" s="40"/>
      <c r="I326" s="46">
        <v>109.0</v>
      </c>
      <c r="J326" s="15"/>
      <c r="K326" s="15"/>
      <c r="L326" s="15" t="s">
        <v>123</v>
      </c>
      <c r="M326" s="47" t="s">
        <v>8284</v>
      </c>
      <c r="N326" s="15" t="s">
        <v>24</v>
      </c>
      <c r="O326" s="15" t="s">
        <v>60</v>
      </c>
    </row>
    <row r="327">
      <c r="A327" s="18" t="s">
        <v>7498</v>
      </c>
      <c r="B327" s="15" t="s">
        <v>8285</v>
      </c>
      <c r="C327" s="37">
        <v>45770.0</v>
      </c>
      <c r="D327" s="37">
        <v>45770.0</v>
      </c>
      <c r="E327" s="38" t="s">
        <v>8286</v>
      </c>
      <c r="F327" s="38" t="s">
        <v>7557</v>
      </c>
      <c r="G327" s="39">
        <v>16446.0</v>
      </c>
      <c r="H327" s="40"/>
      <c r="I327" s="46">
        <v>190.0</v>
      </c>
      <c r="J327" s="15"/>
      <c r="K327" s="15"/>
      <c r="L327" s="15" t="s">
        <v>123</v>
      </c>
      <c r="M327" s="47" t="s">
        <v>8287</v>
      </c>
      <c r="N327" s="15" t="s">
        <v>24</v>
      </c>
      <c r="O327" s="15" t="s">
        <v>60</v>
      </c>
    </row>
    <row r="328">
      <c r="A328" s="18" t="s">
        <v>7498</v>
      </c>
      <c r="B328" s="15" t="s">
        <v>8288</v>
      </c>
      <c r="C328" s="37">
        <v>45770.0</v>
      </c>
      <c r="D328" s="37">
        <v>45770.0</v>
      </c>
      <c r="E328" s="38" t="s">
        <v>8289</v>
      </c>
      <c r="F328" s="38" t="s">
        <v>7557</v>
      </c>
      <c r="G328" s="39">
        <v>16446.0</v>
      </c>
      <c r="H328" s="40"/>
      <c r="I328" s="46">
        <v>1549.0</v>
      </c>
      <c r="J328" s="15"/>
      <c r="K328" s="15"/>
      <c r="L328" s="15" t="s">
        <v>127</v>
      </c>
      <c r="M328" s="15" t="s">
        <v>8290</v>
      </c>
      <c r="N328" s="15" t="s">
        <v>24</v>
      </c>
      <c r="O328" s="15" t="s">
        <v>60</v>
      </c>
    </row>
    <row r="329">
      <c r="A329" s="18" t="s">
        <v>7498</v>
      </c>
      <c r="B329" s="15" t="s">
        <v>8291</v>
      </c>
      <c r="C329" s="37">
        <v>45770.0</v>
      </c>
      <c r="D329" s="37">
        <v>45770.0</v>
      </c>
      <c r="E329" s="38" t="s">
        <v>8292</v>
      </c>
      <c r="F329" s="38" t="s">
        <v>7557</v>
      </c>
      <c r="G329" s="39">
        <v>16446.0</v>
      </c>
      <c r="H329" s="40"/>
      <c r="I329" s="46">
        <v>334.0</v>
      </c>
      <c r="J329" s="15"/>
      <c r="K329" s="15"/>
      <c r="L329" s="15" t="s">
        <v>123</v>
      </c>
      <c r="M329" s="47" t="s">
        <v>8293</v>
      </c>
      <c r="N329" s="15" t="s">
        <v>24</v>
      </c>
      <c r="O329" s="15" t="s">
        <v>60</v>
      </c>
    </row>
    <row r="330">
      <c r="A330" s="18" t="s">
        <v>7498</v>
      </c>
      <c r="B330" s="15" t="s">
        <v>8294</v>
      </c>
      <c r="C330" s="37">
        <v>45770.0</v>
      </c>
      <c r="D330" s="37">
        <v>45770.0</v>
      </c>
      <c r="E330" s="38" t="s">
        <v>8295</v>
      </c>
      <c r="F330" s="38" t="s">
        <v>7557</v>
      </c>
      <c r="G330" s="39">
        <v>16446.0</v>
      </c>
      <c r="H330" s="40"/>
      <c r="I330" s="46">
        <v>376.0</v>
      </c>
      <c r="J330" s="15"/>
      <c r="K330" s="15"/>
      <c r="L330" s="15" t="s">
        <v>127</v>
      </c>
      <c r="M330" s="15" t="s">
        <v>8296</v>
      </c>
      <c r="N330" s="15" t="s">
        <v>24</v>
      </c>
      <c r="O330" s="15" t="s">
        <v>60</v>
      </c>
    </row>
    <row r="331">
      <c r="A331" s="18" t="s">
        <v>7498</v>
      </c>
      <c r="B331" s="15" t="s">
        <v>8297</v>
      </c>
      <c r="C331" s="37">
        <v>45770.0</v>
      </c>
      <c r="D331" s="37">
        <v>45770.0</v>
      </c>
      <c r="E331" s="38" t="s">
        <v>8298</v>
      </c>
      <c r="F331" s="38" t="s">
        <v>8299</v>
      </c>
      <c r="G331" s="39">
        <v>99922.0</v>
      </c>
      <c r="H331" s="45">
        <v>58000.0</v>
      </c>
      <c r="I331" s="40"/>
      <c r="J331" s="15"/>
      <c r="K331" s="15"/>
      <c r="L331" s="15" t="s">
        <v>119</v>
      </c>
      <c r="M331" s="15"/>
      <c r="N331" s="15" t="s">
        <v>114</v>
      </c>
      <c r="O331" s="15" t="s">
        <v>115</v>
      </c>
    </row>
    <row r="332">
      <c r="A332" s="18" t="s">
        <v>7498</v>
      </c>
      <c r="B332" s="15" t="s">
        <v>8300</v>
      </c>
      <c r="C332" s="37">
        <v>45771.0</v>
      </c>
      <c r="D332" s="37">
        <v>45771.0</v>
      </c>
      <c r="E332" s="38" t="s">
        <v>8301</v>
      </c>
      <c r="F332" s="38" t="s">
        <v>7580</v>
      </c>
      <c r="G332" s="39">
        <v>16446.0</v>
      </c>
      <c r="H332" s="40"/>
      <c r="I332" s="46">
        <v>171.0</v>
      </c>
      <c r="J332" s="15"/>
      <c r="K332" s="15"/>
      <c r="L332" s="15" t="s">
        <v>127</v>
      </c>
      <c r="M332" s="15" t="s">
        <v>8302</v>
      </c>
      <c r="N332" s="15" t="s">
        <v>24</v>
      </c>
      <c r="O332" s="15" t="s">
        <v>60</v>
      </c>
    </row>
    <row r="333">
      <c r="A333" s="18" t="s">
        <v>7498</v>
      </c>
      <c r="B333" s="15" t="s">
        <v>8303</v>
      </c>
      <c r="C333" s="37">
        <v>45771.0</v>
      </c>
      <c r="D333" s="37">
        <v>45771.0</v>
      </c>
      <c r="E333" s="38" t="s">
        <v>8304</v>
      </c>
      <c r="F333" s="38" t="s">
        <v>7580</v>
      </c>
      <c r="G333" s="39">
        <v>16446.0</v>
      </c>
      <c r="H333" s="40"/>
      <c r="I333" s="46">
        <v>800.0</v>
      </c>
      <c r="J333" s="15"/>
      <c r="K333" s="15"/>
      <c r="L333" s="15" t="s">
        <v>123</v>
      </c>
      <c r="M333" s="47" t="s">
        <v>8305</v>
      </c>
      <c r="N333" s="15" t="s">
        <v>24</v>
      </c>
      <c r="O333" s="15" t="s">
        <v>60</v>
      </c>
    </row>
    <row r="334">
      <c r="A334" s="18" t="s">
        <v>7498</v>
      </c>
      <c r="B334" s="15" t="s">
        <v>8306</v>
      </c>
      <c r="C334" s="37">
        <v>45771.0</v>
      </c>
      <c r="D334" s="37">
        <v>45771.0</v>
      </c>
      <c r="E334" s="38" t="s">
        <v>8307</v>
      </c>
      <c r="F334" s="38" t="s">
        <v>7580</v>
      </c>
      <c r="G334" s="39">
        <v>16446.0</v>
      </c>
      <c r="H334" s="40"/>
      <c r="I334" s="46">
        <v>762.0</v>
      </c>
      <c r="J334" s="15"/>
      <c r="K334" s="15"/>
      <c r="L334" s="15" t="s">
        <v>127</v>
      </c>
      <c r="M334" s="15" t="s">
        <v>761</v>
      </c>
      <c r="N334" s="15" t="s">
        <v>24</v>
      </c>
      <c r="O334" s="15" t="s">
        <v>60</v>
      </c>
    </row>
    <row r="335">
      <c r="A335" s="18" t="s">
        <v>7498</v>
      </c>
      <c r="B335" s="15" t="s">
        <v>8308</v>
      </c>
      <c r="C335" s="37">
        <v>45771.0</v>
      </c>
      <c r="D335" s="37">
        <v>45771.0</v>
      </c>
      <c r="E335" s="38" t="s">
        <v>8309</v>
      </c>
      <c r="F335" s="38" t="s">
        <v>7580</v>
      </c>
      <c r="G335" s="39">
        <v>16446.0</v>
      </c>
      <c r="H335" s="40"/>
      <c r="I335" s="46">
        <v>480.0</v>
      </c>
      <c r="J335" s="15"/>
      <c r="K335" s="15"/>
      <c r="L335" s="15" t="s">
        <v>7948</v>
      </c>
      <c r="M335" s="15"/>
      <c r="N335" s="15" t="s">
        <v>24</v>
      </c>
      <c r="O335" s="15" t="s">
        <v>60</v>
      </c>
    </row>
    <row r="336">
      <c r="A336" s="18" t="s">
        <v>7498</v>
      </c>
      <c r="B336" s="15" t="s">
        <v>8310</v>
      </c>
      <c r="C336" s="37">
        <v>45771.0</v>
      </c>
      <c r="D336" s="37">
        <v>45771.0</v>
      </c>
      <c r="E336" s="38" t="s">
        <v>8311</v>
      </c>
      <c r="F336" s="38" t="s">
        <v>7580</v>
      </c>
      <c r="G336" s="39">
        <v>16446.0</v>
      </c>
      <c r="H336" s="40"/>
      <c r="I336" s="46">
        <v>400.0</v>
      </c>
      <c r="J336" s="15"/>
      <c r="K336" s="15"/>
      <c r="L336" s="15" t="s">
        <v>127</v>
      </c>
      <c r="M336" s="15"/>
      <c r="N336" s="15" t="s">
        <v>24</v>
      </c>
      <c r="O336" s="15" t="s">
        <v>60</v>
      </c>
    </row>
    <row r="337">
      <c r="A337" s="18" t="s">
        <v>7498</v>
      </c>
      <c r="B337" s="15" t="s">
        <v>8312</v>
      </c>
      <c r="C337" s="37">
        <v>45771.0</v>
      </c>
      <c r="D337" s="37">
        <v>45771.0</v>
      </c>
      <c r="E337" s="38" t="s">
        <v>8313</v>
      </c>
      <c r="F337" s="38" t="s">
        <v>7580</v>
      </c>
      <c r="G337" s="39">
        <v>16446.0</v>
      </c>
      <c r="H337" s="40"/>
      <c r="I337" s="46">
        <v>5000.0</v>
      </c>
      <c r="J337" s="15"/>
      <c r="K337" s="15"/>
      <c r="L337" s="15" t="s">
        <v>127</v>
      </c>
      <c r="M337" s="15"/>
      <c r="N337" s="15" t="s">
        <v>24</v>
      </c>
      <c r="O337" s="15" t="s">
        <v>60</v>
      </c>
    </row>
    <row r="338">
      <c r="A338" s="18" t="s">
        <v>7498</v>
      </c>
      <c r="B338" s="15" t="s">
        <v>8314</v>
      </c>
      <c r="C338" s="37">
        <v>45772.0</v>
      </c>
      <c r="D338" s="37">
        <v>45772.0</v>
      </c>
      <c r="E338" s="38" t="s">
        <v>8315</v>
      </c>
      <c r="F338" s="38" t="s">
        <v>7508</v>
      </c>
      <c r="G338" s="39">
        <v>16446.0</v>
      </c>
      <c r="H338" s="40"/>
      <c r="I338" s="46">
        <v>773.0</v>
      </c>
      <c r="J338" s="15"/>
      <c r="K338" s="15"/>
      <c r="L338" s="15" t="s">
        <v>127</v>
      </c>
      <c r="M338" s="15" t="s">
        <v>8316</v>
      </c>
      <c r="N338" s="15" t="s">
        <v>24</v>
      </c>
      <c r="O338" s="15" t="s">
        <v>60</v>
      </c>
    </row>
    <row r="339">
      <c r="A339" s="18" t="s">
        <v>7498</v>
      </c>
      <c r="B339" s="15" t="s">
        <v>8317</v>
      </c>
      <c r="C339" s="37">
        <v>45772.0</v>
      </c>
      <c r="D339" s="37">
        <v>45772.0</v>
      </c>
      <c r="E339" s="38" t="s">
        <v>8318</v>
      </c>
      <c r="F339" s="38" t="s">
        <v>7857</v>
      </c>
      <c r="G339" s="39">
        <v>4430.0</v>
      </c>
      <c r="H339" s="40"/>
      <c r="I339" s="46">
        <v>715.0</v>
      </c>
      <c r="J339" s="15"/>
      <c r="K339" s="15"/>
      <c r="L339" s="15" t="s">
        <v>127</v>
      </c>
      <c r="M339" s="15"/>
      <c r="N339" s="15" t="s">
        <v>24</v>
      </c>
      <c r="O339" s="15" t="s">
        <v>60</v>
      </c>
    </row>
    <row r="340">
      <c r="A340" s="18" t="s">
        <v>7498</v>
      </c>
      <c r="B340" s="15" t="s">
        <v>8319</v>
      </c>
      <c r="C340" s="37">
        <v>45772.0</v>
      </c>
      <c r="D340" s="37">
        <v>45772.0</v>
      </c>
      <c r="E340" s="38" t="s">
        <v>8320</v>
      </c>
      <c r="F340" s="38" t="s">
        <v>7508</v>
      </c>
      <c r="G340" s="39">
        <v>16446.0</v>
      </c>
      <c r="H340" s="40"/>
      <c r="I340" s="46">
        <v>108.0</v>
      </c>
      <c r="J340" s="15"/>
      <c r="K340" s="15"/>
      <c r="L340" s="15" t="s">
        <v>123</v>
      </c>
      <c r="M340" s="47" t="s">
        <v>8321</v>
      </c>
      <c r="N340" s="15" t="s">
        <v>24</v>
      </c>
      <c r="O340" s="15" t="s">
        <v>60</v>
      </c>
    </row>
    <row r="341">
      <c r="A341" s="18" t="s">
        <v>7498</v>
      </c>
      <c r="B341" s="15" t="s">
        <v>8322</v>
      </c>
      <c r="C341" s="37">
        <v>45773.0</v>
      </c>
      <c r="D341" s="37">
        <v>45773.0</v>
      </c>
      <c r="E341" s="38" t="s">
        <v>8323</v>
      </c>
      <c r="F341" s="38" t="s">
        <v>7534</v>
      </c>
      <c r="G341" s="39">
        <v>1.0</v>
      </c>
      <c r="H341" s="40"/>
      <c r="I341" s="46">
        <v>1.0</v>
      </c>
      <c r="J341" s="15"/>
      <c r="K341" s="15"/>
      <c r="L341" s="18" t="s">
        <v>23</v>
      </c>
      <c r="M341" s="15"/>
      <c r="N341" s="15" t="s">
        <v>24</v>
      </c>
      <c r="O341" s="15" t="s">
        <v>60</v>
      </c>
    </row>
    <row r="342">
      <c r="A342" s="18" t="s">
        <v>7498</v>
      </c>
      <c r="B342" s="15" t="s">
        <v>8324</v>
      </c>
      <c r="C342" s="37">
        <v>45773.0</v>
      </c>
      <c r="D342" s="37">
        <v>45773.0</v>
      </c>
      <c r="E342" s="38" t="s">
        <v>8325</v>
      </c>
      <c r="F342" s="38" t="s">
        <v>7534</v>
      </c>
      <c r="G342" s="39">
        <v>16446.0</v>
      </c>
      <c r="H342" s="40"/>
      <c r="I342" s="46">
        <v>625.0</v>
      </c>
      <c r="J342" s="15"/>
      <c r="K342" s="15"/>
      <c r="L342" s="15" t="s">
        <v>127</v>
      </c>
      <c r="M342" s="15" t="s">
        <v>8326</v>
      </c>
      <c r="N342" s="15" t="s">
        <v>24</v>
      </c>
      <c r="O342" s="15" t="s">
        <v>60</v>
      </c>
    </row>
    <row r="343">
      <c r="A343" s="18" t="s">
        <v>7498</v>
      </c>
      <c r="B343" s="15" t="s">
        <v>8327</v>
      </c>
      <c r="C343" s="37">
        <v>45773.0</v>
      </c>
      <c r="D343" s="37">
        <v>45773.0</v>
      </c>
      <c r="E343" s="38" t="s">
        <v>8328</v>
      </c>
      <c r="F343" s="38" t="s">
        <v>7534</v>
      </c>
      <c r="G343" s="39">
        <v>16446.0</v>
      </c>
      <c r="H343" s="40"/>
      <c r="I343" s="46">
        <v>2000.0</v>
      </c>
      <c r="J343" s="15"/>
      <c r="K343" s="15"/>
      <c r="L343" s="15" t="s">
        <v>123</v>
      </c>
      <c r="M343" s="47" t="s">
        <v>7959</v>
      </c>
      <c r="N343" s="15" t="s">
        <v>24</v>
      </c>
      <c r="O343" s="15" t="s">
        <v>60</v>
      </c>
    </row>
    <row r="344">
      <c r="A344" s="18" t="s">
        <v>7498</v>
      </c>
      <c r="B344" s="15" t="s">
        <v>8329</v>
      </c>
      <c r="C344" s="37">
        <v>45773.0</v>
      </c>
      <c r="D344" s="37">
        <v>45773.0</v>
      </c>
      <c r="E344" s="38" t="s">
        <v>8330</v>
      </c>
      <c r="F344" s="38" t="s">
        <v>7534</v>
      </c>
      <c r="G344" s="39">
        <v>16446.0</v>
      </c>
      <c r="H344" s="40"/>
      <c r="I344" s="46">
        <v>949.0</v>
      </c>
      <c r="J344" s="15"/>
      <c r="K344" s="15"/>
      <c r="L344" s="15" t="s">
        <v>123</v>
      </c>
      <c r="M344" s="47" t="s">
        <v>7959</v>
      </c>
      <c r="N344" s="15" t="s">
        <v>24</v>
      </c>
      <c r="O344" s="15" t="s">
        <v>60</v>
      </c>
    </row>
    <row r="345">
      <c r="A345" s="18" t="s">
        <v>7498</v>
      </c>
      <c r="B345" s="15" t="s">
        <v>8331</v>
      </c>
      <c r="C345" s="37">
        <v>45773.0</v>
      </c>
      <c r="D345" s="37">
        <v>45773.0</v>
      </c>
      <c r="E345" s="38" t="s">
        <v>8332</v>
      </c>
      <c r="F345" s="38" t="s">
        <v>7534</v>
      </c>
      <c r="G345" s="39">
        <v>16446.0</v>
      </c>
      <c r="H345" s="40"/>
      <c r="I345" s="46">
        <v>629.0</v>
      </c>
      <c r="J345" s="15"/>
      <c r="K345" s="15"/>
      <c r="L345" s="15" t="s">
        <v>123</v>
      </c>
      <c r="M345" s="47" t="s">
        <v>8333</v>
      </c>
      <c r="N345" s="15" t="s">
        <v>24</v>
      </c>
      <c r="O345" s="15" t="s">
        <v>60</v>
      </c>
    </row>
    <row r="346">
      <c r="A346" s="18" t="s">
        <v>7498</v>
      </c>
      <c r="B346" s="15" t="s">
        <v>8334</v>
      </c>
      <c r="C346" s="37">
        <v>45773.0</v>
      </c>
      <c r="D346" s="37">
        <v>45773.0</v>
      </c>
      <c r="E346" s="38" t="s">
        <v>8335</v>
      </c>
      <c r="F346" s="38" t="s">
        <v>7534</v>
      </c>
      <c r="G346" s="39">
        <v>16446.0</v>
      </c>
      <c r="H346" s="40"/>
      <c r="I346" s="46">
        <v>637.0</v>
      </c>
      <c r="J346" s="15"/>
      <c r="K346" s="15"/>
      <c r="L346" s="15" t="s">
        <v>127</v>
      </c>
      <c r="M346" s="15"/>
      <c r="N346" s="15" t="s">
        <v>24</v>
      </c>
      <c r="O346" s="15" t="s">
        <v>60</v>
      </c>
    </row>
    <row r="347">
      <c r="A347" s="18" t="s">
        <v>7498</v>
      </c>
      <c r="B347" s="15" t="s">
        <v>8336</v>
      </c>
      <c r="C347" s="37">
        <v>45773.0</v>
      </c>
      <c r="D347" s="37">
        <v>45773.0</v>
      </c>
      <c r="E347" s="38" t="s">
        <v>8337</v>
      </c>
      <c r="F347" s="38" t="s">
        <v>7534</v>
      </c>
      <c r="G347" s="39">
        <v>16446.0</v>
      </c>
      <c r="H347" s="40"/>
      <c r="I347" s="46">
        <v>585.0</v>
      </c>
      <c r="J347" s="15"/>
      <c r="K347" s="15"/>
      <c r="L347" s="15" t="s">
        <v>127</v>
      </c>
      <c r="M347" s="15"/>
      <c r="N347" s="15" t="s">
        <v>24</v>
      </c>
      <c r="O347" s="15" t="s">
        <v>60</v>
      </c>
    </row>
    <row r="348">
      <c r="A348" s="18" t="s">
        <v>7498</v>
      </c>
      <c r="B348" s="15" t="s">
        <v>8338</v>
      </c>
      <c r="C348" s="37">
        <v>45774.0</v>
      </c>
      <c r="D348" s="37">
        <v>45774.0</v>
      </c>
      <c r="E348" s="38" t="s">
        <v>8339</v>
      </c>
      <c r="F348" s="38" t="s">
        <v>7567</v>
      </c>
      <c r="G348" s="39">
        <v>16446.0</v>
      </c>
      <c r="H348" s="40"/>
      <c r="I348" s="46">
        <v>139.0</v>
      </c>
      <c r="J348" s="15"/>
      <c r="K348" s="15"/>
      <c r="L348" s="15" t="s">
        <v>123</v>
      </c>
      <c r="M348" s="47" t="s">
        <v>8340</v>
      </c>
      <c r="N348" s="15" t="s">
        <v>24</v>
      </c>
      <c r="O348" s="15" t="s">
        <v>60</v>
      </c>
    </row>
    <row r="349">
      <c r="A349" s="18" t="s">
        <v>7498</v>
      </c>
      <c r="B349" s="15" t="s">
        <v>8341</v>
      </c>
      <c r="C349" s="37">
        <v>45774.0</v>
      </c>
      <c r="D349" s="37">
        <v>45774.0</v>
      </c>
      <c r="E349" s="38" t="s">
        <v>8342</v>
      </c>
      <c r="F349" s="38" t="s">
        <v>7567</v>
      </c>
      <c r="G349" s="39">
        <v>16446.0</v>
      </c>
      <c r="H349" s="40"/>
      <c r="I349" s="46">
        <v>738.0</v>
      </c>
      <c r="J349" s="15"/>
      <c r="K349" s="15"/>
      <c r="L349" s="15" t="s">
        <v>127</v>
      </c>
      <c r="M349" s="15"/>
      <c r="N349" s="15" t="s">
        <v>24</v>
      </c>
      <c r="O349" s="15" t="s">
        <v>60</v>
      </c>
    </row>
    <row r="350">
      <c r="A350" s="18" t="s">
        <v>7498</v>
      </c>
      <c r="B350" s="15" t="s">
        <v>8343</v>
      </c>
      <c r="C350" s="37">
        <v>45774.0</v>
      </c>
      <c r="D350" s="37">
        <v>45774.0</v>
      </c>
      <c r="E350" s="38" t="s">
        <v>8344</v>
      </c>
      <c r="F350" s="38" t="s">
        <v>7567</v>
      </c>
      <c r="G350" s="39">
        <v>16446.0</v>
      </c>
      <c r="H350" s="40"/>
      <c r="I350" s="46">
        <v>5000.0</v>
      </c>
      <c r="J350" s="15"/>
      <c r="K350" s="15"/>
      <c r="L350" s="15" t="s">
        <v>127</v>
      </c>
      <c r="M350" s="15"/>
      <c r="N350" s="15" t="s">
        <v>24</v>
      </c>
      <c r="O350" s="15" t="s">
        <v>60</v>
      </c>
    </row>
    <row r="351">
      <c r="A351" s="18" t="s">
        <v>7498</v>
      </c>
      <c r="B351" s="15" t="s">
        <v>8345</v>
      </c>
      <c r="C351" s="37">
        <v>45774.0</v>
      </c>
      <c r="D351" s="37">
        <v>45774.0</v>
      </c>
      <c r="E351" s="38" t="s">
        <v>8346</v>
      </c>
      <c r="F351" s="38" t="s">
        <v>7567</v>
      </c>
      <c r="G351" s="39">
        <v>16446.0</v>
      </c>
      <c r="H351" s="40"/>
      <c r="I351" s="46">
        <v>2310.0</v>
      </c>
      <c r="J351" s="15"/>
      <c r="K351" s="15"/>
      <c r="L351" s="15" t="s">
        <v>127</v>
      </c>
      <c r="M351" s="15"/>
      <c r="N351" s="15" t="s">
        <v>24</v>
      </c>
      <c r="O351" s="15" t="s">
        <v>60</v>
      </c>
    </row>
    <row r="352">
      <c r="A352" s="18" t="s">
        <v>7498</v>
      </c>
      <c r="B352" s="15" t="s">
        <v>8347</v>
      </c>
      <c r="C352" s="37">
        <v>45774.0</v>
      </c>
      <c r="D352" s="37">
        <v>45774.0</v>
      </c>
      <c r="E352" s="38" t="s">
        <v>8348</v>
      </c>
      <c r="F352" s="38" t="s">
        <v>7567</v>
      </c>
      <c r="G352" s="39">
        <v>16446.0</v>
      </c>
      <c r="H352" s="40"/>
      <c r="I352" s="46">
        <v>715.0</v>
      </c>
      <c r="J352" s="15"/>
      <c r="K352" s="15"/>
      <c r="L352" s="15" t="s">
        <v>123</v>
      </c>
      <c r="M352" s="47" t="s">
        <v>8349</v>
      </c>
      <c r="N352" s="15" t="s">
        <v>24</v>
      </c>
      <c r="O352" s="15" t="s">
        <v>60</v>
      </c>
    </row>
    <row r="353">
      <c r="A353" s="18" t="s">
        <v>7498</v>
      </c>
      <c r="B353" s="15" t="s">
        <v>8350</v>
      </c>
      <c r="C353" s="37">
        <v>45774.0</v>
      </c>
      <c r="D353" s="37">
        <v>45774.0</v>
      </c>
      <c r="E353" s="38" t="s">
        <v>8351</v>
      </c>
      <c r="F353" s="38" t="s">
        <v>7567</v>
      </c>
      <c r="G353" s="39">
        <v>16446.0</v>
      </c>
      <c r="H353" s="40"/>
      <c r="I353" s="46">
        <v>1599.0</v>
      </c>
      <c r="J353" s="15"/>
      <c r="K353" s="15"/>
      <c r="L353" s="15" t="s">
        <v>123</v>
      </c>
      <c r="M353" s="47" t="s">
        <v>8352</v>
      </c>
      <c r="N353" s="15" t="s">
        <v>24</v>
      </c>
      <c r="O353" s="15" t="s">
        <v>60</v>
      </c>
    </row>
    <row r="354">
      <c r="A354" s="18" t="s">
        <v>7498</v>
      </c>
      <c r="B354" s="15" t="s">
        <v>8353</v>
      </c>
      <c r="C354" s="37">
        <v>45774.0</v>
      </c>
      <c r="D354" s="37">
        <v>45774.0</v>
      </c>
      <c r="E354" s="38" t="s">
        <v>8354</v>
      </c>
      <c r="F354" s="38" t="s">
        <v>7567</v>
      </c>
      <c r="G354" s="39">
        <v>16446.0</v>
      </c>
      <c r="H354" s="40"/>
      <c r="I354" s="46">
        <v>1945.0</v>
      </c>
      <c r="J354" s="15"/>
      <c r="K354" s="15"/>
      <c r="L354" s="15" t="s">
        <v>127</v>
      </c>
      <c r="M354" s="15"/>
      <c r="N354" s="15" t="s">
        <v>24</v>
      </c>
      <c r="O354" s="15" t="s">
        <v>60</v>
      </c>
    </row>
    <row r="355">
      <c r="A355" s="18" t="s">
        <v>7498</v>
      </c>
      <c r="B355" s="15" t="s">
        <v>8355</v>
      </c>
      <c r="C355" s="37">
        <v>45775.0</v>
      </c>
      <c r="D355" s="37">
        <v>45775.0</v>
      </c>
      <c r="E355" s="38" t="s">
        <v>8356</v>
      </c>
      <c r="F355" s="38" t="s">
        <v>7537</v>
      </c>
      <c r="G355" s="39">
        <v>16446.0</v>
      </c>
      <c r="H355" s="40"/>
      <c r="I355" s="46">
        <v>350.0</v>
      </c>
      <c r="J355" s="15"/>
      <c r="K355" s="15"/>
      <c r="L355" s="15" t="s">
        <v>7948</v>
      </c>
      <c r="M355" s="15"/>
      <c r="N355" s="15" t="s">
        <v>24</v>
      </c>
      <c r="O355" s="15" t="s">
        <v>60</v>
      </c>
    </row>
    <row r="356">
      <c r="A356" s="18" t="s">
        <v>7498</v>
      </c>
      <c r="B356" s="15" t="s">
        <v>8357</v>
      </c>
      <c r="C356" s="37">
        <v>45776.0</v>
      </c>
      <c r="D356" s="37">
        <v>45776.0</v>
      </c>
      <c r="E356" s="38" t="s">
        <v>8358</v>
      </c>
      <c r="F356" s="38" t="s">
        <v>8359</v>
      </c>
      <c r="G356" s="39">
        <v>4328.0</v>
      </c>
      <c r="H356" s="45">
        <v>5000.0</v>
      </c>
      <c r="I356" s="40"/>
      <c r="J356" s="15"/>
      <c r="K356" s="15"/>
      <c r="L356" s="15" t="s">
        <v>119</v>
      </c>
      <c r="M356" s="15"/>
      <c r="N356" s="15" t="s">
        <v>114</v>
      </c>
      <c r="O356" s="15" t="s">
        <v>1351</v>
      </c>
    </row>
    <row r="357">
      <c r="A357" s="18" t="s">
        <v>7498</v>
      </c>
      <c r="B357" s="15" t="s">
        <v>8360</v>
      </c>
      <c r="C357" s="37">
        <v>45776.0</v>
      </c>
      <c r="D357" s="37">
        <v>45776.0</v>
      </c>
      <c r="E357" s="38" t="s">
        <v>8361</v>
      </c>
      <c r="F357" s="38" t="s">
        <v>7544</v>
      </c>
      <c r="G357" s="39">
        <v>16446.0</v>
      </c>
      <c r="H357" s="40"/>
      <c r="I357" s="46">
        <v>630.0</v>
      </c>
      <c r="J357" s="15"/>
      <c r="K357" s="15"/>
      <c r="L357" s="15" t="s">
        <v>123</v>
      </c>
      <c r="M357" s="47" t="s">
        <v>8362</v>
      </c>
      <c r="N357" s="15" t="s">
        <v>24</v>
      </c>
      <c r="O357" s="15" t="s">
        <v>60</v>
      </c>
    </row>
    <row r="358">
      <c r="A358" s="18" t="s">
        <v>7498</v>
      </c>
      <c r="B358" s="15" t="s">
        <v>8363</v>
      </c>
      <c r="C358" s="37">
        <v>45776.0</v>
      </c>
      <c r="D358" s="37">
        <v>45776.0</v>
      </c>
      <c r="E358" s="38" t="s">
        <v>8364</v>
      </c>
      <c r="F358" s="38" t="s">
        <v>7544</v>
      </c>
      <c r="G358" s="39">
        <v>16446.0</v>
      </c>
      <c r="H358" s="40"/>
      <c r="I358" s="46">
        <v>765.0</v>
      </c>
      <c r="J358" s="15"/>
      <c r="K358" s="15"/>
      <c r="L358" s="15" t="s">
        <v>123</v>
      </c>
      <c r="M358" s="47" t="s">
        <v>8365</v>
      </c>
      <c r="N358" s="15" t="s">
        <v>24</v>
      </c>
      <c r="O358" s="15" t="s">
        <v>60</v>
      </c>
    </row>
    <row r="359">
      <c r="A359" s="18" t="s">
        <v>7498</v>
      </c>
      <c r="B359" s="15" t="s">
        <v>8366</v>
      </c>
      <c r="C359" s="37">
        <v>45776.0</v>
      </c>
      <c r="D359" s="37">
        <v>45776.0</v>
      </c>
      <c r="E359" s="38" t="s">
        <v>8367</v>
      </c>
      <c r="F359" s="38" t="s">
        <v>7544</v>
      </c>
      <c r="G359" s="39">
        <v>16446.0</v>
      </c>
      <c r="H359" s="40"/>
      <c r="I359" s="46">
        <v>250.0</v>
      </c>
      <c r="J359" s="15"/>
      <c r="K359" s="15"/>
      <c r="L359" s="15" t="s">
        <v>127</v>
      </c>
      <c r="M359" s="15"/>
      <c r="N359" s="15" t="s">
        <v>24</v>
      </c>
      <c r="O359" s="15" t="s">
        <v>60</v>
      </c>
    </row>
    <row r="360">
      <c r="A360" s="18" t="s">
        <v>7498</v>
      </c>
      <c r="B360" s="15" t="s">
        <v>8368</v>
      </c>
      <c r="C360" s="37">
        <v>45777.0</v>
      </c>
      <c r="D360" s="37">
        <v>45777.0</v>
      </c>
      <c r="E360" s="38" t="s">
        <v>8369</v>
      </c>
      <c r="F360" s="38" t="s">
        <v>8370</v>
      </c>
      <c r="G360" s="39">
        <v>99922.0</v>
      </c>
      <c r="H360" s="45">
        <v>12500.0</v>
      </c>
      <c r="I360" s="40"/>
      <c r="J360" s="15"/>
      <c r="K360" s="15"/>
      <c r="L360" s="15" t="s">
        <v>123</v>
      </c>
      <c r="M360" s="15"/>
      <c r="N360" s="15" t="s">
        <v>114</v>
      </c>
      <c r="O360" s="15" t="s">
        <v>169</v>
      </c>
    </row>
    <row r="361">
      <c r="A361" s="18" t="s">
        <v>7498</v>
      </c>
      <c r="B361" s="15" t="s">
        <v>8371</v>
      </c>
      <c r="C361" s="37">
        <v>45777.0</v>
      </c>
      <c r="D361" s="37">
        <v>45777.0</v>
      </c>
      <c r="E361" s="38" t="s">
        <v>8372</v>
      </c>
      <c r="F361" s="38" t="s">
        <v>7557</v>
      </c>
      <c r="G361" s="39">
        <v>16446.0</v>
      </c>
      <c r="H361" s="40"/>
      <c r="I361" s="46">
        <v>737.0</v>
      </c>
      <c r="J361" s="15"/>
      <c r="K361" s="15"/>
      <c r="L361" s="15" t="s">
        <v>123</v>
      </c>
      <c r="M361" s="47" t="s">
        <v>8373</v>
      </c>
      <c r="N361" s="15" t="s">
        <v>24</v>
      </c>
      <c r="O361" s="15" t="s">
        <v>60</v>
      </c>
    </row>
    <row r="362">
      <c r="A362" s="18" t="s">
        <v>7498</v>
      </c>
      <c r="B362" s="15" t="s">
        <v>8374</v>
      </c>
      <c r="C362" s="37">
        <v>45777.0</v>
      </c>
      <c r="D362" s="37">
        <v>45777.0</v>
      </c>
      <c r="E362" s="38" t="s">
        <v>8375</v>
      </c>
      <c r="F362" s="38" t="s">
        <v>7557</v>
      </c>
      <c r="G362" s="39">
        <v>16446.0</v>
      </c>
      <c r="H362" s="40"/>
      <c r="I362" s="46">
        <v>541.0</v>
      </c>
      <c r="J362" s="15"/>
      <c r="K362" s="15"/>
      <c r="L362" s="15" t="s">
        <v>7948</v>
      </c>
      <c r="M362" s="15"/>
      <c r="N362" s="15" t="s">
        <v>24</v>
      </c>
      <c r="O362" s="15" t="s">
        <v>60</v>
      </c>
    </row>
    <row r="363">
      <c r="A363" s="18" t="s">
        <v>7498</v>
      </c>
      <c r="B363" s="38" t="s">
        <v>8376</v>
      </c>
      <c r="C363" s="50">
        <v>45778.0</v>
      </c>
      <c r="D363" s="50">
        <v>45778.0</v>
      </c>
      <c r="E363" s="38" t="s">
        <v>8377</v>
      </c>
      <c r="F363" s="38" t="s">
        <v>8378</v>
      </c>
      <c r="G363" s="39">
        <v>99922.0</v>
      </c>
      <c r="H363" s="45">
        <v>29000.0</v>
      </c>
      <c r="I363" s="40"/>
      <c r="J363" s="38"/>
      <c r="K363" s="38" t="s">
        <v>8379</v>
      </c>
      <c r="L363" s="38" t="s">
        <v>113</v>
      </c>
      <c r="M363" s="15"/>
      <c r="N363" s="15" t="s">
        <v>114</v>
      </c>
      <c r="O363" s="15" t="s">
        <v>115</v>
      </c>
    </row>
    <row r="364">
      <c r="A364" s="18" t="s">
        <v>7498</v>
      </c>
      <c r="B364" s="38" t="s">
        <v>8380</v>
      </c>
      <c r="C364" s="50">
        <v>45778.0</v>
      </c>
      <c r="D364" s="50">
        <v>45778.0</v>
      </c>
      <c r="E364" s="38" t="s">
        <v>8381</v>
      </c>
      <c r="F364" s="38" t="s">
        <v>7580</v>
      </c>
      <c r="G364" s="39">
        <v>16446.0</v>
      </c>
      <c r="H364" s="40"/>
      <c r="I364" s="42">
        <v>320.0</v>
      </c>
      <c r="J364" s="15"/>
      <c r="K364" s="15"/>
      <c r="L364" s="38" t="s">
        <v>127</v>
      </c>
      <c r="M364" s="15"/>
      <c r="N364" s="15" t="s">
        <v>24</v>
      </c>
      <c r="O364" s="15" t="s">
        <v>60</v>
      </c>
    </row>
    <row r="365">
      <c r="A365" s="18" t="s">
        <v>7498</v>
      </c>
      <c r="B365" s="38" t="s">
        <v>8382</v>
      </c>
      <c r="C365" s="50">
        <v>45778.0</v>
      </c>
      <c r="D365" s="50">
        <v>45778.0</v>
      </c>
      <c r="E365" s="38" t="s">
        <v>8383</v>
      </c>
      <c r="F365" s="38" t="s">
        <v>7580</v>
      </c>
      <c r="G365" s="39">
        <v>16446.0</v>
      </c>
      <c r="H365" s="40"/>
      <c r="I365" s="42">
        <v>857.0</v>
      </c>
      <c r="J365" s="15"/>
      <c r="K365" s="15"/>
      <c r="L365" s="38" t="s">
        <v>539</v>
      </c>
      <c r="M365" s="15"/>
      <c r="N365" s="15" t="s">
        <v>24</v>
      </c>
      <c r="O365" s="15" t="s">
        <v>60</v>
      </c>
    </row>
    <row r="366">
      <c r="A366" s="18" t="s">
        <v>7498</v>
      </c>
      <c r="B366" s="38" t="s">
        <v>8384</v>
      </c>
      <c r="C366" s="50">
        <v>45778.0</v>
      </c>
      <c r="D366" s="50">
        <v>45778.0</v>
      </c>
      <c r="E366" s="38" t="s">
        <v>8385</v>
      </c>
      <c r="F366" s="38" t="s">
        <v>7580</v>
      </c>
      <c r="G366" s="39">
        <v>16446.0</v>
      </c>
      <c r="H366" s="40"/>
      <c r="I366" s="42">
        <v>410.0</v>
      </c>
      <c r="J366" s="15"/>
      <c r="K366" s="15"/>
      <c r="L366" s="38" t="s">
        <v>127</v>
      </c>
      <c r="M366" s="38" t="s">
        <v>8386</v>
      </c>
      <c r="N366" s="15" t="s">
        <v>24</v>
      </c>
      <c r="O366" s="15" t="s">
        <v>60</v>
      </c>
    </row>
    <row r="367">
      <c r="A367" s="18" t="s">
        <v>7498</v>
      </c>
      <c r="B367" s="38" t="s">
        <v>8387</v>
      </c>
      <c r="C367" s="50">
        <v>45778.0</v>
      </c>
      <c r="D367" s="50">
        <v>45778.0</v>
      </c>
      <c r="E367" s="38" t="s">
        <v>8388</v>
      </c>
      <c r="F367" s="38" t="s">
        <v>7580</v>
      </c>
      <c r="G367" s="39">
        <v>16446.0</v>
      </c>
      <c r="H367" s="40"/>
      <c r="I367" s="42">
        <v>210.0</v>
      </c>
      <c r="J367" s="15"/>
      <c r="K367" s="15"/>
      <c r="L367" s="38" t="s">
        <v>127</v>
      </c>
      <c r="M367" s="38" t="s">
        <v>581</v>
      </c>
      <c r="N367" s="15" t="s">
        <v>24</v>
      </c>
      <c r="O367" s="15" t="s">
        <v>60</v>
      </c>
    </row>
    <row r="368">
      <c r="A368" s="18" t="s">
        <v>7498</v>
      </c>
      <c r="B368" s="38" t="s">
        <v>8389</v>
      </c>
      <c r="C368" s="50">
        <v>45778.0</v>
      </c>
      <c r="D368" s="50">
        <v>45778.0</v>
      </c>
      <c r="E368" s="38" t="s">
        <v>8390</v>
      </c>
      <c r="F368" s="38" t="s">
        <v>7501</v>
      </c>
      <c r="G368" s="39">
        <v>4292.0</v>
      </c>
      <c r="H368" s="45">
        <v>2016.32</v>
      </c>
      <c r="I368" s="40"/>
      <c r="J368" s="38"/>
      <c r="K368" s="38" t="s">
        <v>8391</v>
      </c>
      <c r="L368" s="38" t="s">
        <v>127</v>
      </c>
      <c r="M368" s="15"/>
      <c r="N368" s="15" t="s">
        <v>114</v>
      </c>
      <c r="O368" s="15" t="s">
        <v>275</v>
      </c>
    </row>
    <row r="369">
      <c r="A369" s="18" t="s">
        <v>7498</v>
      </c>
      <c r="B369" s="38" t="s">
        <v>8392</v>
      </c>
      <c r="C369" s="50">
        <v>45779.0</v>
      </c>
      <c r="D369" s="50">
        <v>45779.0</v>
      </c>
      <c r="E369" s="38" t="s">
        <v>8393</v>
      </c>
      <c r="F369" s="38" t="s">
        <v>7508</v>
      </c>
      <c r="G369" s="39">
        <v>16446.0</v>
      </c>
      <c r="H369" s="40"/>
      <c r="I369" s="45">
        <v>2499.0</v>
      </c>
      <c r="J369" s="15"/>
      <c r="K369" s="15"/>
      <c r="L369" s="38" t="s">
        <v>123</v>
      </c>
      <c r="M369" s="51" t="s">
        <v>8394</v>
      </c>
      <c r="N369" s="15" t="s">
        <v>24</v>
      </c>
      <c r="O369" s="15" t="s">
        <v>60</v>
      </c>
    </row>
    <row r="370">
      <c r="A370" s="18" t="s">
        <v>7498</v>
      </c>
      <c r="B370" s="38" t="s">
        <v>8395</v>
      </c>
      <c r="C370" s="50">
        <v>45779.0</v>
      </c>
      <c r="D370" s="50">
        <v>45779.0</v>
      </c>
      <c r="E370" s="38" t="s">
        <v>8396</v>
      </c>
      <c r="F370" s="38" t="s">
        <v>8397</v>
      </c>
      <c r="G370" s="39">
        <v>99922.0</v>
      </c>
      <c r="H370" s="45">
        <v>10000.0</v>
      </c>
      <c r="I370" s="40"/>
      <c r="J370" s="38"/>
      <c r="K370" s="38" t="s">
        <v>8398</v>
      </c>
      <c r="L370" s="38" t="s">
        <v>119</v>
      </c>
      <c r="M370" s="15"/>
      <c r="N370" s="15" t="s">
        <v>114</v>
      </c>
      <c r="O370" s="15" t="s">
        <v>115</v>
      </c>
    </row>
    <row r="371">
      <c r="A371" s="18" t="s">
        <v>7498</v>
      </c>
      <c r="B371" s="38" t="s">
        <v>8399</v>
      </c>
      <c r="C371" s="50">
        <v>45779.0</v>
      </c>
      <c r="D371" s="50">
        <v>45779.0</v>
      </c>
      <c r="E371" s="38" t="s">
        <v>8400</v>
      </c>
      <c r="F371" s="38" t="s">
        <v>7508</v>
      </c>
      <c r="G371" s="39">
        <v>16446.0</v>
      </c>
      <c r="H371" s="40"/>
      <c r="I371" s="42">
        <v>616.0</v>
      </c>
      <c r="J371" s="15"/>
      <c r="K371" s="15"/>
      <c r="L371" s="38" t="s">
        <v>539</v>
      </c>
      <c r="M371" s="15"/>
      <c r="N371" s="15" t="s">
        <v>24</v>
      </c>
      <c r="O371" s="15" t="s">
        <v>60</v>
      </c>
    </row>
    <row r="372">
      <c r="A372" s="18" t="s">
        <v>7498</v>
      </c>
      <c r="B372" s="38" t="s">
        <v>8401</v>
      </c>
      <c r="C372" s="50">
        <v>45779.0</v>
      </c>
      <c r="D372" s="50">
        <v>45779.0</v>
      </c>
      <c r="E372" s="38" t="s">
        <v>8402</v>
      </c>
      <c r="F372" s="38" t="s">
        <v>7508</v>
      </c>
      <c r="G372" s="39">
        <v>16446.0</v>
      </c>
      <c r="H372" s="40"/>
      <c r="I372" s="42">
        <v>311.0</v>
      </c>
      <c r="J372" s="15"/>
      <c r="K372" s="15"/>
      <c r="L372" s="38" t="s">
        <v>127</v>
      </c>
      <c r="M372" s="15"/>
      <c r="N372" s="15" t="s">
        <v>24</v>
      </c>
      <c r="O372" s="15" t="s">
        <v>60</v>
      </c>
    </row>
    <row r="373">
      <c r="A373" s="18" t="s">
        <v>7498</v>
      </c>
      <c r="B373" s="38" t="s">
        <v>8403</v>
      </c>
      <c r="C373" s="50">
        <v>45779.0</v>
      </c>
      <c r="D373" s="50">
        <v>45779.0</v>
      </c>
      <c r="E373" s="38" t="s">
        <v>8404</v>
      </c>
      <c r="F373" s="38" t="s">
        <v>7508</v>
      </c>
      <c r="G373" s="39">
        <v>16446.0</v>
      </c>
      <c r="H373" s="40"/>
      <c r="I373" s="42">
        <v>75.0</v>
      </c>
      <c r="J373" s="15"/>
      <c r="K373" s="15"/>
      <c r="L373" s="38" t="s">
        <v>127</v>
      </c>
      <c r="M373" s="15"/>
      <c r="N373" s="15" t="s">
        <v>24</v>
      </c>
      <c r="O373" s="15" t="s">
        <v>60</v>
      </c>
    </row>
    <row r="374">
      <c r="A374" s="18" t="s">
        <v>7498</v>
      </c>
      <c r="B374" s="38" t="s">
        <v>8405</v>
      </c>
      <c r="C374" s="50">
        <v>45780.0</v>
      </c>
      <c r="D374" s="50">
        <v>45780.0</v>
      </c>
      <c r="E374" s="38" t="s">
        <v>8406</v>
      </c>
      <c r="F374" s="38" t="s">
        <v>7534</v>
      </c>
      <c r="G374" s="39">
        <v>16446.0</v>
      </c>
      <c r="H374" s="40"/>
      <c r="I374" s="42">
        <v>800.0</v>
      </c>
      <c r="J374" s="15"/>
      <c r="K374" s="15"/>
      <c r="L374" s="38" t="s">
        <v>127</v>
      </c>
      <c r="M374" s="15"/>
      <c r="N374" s="15" t="s">
        <v>24</v>
      </c>
      <c r="O374" s="15" t="s">
        <v>60</v>
      </c>
    </row>
    <row r="375">
      <c r="A375" s="18" t="s">
        <v>7498</v>
      </c>
      <c r="B375" s="38" t="s">
        <v>8407</v>
      </c>
      <c r="C375" s="50">
        <v>45780.0</v>
      </c>
      <c r="D375" s="50">
        <v>45780.0</v>
      </c>
      <c r="E375" s="38" t="s">
        <v>8408</v>
      </c>
      <c r="F375" s="38" t="s">
        <v>7534</v>
      </c>
      <c r="G375" s="39">
        <v>16446.0</v>
      </c>
      <c r="H375" s="40"/>
      <c r="I375" s="42">
        <v>637.0</v>
      </c>
      <c r="J375" s="15"/>
      <c r="K375" s="15"/>
      <c r="L375" s="38" t="s">
        <v>127</v>
      </c>
      <c r="M375" s="15"/>
      <c r="N375" s="15" t="s">
        <v>24</v>
      </c>
      <c r="O375" s="15" t="s">
        <v>60</v>
      </c>
    </row>
    <row r="376">
      <c r="A376" s="18" t="s">
        <v>7498</v>
      </c>
      <c r="B376" s="38" t="s">
        <v>8409</v>
      </c>
      <c r="C376" s="50">
        <v>45780.0</v>
      </c>
      <c r="D376" s="50">
        <v>45780.0</v>
      </c>
      <c r="E376" s="38" t="s">
        <v>8410</v>
      </c>
      <c r="F376" s="38" t="s">
        <v>7534</v>
      </c>
      <c r="G376" s="39">
        <v>16446.0</v>
      </c>
      <c r="H376" s="40"/>
      <c r="I376" s="42">
        <v>600.0</v>
      </c>
      <c r="J376" s="15"/>
      <c r="K376" s="15"/>
      <c r="L376" s="38" t="s">
        <v>127</v>
      </c>
      <c r="M376" s="38" t="s">
        <v>8411</v>
      </c>
      <c r="N376" s="15" t="s">
        <v>24</v>
      </c>
      <c r="O376" s="15" t="s">
        <v>60</v>
      </c>
    </row>
    <row r="377">
      <c r="A377" s="18" t="s">
        <v>7498</v>
      </c>
      <c r="B377" s="38" t="s">
        <v>8412</v>
      </c>
      <c r="C377" s="50">
        <v>45780.0</v>
      </c>
      <c r="D377" s="50">
        <v>45780.0</v>
      </c>
      <c r="E377" s="38" t="s">
        <v>8413</v>
      </c>
      <c r="F377" s="38" t="s">
        <v>7534</v>
      </c>
      <c r="G377" s="39">
        <v>16446.0</v>
      </c>
      <c r="H377" s="40"/>
      <c r="I377" s="42">
        <v>381.0</v>
      </c>
      <c r="J377" s="15"/>
      <c r="K377" s="15"/>
      <c r="L377" s="38" t="s">
        <v>123</v>
      </c>
      <c r="M377" s="38" t="s">
        <v>8414</v>
      </c>
      <c r="N377" s="15" t="s">
        <v>24</v>
      </c>
      <c r="O377" s="15" t="s">
        <v>60</v>
      </c>
    </row>
    <row r="378">
      <c r="A378" s="18" t="s">
        <v>7498</v>
      </c>
      <c r="B378" s="38" t="s">
        <v>8415</v>
      </c>
      <c r="C378" s="50">
        <v>45781.0</v>
      </c>
      <c r="D378" s="50">
        <v>45781.0</v>
      </c>
      <c r="E378" s="38" t="s">
        <v>8416</v>
      </c>
      <c r="F378" s="38" t="s">
        <v>7567</v>
      </c>
      <c r="G378" s="39">
        <v>16446.0</v>
      </c>
      <c r="H378" s="40"/>
      <c r="I378" s="42">
        <v>908.0</v>
      </c>
      <c r="J378" s="15"/>
      <c r="K378" s="15"/>
      <c r="L378" s="38" t="s">
        <v>123</v>
      </c>
      <c r="M378" s="52" t="s">
        <v>8417</v>
      </c>
      <c r="N378" s="15" t="s">
        <v>24</v>
      </c>
      <c r="O378" s="15" t="s">
        <v>60</v>
      </c>
    </row>
    <row r="379">
      <c r="A379" s="18" t="s">
        <v>7498</v>
      </c>
      <c r="B379" s="38" t="s">
        <v>8418</v>
      </c>
      <c r="C379" s="50">
        <v>45781.0</v>
      </c>
      <c r="D379" s="50">
        <v>45781.0</v>
      </c>
      <c r="E379" s="38" t="s">
        <v>8419</v>
      </c>
      <c r="F379" s="38" t="s">
        <v>7567</v>
      </c>
      <c r="G379" s="39">
        <v>16446.0</v>
      </c>
      <c r="H379" s="40"/>
      <c r="I379" s="42">
        <v>854.2</v>
      </c>
      <c r="J379" s="15"/>
      <c r="K379" s="15"/>
      <c r="L379" s="38" t="s">
        <v>127</v>
      </c>
      <c r="M379" s="38" t="s">
        <v>8420</v>
      </c>
      <c r="N379" s="15" t="s">
        <v>24</v>
      </c>
      <c r="O379" s="15" t="s">
        <v>60</v>
      </c>
    </row>
    <row r="380">
      <c r="A380" s="18" t="s">
        <v>7498</v>
      </c>
      <c r="B380" s="38" t="s">
        <v>8421</v>
      </c>
      <c r="C380" s="50">
        <v>45781.0</v>
      </c>
      <c r="D380" s="50">
        <v>45781.0</v>
      </c>
      <c r="E380" s="38" t="s">
        <v>8422</v>
      </c>
      <c r="F380" s="38" t="s">
        <v>7567</v>
      </c>
      <c r="G380" s="39">
        <v>16446.0</v>
      </c>
      <c r="H380" s="40"/>
      <c r="I380" s="42">
        <v>792.0</v>
      </c>
      <c r="J380" s="15"/>
      <c r="K380" s="15"/>
      <c r="L380" s="38" t="s">
        <v>127</v>
      </c>
      <c r="M380" s="15"/>
      <c r="N380" s="15" t="s">
        <v>24</v>
      </c>
      <c r="O380" s="15" t="s">
        <v>60</v>
      </c>
    </row>
    <row r="381">
      <c r="A381" s="18" t="s">
        <v>7498</v>
      </c>
      <c r="B381" s="38" t="s">
        <v>8423</v>
      </c>
      <c r="C381" s="50">
        <v>45781.0</v>
      </c>
      <c r="D381" s="50">
        <v>45781.0</v>
      </c>
      <c r="E381" s="38" t="s">
        <v>8424</v>
      </c>
      <c r="F381" s="38" t="s">
        <v>7567</v>
      </c>
      <c r="G381" s="39">
        <v>16446.0</v>
      </c>
      <c r="H381" s="40"/>
      <c r="I381" s="42">
        <v>480.0</v>
      </c>
      <c r="J381" s="15"/>
      <c r="K381" s="15"/>
      <c r="L381" s="38" t="s">
        <v>127</v>
      </c>
      <c r="M381" s="38" t="s">
        <v>8425</v>
      </c>
      <c r="N381" s="15" t="s">
        <v>24</v>
      </c>
      <c r="O381" s="15" t="s">
        <v>60</v>
      </c>
    </row>
    <row r="382">
      <c r="A382" s="18" t="s">
        <v>7498</v>
      </c>
      <c r="B382" s="38" t="s">
        <v>8426</v>
      </c>
      <c r="C382" s="50">
        <v>45781.0</v>
      </c>
      <c r="D382" s="50">
        <v>45781.0</v>
      </c>
      <c r="E382" s="38" t="s">
        <v>8427</v>
      </c>
      <c r="F382" s="38" t="s">
        <v>7567</v>
      </c>
      <c r="G382" s="39">
        <v>16446.0</v>
      </c>
      <c r="H382" s="40"/>
      <c r="I382" s="42">
        <v>630.0</v>
      </c>
      <c r="J382" s="15"/>
      <c r="K382" s="15"/>
      <c r="L382" s="38" t="s">
        <v>127</v>
      </c>
      <c r="M382" s="38" t="s">
        <v>8428</v>
      </c>
      <c r="N382" s="15" t="s">
        <v>24</v>
      </c>
      <c r="O382" s="15" t="s">
        <v>60</v>
      </c>
    </row>
    <row r="383">
      <c r="A383" s="18" t="s">
        <v>7498</v>
      </c>
      <c r="B383" s="38" t="s">
        <v>8429</v>
      </c>
      <c r="C383" s="50">
        <v>45782.0</v>
      </c>
      <c r="D383" s="50">
        <v>45782.0</v>
      </c>
      <c r="E383" s="38" t="s">
        <v>8430</v>
      </c>
      <c r="F383" s="38" t="s">
        <v>7537</v>
      </c>
      <c r="G383" s="39">
        <v>16446.0</v>
      </c>
      <c r="H383" s="40"/>
      <c r="I383" s="42">
        <v>179.0</v>
      </c>
      <c r="J383" s="15"/>
      <c r="K383" s="15"/>
      <c r="L383" s="38" t="s">
        <v>123</v>
      </c>
      <c r="M383" s="52" t="s">
        <v>8431</v>
      </c>
      <c r="N383" s="15" t="s">
        <v>24</v>
      </c>
      <c r="O383" s="15" t="s">
        <v>60</v>
      </c>
    </row>
    <row r="384">
      <c r="A384" s="18" t="s">
        <v>7498</v>
      </c>
      <c r="B384" s="38" t="s">
        <v>8432</v>
      </c>
      <c r="C384" s="50">
        <v>45782.0</v>
      </c>
      <c r="D384" s="50">
        <v>45782.0</v>
      </c>
      <c r="E384" s="38" t="s">
        <v>8433</v>
      </c>
      <c r="F384" s="38" t="s">
        <v>7537</v>
      </c>
      <c r="G384" s="39">
        <v>16446.0</v>
      </c>
      <c r="H384" s="40"/>
      <c r="I384" s="42">
        <v>109.0</v>
      </c>
      <c r="J384" s="15"/>
      <c r="K384" s="15"/>
      <c r="L384" s="38" t="s">
        <v>123</v>
      </c>
      <c r="M384" s="52" t="s">
        <v>8434</v>
      </c>
      <c r="N384" s="15" t="s">
        <v>24</v>
      </c>
      <c r="O384" s="15" t="s">
        <v>60</v>
      </c>
    </row>
    <row r="385">
      <c r="A385" s="18" t="s">
        <v>7498</v>
      </c>
      <c r="B385" s="38" t="s">
        <v>8435</v>
      </c>
      <c r="C385" s="50">
        <v>45782.0</v>
      </c>
      <c r="D385" s="50">
        <v>45782.0</v>
      </c>
      <c r="E385" s="38" t="s">
        <v>8436</v>
      </c>
      <c r="F385" s="38" t="s">
        <v>7537</v>
      </c>
      <c r="G385" s="39">
        <v>16446.0</v>
      </c>
      <c r="H385" s="40"/>
      <c r="I385" s="42">
        <v>300.0</v>
      </c>
      <c r="J385" s="15"/>
      <c r="K385" s="15"/>
      <c r="L385" s="38" t="s">
        <v>127</v>
      </c>
      <c r="M385" s="38" t="s">
        <v>8437</v>
      </c>
      <c r="N385" s="15" t="s">
        <v>24</v>
      </c>
      <c r="O385" s="15" t="s">
        <v>60</v>
      </c>
    </row>
    <row r="386">
      <c r="A386" s="18" t="s">
        <v>7498</v>
      </c>
      <c r="B386" s="38" t="s">
        <v>8438</v>
      </c>
      <c r="C386" s="50">
        <v>45782.0</v>
      </c>
      <c r="D386" s="50">
        <v>45782.0</v>
      </c>
      <c r="E386" s="38" t="s">
        <v>8439</v>
      </c>
      <c r="F386" s="38" t="s">
        <v>7537</v>
      </c>
      <c r="G386" s="39">
        <v>16446.0</v>
      </c>
      <c r="H386" s="40"/>
      <c r="I386" s="42">
        <v>240.0</v>
      </c>
      <c r="J386" s="15"/>
      <c r="K386" s="15"/>
      <c r="L386" s="38" t="s">
        <v>127</v>
      </c>
      <c r="M386" s="15"/>
      <c r="N386" s="15" t="s">
        <v>24</v>
      </c>
      <c r="O386" s="15" t="s">
        <v>60</v>
      </c>
    </row>
    <row r="387">
      <c r="A387" s="18" t="s">
        <v>7498</v>
      </c>
      <c r="B387" s="38" t="s">
        <v>8440</v>
      </c>
      <c r="C387" s="50">
        <v>45782.0</v>
      </c>
      <c r="D387" s="50">
        <v>45782.0</v>
      </c>
      <c r="E387" s="38" t="s">
        <v>8441</v>
      </c>
      <c r="F387" s="38" t="s">
        <v>7537</v>
      </c>
      <c r="G387" s="39">
        <v>16446.0</v>
      </c>
      <c r="H387" s="40"/>
      <c r="I387" s="42">
        <v>165.0</v>
      </c>
      <c r="J387" s="15"/>
      <c r="K387" s="15"/>
      <c r="L387" s="38" t="s">
        <v>127</v>
      </c>
      <c r="M387" s="38" t="s">
        <v>8442</v>
      </c>
      <c r="N387" s="15" t="s">
        <v>24</v>
      </c>
      <c r="O387" s="15" t="s">
        <v>60</v>
      </c>
    </row>
    <row r="388">
      <c r="A388" s="18" t="s">
        <v>7498</v>
      </c>
      <c r="B388" s="38" t="s">
        <v>8443</v>
      </c>
      <c r="C388" s="50">
        <v>45782.0</v>
      </c>
      <c r="D388" s="50">
        <v>45782.0</v>
      </c>
      <c r="E388" s="38" t="s">
        <v>8444</v>
      </c>
      <c r="F388" s="38" t="s">
        <v>7537</v>
      </c>
      <c r="G388" s="39">
        <v>16446.0</v>
      </c>
      <c r="H388" s="40"/>
      <c r="I388" s="42">
        <v>477.0</v>
      </c>
      <c r="J388" s="15"/>
      <c r="K388" s="15"/>
      <c r="L388" s="38" t="s">
        <v>123</v>
      </c>
      <c r="M388" s="52" t="s">
        <v>8445</v>
      </c>
      <c r="N388" s="15" t="s">
        <v>24</v>
      </c>
      <c r="O388" s="15" t="s">
        <v>60</v>
      </c>
    </row>
    <row r="389">
      <c r="A389" s="18" t="s">
        <v>7498</v>
      </c>
      <c r="B389" s="38" t="s">
        <v>8446</v>
      </c>
      <c r="C389" s="50">
        <v>45783.0</v>
      </c>
      <c r="D389" s="50">
        <v>45783.0</v>
      </c>
      <c r="E389" s="38" t="s">
        <v>8447</v>
      </c>
      <c r="F389" s="38" t="s">
        <v>7501</v>
      </c>
      <c r="G389" s="39">
        <v>4292.0</v>
      </c>
      <c r="H389" s="45">
        <v>19471.18</v>
      </c>
      <c r="I389" s="40"/>
      <c r="J389" s="38"/>
      <c r="K389" s="38" t="s">
        <v>8448</v>
      </c>
      <c r="L389" s="38" t="s">
        <v>127</v>
      </c>
      <c r="M389" s="15"/>
      <c r="N389" s="15" t="s">
        <v>114</v>
      </c>
      <c r="O389" s="15" t="s">
        <v>478</v>
      </c>
    </row>
    <row r="390">
      <c r="A390" s="18" t="s">
        <v>7498</v>
      </c>
      <c r="B390" s="38" t="s">
        <v>8449</v>
      </c>
      <c r="C390" s="50">
        <v>45783.0</v>
      </c>
      <c r="D390" s="50">
        <v>45783.0</v>
      </c>
      <c r="E390" s="38" t="s">
        <v>8450</v>
      </c>
      <c r="F390" s="38" t="s">
        <v>8451</v>
      </c>
      <c r="G390" s="39">
        <v>16446.0</v>
      </c>
      <c r="H390" s="45">
        <v>1770.0</v>
      </c>
      <c r="I390" s="40"/>
      <c r="J390" s="38"/>
      <c r="K390" s="38" t="s">
        <v>8452</v>
      </c>
      <c r="L390" s="38" t="s">
        <v>123</v>
      </c>
      <c r="M390" s="15"/>
      <c r="N390" s="15" t="s">
        <v>114</v>
      </c>
      <c r="O390" s="15" t="s">
        <v>8453</v>
      </c>
    </row>
    <row r="391">
      <c r="A391" s="18" t="s">
        <v>7498</v>
      </c>
      <c r="B391" s="38" t="s">
        <v>8454</v>
      </c>
      <c r="C391" s="50">
        <v>45783.0</v>
      </c>
      <c r="D391" s="50">
        <v>45783.0</v>
      </c>
      <c r="E391" s="38" t="s">
        <v>8455</v>
      </c>
      <c r="F391" s="38" t="s">
        <v>8456</v>
      </c>
      <c r="G391" s="39">
        <v>99922.0</v>
      </c>
      <c r="H391" s="45">
        <v>27000.0</v>
      </c>
      <c r="I391" s="40"/>
      <c r="J391" s="38"/>
      <c r="K391" s="38" t="s">
        <v>8457</v>
      </c>
      <c r="L391" s="38" t="s">
        <v>127</v>
      </c>
      <c r="M391" s="15"/>
      <c r="N391" s="15" t="s">
        <v>114</v>
      </c>
      <c r="O391" s="15" t="s">
        <v>115</v>
      </c>
    </row>
    <row r="392">
      <c r="A392" s="18" t="s">
        <v>7498</v>
      </c>
      <c r="B392" s="38" t="s">
        <v>8458</v>
      </c>
      <c r="C392" s="50">
        <v>45783.0</v>
      </c>
      <c r="D392" s="50">
        <v>45783.0</v>
      </c>
      <c r="E392" s="38" t="s">
        <v>7640</v>
      </c>
      <c r="F392" s="38" t="s">
        <v>8459</v>
      </c>
      <c r="G392" s="39">
        <v>99922.0</v>
      </c>
      <c r="H392" s="45">
        <v>14572.66</v>
      </c>
      <c r="I392" s="40"/>
      <c r="J392" s="38"/>
      <c r="K392" s="38" t="s">
        <v>8460</v>
      </c>
      <c r="L392" s="38" t="s">
        <v>127</v>
      </c>
      <c r="M392" s="15"/>
      <c r="N392" s="15" t="s">
        <v>114</v>
      </c>
      <c r="O392" s="15" t="s">
        <v>220</v>
      </c>
    </row>
    <row r="393">
      <c r="A393" s="18" t="s">
        <v>7498</v>
      </c>
      <c r="B393" s="38" t="s">
        <v>8461</v>
      </c>
      <c r="C393" s="50">
        <v>45783.0</v>
      </c>
      <c r="D393" s="50">
        <v>45783.0</v>
      </c>
      <c r="E393" s="38" t="s">
        <v>8462</v>
      </c>
      <c r="F393" s="38" t="s">
        <v>8451</v>
      </c>
      <c r="G393" s="39">
        <v>16446.0</v>
      </c>
      <c r="H393" s="45">
        <v>40120.0</v>
      </c>
      <c r="I393" s="40"/>
      <c r="J393" s="38"/>
      <c r="K393" s="38" t="s">
        <v>8463</v>
      </c>
      <c r="L393" s="38" t="s">
        <v>123</v>
      </c>
      <c r="M393" s="15"/>
      <c r="N393" s="15" t="s">
        <v>114</v>
      </c>
      <c r="O393" s="15" t="s">
        <v>115</v>
      </c>
    </row>
    <row r="394">
      <c r="A394" s="18" t="s">
        <v>7498</v>
      </c>
      <c r="B394" s="38" t="s">
        <v>8464</v>
      </c>
      <c r="C394" s="50">
        <v>45783.0</v>
      </c>
      <c r="D394" s="50">
        <v>45783.0</v>
      </c>
      <c r="E394" s="38" t="s">
        <v>8465</v>
      </c>
      <c r="F394" s="38" t="s">
        <v>7501</v>
      </c>
      <c r="G394" s="39">
        <v>4292.0</v>
      </c>
      <c r="H394" s="45">
        <v>2358.0</v>
      </c>
      <c r="I394" s="40"/>
      <c r="J394" s="38"/>
      <c r="K394" s="38" t="s">
        <v>8466</v>
      </c>
      <c r="L394" s="18" t="s">
        <v>23</v>
      </c>
      <c r="M394" s="15"/>
      <c r="N394" s="15" t="s">
        <v>114</v>
      </c>
      <c r="O394" s="15" t="s">
        <v>385</v>
      </c>
    </row>
    <row r="395">
      <c r="A395" s="18" t="s">
        <v>7498</v>
      </c>
      <c r="B395" s="38" t="s">
        <v>8467</v>
      </c>
      <c r="C395" s="50">
        <v>45784.0</v>
      </c>
      <c r="D395" s="50">
        <v>45784.0</v>
      </c>
      <c r="E395" s="38" t="s">
        <v>8468</v>
      </c>
      <c r="F395" s="38" t="s">
        <v>7557</v>
      </c>
      <c r="G395" s="39">
        <v>16446.0</v>
      </c>
      <c r="H395" s="40"/>
      <c r="I395" s="45">
        <v>1388.0</v>
      </c>
      <c r="J395" s="15"/>
      <c r="K395" s="15"/>
      <c r="L395" s="38" t="s">
        <v>127</v>
      </c>
      <c r="M395" s="38" t="s">
        <v>8469</v>
      </c>
      <c r="N395" s="15" t="s">
        <v>24</v>
      </c>
      <c r="O395" s="15" t="s">
        <v>60</v>
      </c>
    </row>
    <row r="396">
      <c r="A396" s="18" t="s">
        <v>7498</v>
      </c>
      <c r="B396" s="38" t="s">
        <v>8470</v>
      </c>
      <c r="C396" s="50">
        <v>45784.0</v>
      </c>
      <c r="D396" s="50">
        <v>45784.0</v>
      </c>
      <c r="E396" s="38" t="s">
        <v>8471</v>
      </c>
      <c r="F396" s="38" t="s">
        <v>7557</v>
      </c>
      <c r="G396" s="39">
        <v>16446.0</v>
      </c>
      <c r="H396" s="40"/>
      <c r="I396" s="45">
        <v>1620.0</v>
      </c>
      <c r="J396" s="15"/>
      <c r="K396" s="15"/>
      <c r="L396" s="13" t="s">
        <v>539</v>
      </c>
      <c r="M396" s="15"/>
      <c r="N396" s="15" t="s">
        <v>24</v>
      </c>
      <c r="O396" s="15" t="s">
        <v>60</v>
      </c>
    </row>
    <row r="397">
      <c r="A397" s="18" t="s">
        <v>7498</v>
      </c>
      <c r="B397" s="38" t="s">
        <v>8472</v>
      </c>
      <c r="C397" s="50">
        <v>45784.0</v>
      </c>
      <c r="D397" s="50">
        <v>45784.0</v>
      </c>
      <c r="E397" s="38" t="s">
        <v>8473</v>
      </c>
      <c r="F397" s="38" t="s">
        <v>7557</v>
      </c>
      <c r="G397" s="39">
        <v>16446.0</v>
      </c>
      <c r="H397" s="40"/>
      <c r="I397" s="42">
        <v>500.0</v>
      </c>
      <c r="J397" s="15"/>
      <c r="K397" s="15"/>
      <c r="L397" s="38" t="s">
        <v>127</v>
      </c>
      <c r="M397" s="38" t="s">
        <v>8474</v>
      </c>
      <c r="N397" s="15" t="s">
        <v>24</v>
      </c>
      <c r="O397" s="15" t="s">
        <v>60</v>
      </c>
    </row>
    <row r="398">
      <c r="A398" s="18" t="s">
        <v>7498</v>
      </c>
      <c r="B398" s="38" t="s">
        <v>8475</v>
      </c>
      <c r="C398" s="50">
        <v>45784.0</v>
      </c>
      <c r="D398" s="50">
        <v>45784.0</v>
      </c>
      <c r="E398" s="38" t="s">
        <v>8476</v>
      </c>
      <c r="F398" s="38" t="s">
        <v>7557</v>
      </c>
      <c r="G398" s="39">
        <v>16446.0</v>
      </c>
      <c r="H398" s="40"/>
      <c r="I398" s="42">
        <v>312.0</v>
      </c>
      <c r="J398" s="15"/>
      <c r="K398" s="15"/>
      <c r="L398" s="38" t="s">
        <v>127</v>
      </c>
      <c r="M398" s="15"/>
      <c r="N398" s="15" t="s">
        <v>24</v>
      </c>
      <c r="O398" s="15" t="s">
        <v>60</v>
      </c>
    </row>
    <row r="399">
      <c r="A399" s="18" t="s">
        <v>7498</v>
      </c>
      <c r="B399" s="38" t="s">
        <v>8477</v>
      </c>
      <c r="C399" s="50">
        <v>45784.0</v>
      </c>
      <c r="D399" s="50">
        <v>45784.0</v>
      </c>
      <c r="E399" s="38" t="s">
        <v>8478</v>
      </c>
      <c r="F399" s="38" t="s">
        <v>7557</v>
      </c>
      <c r="G399" s="39">
        <v>16446.0</v>
      </c>
      <c r="H399" s="40"/>
      <c r="I399" s="42">
        <v>500.0</v>
      </c>
      <c r="J399" s="15"/>
      <c r="K399" s="15"/>
      <c r="L399" s="38" t="s">
        <v>123</v>
      </c>
      <c r="M399" s="52" t="s">
        <v>8479</v>
      </c>
      <c r="N399" s="15" t="s">
        <v>24</v>
      </c>
      <c r="O399" s="15" t="s">
        <v>60</v>
      </c>
    </row>
    <row r="400">
      <c r="A400" s="18" t="s">
        <v>7498</v>
      </c>
      <c r="B400" s="38" t="s">
        <v>8480</v>
      </c>
      <c r="C400" s="50">
        <v>45784.0</v>
      </c>
      <c r="D400" s="50">
        <v>45784.0</v>
      </c>
      <c r="E400" s="38" t="s">
        <v>8481</v>
      </c>
      <c r="F400" s="38" t="s">
        <v>7557</v>
      </c>
      <c r="G400" s="39">
        <v>16446.0</v>
      </c>
      <c r="H400" s="40"/>
      <c r="I400" s="42">
        <v>320.0</v>
      </c>
      <c r="J400" s="15"/>
      <c r="K400" s="15"/>
      <c r="L400" s="38" t="s">
        <v>127</v>
      </c>
      <c r="M400" s="38" t="s">
        <v>8482</v>
      </c>
      <c r="N400" s="15" t="s">
        <v>24</v>
      </c>
      <c r="O400" s="15" t="s">
        <v>60</v>
      </c>
    </row>
    <row r="401">
      <c r="A401" s="18" t="s">
        <v>7498</v>
      </c>
      <c r="B401" s="38" t="s">
        <v>8483</v>
      </c>
      <c r="C401" s="50">
        <v>45784.0</v>
      </c>
      <c r="D401" s="50">
        <v>45784.0</v>
      </c>
      <c r="E401" s="38" t="s">
        <v>8484</v>
      </c>
      <c r="F401" s="38" t="s">
        <v>8485</v>
      </c>
      <c r="G401" s="39">
        <v>99922.0</v>
      </c>
      <c r="H401" s="45">
        <v>21333.0</v>
      </c>
      <c r="I401" s="40"/>
      <c r="J401" s="38"/>
      <c r="K401" s="38" t="s">
        <v>8486</v>
      </c>
      <c r="L401" s="38" t="s">
        <v>127</v>
      </c>
      <c r="M401" s="15"/>
      <c r="N401" s="15" t="s">
        <v>114</v>
      </c>
      <c r="O401" s="15" t="s">
        <v>169</v>
      </c>
    </row>
    <row r="402">
      <c r="A402" s="18" t="s">
        <v>7498</v>
      </c>
      <c r="B402" s="38" t="s">
        <v>8487</v>
      </c>
      <c r="C402" s="50">
        <v>45784.0</v>
      </c>
      <c r="D402" s="50">
        <v>45784.0</v>
      </c>
      <c r="E402" s="38" t="s">
        <v>8488</v>
      </c>
      <c r="F402" s="38" t="s">
        <v>8489</v>
      </c>
      <c r="G402" s="39">
        <v>99922.0</v>
      </c>
      <c r="H402" s="45">
        <v>8600.0</v>
      </c>
      <c r="I402" s="40"/>
      <c r="J402" s="38"/>
      <c r="K402" s="38" t="s">
        <v>8490</v>
      </c>
      <c r="L402" s="38" t="s">
        <v>123</v>
      </c>
      <c r="M402" s="15"/>
      <c r="N402" s="15" t="s">
        <v>114</v>
      </c>
      <c r="O402" s="15" t="s">
        <v>169</v>
      </c>
    </row>
    <row r="403">
      <c r="A403" s="18" t="s">
        <v>7498</v>
      </c>
      <c r="B403" s="38" t="s">
        <v>8491</v>
      </c>
      <c r="C403" s="50">
        <v>45784.0</v>
      </c>
      <c r="D403" s="50">
        <v>45784.0</v>
      </c>
      <c r="E403" s="38" t="s">
        <v>8492</v>
      </c>
      <c r="F403" s="38" t="s">
        <v>8493</v>
      </c>
      <c r="G403" s="39">
        <v>99922.0</v>
      </c>
      <c r="H403" s="45">
        <v>16433.0</v>
      </c>
      <c r="I403" s="40"/>
      <c r="J403" s="38"/>
      <c r="K403" s="38" t="s">
        <v>8494</v>
      </c>
      <c r="L403" s="38" t="s">
        <v>123</v>
      </c>
      <c r="M403" s="15"/>
      <c r="N403" s="15" t="s">
        <v>114</v>
      </c>
      <c r="O403" s="15" t="s">
        <v>169</v>
      </c>
    </row>
    <row r="404">
      <c r="A404" s="18" t="s">
        <v>7498</v>
      </c>
      <c r="B404" s="38" t="s">
        <v>8495</v>
      </c>
      <c r="C404" s="50">
        <v>45784.0</v>
      </c>
      <c r="D404" s="50">
        <v>45784.0</v>
      </c>
      <c r="E404" s="38" t="s">
        <v>7657</v>
      </c>
      <c r="F404" s="38" t="s">
        <v>8496</v>
      </c>
      <c r="G404" s="39">
        <v>99922.0</v>
      </c>
      <c r="H404" s="45">
        <v>20000.0</v>
      </c>
      <c r="I404" s="40"/>
      <c r="J404" s="38"/>
      <c r="K404" s="38" t="s">
        <v>8497</v>
      </c>
      <c r="L404" s="38" t="s">
        <v>123</v>
      </c>
      <c r="M404" s="15"/>
      <c r="N404" s="15" t="s">
        <v>114</v>
      </c>
      <c r="O404" s="15" t="s">
        <v>169</v>
      </c>
    </row>
    <row r="405">
      <c r="A405" s="18" t="s">
        <v>7498</v>
      </c>
      <c r="B405" s="38" t="s">
        <v>8498</v>
      </c>
      <c r="C405" s="50">
        <v>45785.0</v>
      </c>
      <c r="D405" s="50">
        <v>45785.0</v>
      </c>
      <c r="E405" s="38" t="s">
        <v>8499</v>
      </c>
      <c r="F405" s="38" t="s">
        <v>7580</v>
      </c>
      <c r="G405" s="39">
        <v>16446.0</v>
      </c>
      <c r="H405" s="40"/>
      <c r="I405" s="45">
        <v>2000.0</v>
      </c>
      <c r="J405" s="15"/>
      <c r="K405" s="15"/>
      <c r="L405" s="38" t="s">
        <v>127</v>
      </c>
      <c r="M405" s="38" t="s">
        <v>8500</v>
      </c>
      <c r="N405" s="15" t="s">
        <v>24</v>
      </c>
      <c r="O405" s="15" t="s">
        <v>60</v>
      </c>
    </row>
    <row r="406">
      <c r="A406" s="18" t="s">
        <v>7498</v>
      </c>
      <c r="B406" s="38" t="s">
        <v>8501</v>
      </c>
      <c r="C406" s="50">
        <v>45785.0</v>
      </c>
      <c r="D406" s="50">
        <v>45785.0</v>
      </c>
      <c r="E406" s="38" t="s">
        <v>8502</v>
      </c>
      <c r="F406" s="38" t="s">
        <v>7580</v>
      </c>
      <c r="G406" s="39">
        <v>16446.0</v>
      </c>
      <c r="H406" s="40"/>
      <c r="I406" s="45">
        <v>2000.0</v>
      </c>
      <c r="J406" s="15"/>
      <c r="K406" s="15"/>
      <c r="L406" s="38" t="s">
        <v>127</v>
      </c>
      <c r="M406" s="15"/>
      <c r="N406" s="15" t="s">
        <v>24</v>
      </c>
      <c r="O406" s="15" t="s">
        <v>60</v>
      </c>
    </row>
    <row r="407">
      <c r="A407" s="18" t="s">
        <v>7498</v>
      </c>
      <c r="B407" s="38" t="s">
        <v>8503</v>
      </c>
      <c r="C407" s="50">
        <v>45785.0</v>
      </c>
      <c r="D407" s="50">
        <v>45785.0</v>
      </c>
      <c r="E407" s="38" t="s">
        <v>8504</v>
      </c>
      <c r="F407" s="38" t="s">
        <v>7580</v>
      </c>
      <c r="G407" s="39">
        <v>16446.0</v>
      </c>
      <c r="H407" s="40"/>
      <c r="I407" s="42">
        <v>588.0</v>
      </c>
      <c r="J407" s="15"/>
      <c r="K407" s="15"/>
      <c r="L407" s="38" t="s">
        <v>127</v>
      </c>
      <c r="M407" s="38" t="s">
        <v>758</v>
      </c>
      <c r="N407" s="15" t="s">
        <v>24</v>
      </c>
      <c r="O407" s="15" t="s">
        <v>60</v>
      </c>
    </row>
    <row r="408">
      <c r="A408" s="18" t="s">
        <v>7498</v>
      </c>
      <c r="B408" s="38" t="s">
        <v>8505</v>
      </c>
      <c r="C408" s="50">
        <v>45786.0</v>
      </c>
      <c r="D408" s="50">
        <v>45786.0</v>
      </c>
      <c r="E408" s="38" t="s">
        <v>8506</v>
      </c>
      <c r="F408" s="38" t="s">
        <v>7508</v>
      </c>
      <c r="G408" s="39">
        <v>16446.0</v>
      </c>
      <c r="H408" s="40"/>
      <c r="I408" s="42">
        <v>241.0</v>
      </c>
      <c r="J408" s="15"/>
      <c r="K408" s="15"/>
      <c r="L408" s="38" t="s">
        <v>123</v>
      </c>
      <c r="M408" s="53" t="s">
        <v>8507</v>
      </c>
      <c r="N408" s="15" t="s">
        <v>24</v>
      </c>
      <c r="O408" s="15" t="s">
        <v>60</v>
      </c>
    </row>
    <row r="409">
      <c r="A409" s="18" t="s">
        <v>7498</v>
      </c>
      <c r="B409" s="38" t="s">
        <v>8508</v>
      </c>
      <c r="C409" s="50">
        <v>45786.0</v>
      </c>
      <c r="D409" s="50">
        <v>45786.0</v>
      </c>
      <c r="E409" s="38" t="s">
        <v>8509</v>
      </c>
      <c r="F409" s="38" t="s">
        <v>7857</v>
      </c>
      <c r="G409" s="39">
        <v>4430.0</v>
      </c>
      <c r="H409" s="40"/>
      <c r="I409" s="45">
        <v>4345.0</v>
      </c>
      <c r="J409" s="38"/>
      <c r="K409" s="38" t="s">
        <v>8510</v>
      </c>
      <c r="L409" s="38" t="s">
        <v>127</v>
      </c>
      <c r="M409" s="15"/>
      <c r="N409" s="15" t="s">
        <v>24</v>
      </c>
      <c r="O409" s="15" t="s">
        <v>60</v>
      </c>
    </row>
    <row r="410">
      <c r="A410" s="18" t="s">
        <v>7498</v>
      </c>
      <c r="B410" s="38" t="s">
        <v>8511</v>
      </c>
      <c r="C410" s="50">
        <v>45786.0</v>
      </c>
      <c r="D410" s="50">
        <v>45786.0</v>
      </c>
      <c r="E410" s="38" t="s">
        <v>8512</v>
      </c>
      <c r="F410" s="38" t="s">
        <v>8513</v>
      </c>
      <c r="G410" s="39">
        <v>99922.0</v>
      </c>
      <c r="H410" s="45">
        <v>11533.0</v>
      </c>
      <c r="I410" s="40"/>
      <c r="J410" s="38"/>
      <c r="K410" s="38" t="s">
        <v>1229</v>
      </c>
      <c r="L410" s="38" t="s">
        <v>127</v>
      </c>
      <c r="M410" s="15"/>
      <c r="N410" s="15" t="s">
        <v>114</v>
      </c>
      <c r="O410" s="15" t="s">
        <v>169</v>
      </c>
    </row>
    <row r="411">
      <c r="A411" s="18" t="s">
        <v>7498</v>
      </c>
      <c r="B411" s="38" t="s">
        <v>8514</v>
      </c>
      <c r="C411" s="50">
        <v>45786.0</v>
      </c>
      <c r="D411" s="50">
        <v>45786.0</v>
      </c>
      <c r="E411" s="38" t="s">
        <v>8515</v>
      </c>
      <c r="F411" s="38" t="s">
        <v>7508</v>
      </c>
      <c r="G411" s="39">
        <v>16446.0</v>
      </c>
      <c r="H411" s="40"/>
      <c r="I411" s="42">
        <v>199.0</v>
      </c>
      <c r="J411" s="15"/>
      <c r="K411" s="15"/>
      <c r="L411" s="38" t="s">
        <v>123</v>
      </c>
      <c r="M411" s="38" t="s">
        <v>8516</v>
      </c>
      <c r="N411" s="15" t="s">
        <v>24</v>
      </c>
      <c r="O411" s="15" t="s">
        <v>60</v>
      </c>
    </row>
    <row r="412">
      <c r="A412" s="18" t="s">
        <v>7498</v>
      </c>
      <c r="B412" s="38" t="s">
        <v>8517</v>
      </c>
      <c r="C412" s="50">
        <v>45786.0</v>
      </c>
      <c r="D412" s="50">
        <v>45786.0</v>
      </c>
      <c r="E412" s="38" t="s">
        <v>8518</v>
      </c>
      <c r="F412" s="38" t="s">
        <v>7508</v>
      </c>
      <c r="G412" s="39">
        <v>16446.0</v>
      </c>
      <c r="H412" s="40"/>
      <c r="I412" s="42">
        <v>750.0</v>
      </c>
      <c r="J412" s="15"/>
      <c r="K412" s="15"/>
      <c r="L412" s="38" t="s">
        <v>123</v>
      </c>
      <c r="M412" s="38" t="s">
        <v>8519</v>
      </c>
      <c r="N412" s="15" t="s">
        <v>24</v>
      </c>
      <c r="O412" s="15" t="s">
        <v>60</v>
      </c>
    </row>
    <row r="413">
      <c r="A413" s="18" t="s">
        <v>7498</v>
      </c>
      <c r="B413" s="38" t="s">
        <v>8520</v>
      </c>
      <c r="C413" s="50">
        <v>45786.0</v>
      </c>
      <c r="D413" s="50">
        <v>45786.0</v>
      </c>
      <c r="E413" s="38" t="s">
        <v>8521</v>
      </c>
      <c r="F413" s="38" t="s">
        <v>7508</v>
      </c>
      <c r="G413" s="39">
        <v>16446.0</v>
      </c>
      <c r="H413" s="40"/>
      <c r="I413" s="42">
        <v>640.0</v>
      </c>
      <c r="J413" s="15"/>
      <c r="K413" s="15"/>
      <c r="L413" s="38" t="s">
        <v>127</v>
      </c>
      <c r="M413" s="38" t="s">
        <v>8522</v>
      </c>
      <c r="N413" s="15" t="s">
        <v>24</v>
      </c>
      <c r="O413" s="15" t="s">
        <v>60</v>
      </c>
    </row>
    <row r="414">
      <c r="A414" s="18" t="s">
        <v>7498</v>
      </c>
      <c r="B414" s="38" t="s">
        <v>8523</v>
      </c>
      <c r="C414" s="50">
        <v>45786.0</v>
      </c>
      <c r="D414" s="50">
        <v>45786.0</v>
      </c>
      <c r="E414" s="38" t="s">
        <v>8524</v>
      </c>
      <c r="F414" s="38" t="s">
        <v>7508</v>
      </c>
      <c r="G414" s="39">
        <v>16446.0</v>
      </c>
      <c r="H414" s="40"/>
      <c r="I414" s="42">
        <v>320.0</v>
      </c>
      <c r="J414" s="15"/>
      <c r="K414" s="15"/>
      <c r="L414" s="38" t="s">
        <v>127</v>
      </c>
      <c r="M414" s="38" t="s">
        <v>1024</v>
      </c>
      <c r="N414" s="15" t="s">
        <v>24</v>
      </c>
      <c r="O414" s="15" t="s">
        <v>60</v>
      </c>
    </row>
    <row r="415">
      <c r="A415" s="18" t="s">
        <v>7498</v>
      </c>
      <c r="B415" s="38" t="s">
        <v>8525</v>
      </c>
      <c r="C415" s="50">
        <v>45786.0</v>
      </c>
      <c r="D415" s="50">
        <v>45786.0</v>
      </c>
      <c r="E415" s="38" t="s">
        <v>8526</v>
      </c>
      <c r="F415" s="38" t="s">
        <v>7508</v>
      </c>
      <c r="G415" s="39">
        <v>16446.0</v>
      </c>
      <c r="H415" s="40"/>
      <c r="I415" s="42">
        <v>900.0</v>
      </c>
      <c r="J415" s="15"/>
      <c r="K415" s="15"/>
      <c r="L415" s="38" t="s">
        <v>127</v>
      </c>
      <c r="M415" s="38" t="s">
        <v>8527</v>
      </c>
      <c r="N415" s="15" t="s">
        <v>24</v>
      </c>
      <c r="O415" s="15" t="s">
        <v>60</v>
      </c>
    </row>
    <row r="416">
      <c r="A416" s="18" t="s">
        <v>7498</v>
      </c>
      <c r="B416" s="38" t="s">
        <v>8528</v>
      </c>
      <c r="C416" s="54">
        <v>45787.0</v>
      </c>
      <c r="D416" s="54">
        <v>45787.0</v>
      </c>
      <c r="E416" s="38" t="s">
        <v>8529</v>
      </c>
      <c r="F416" s="38" t="s">
        <v>7534</v>
      </c>
      <c r="G416" s="39">
        <v>16446.0</v>
      </c>
      <c r="H416" s="40"/>
      <c r="I416" s="42">
        <v>288.0</v>
      </c>
      <c r="J416" s="15"/>
      <c r="K416" s="15"/>
      <c r="L416" s="38" t="s">
        <v>127</v>
      </c>
      <c r="M416" s="55" t="s">
        <v>8530</v>
      </c>
      <c r="N416" s="15" t="s">
        <v>24</v>
      </c>
      <c r="O416" s="15" t="s">
        <v>60</v>
      </c>
    </row>
    <row r="417">
      <c r="A417" s="18" t="s">
        <v>7498</v>
      </c>
      <c r="B417" s="38" t="s">
        <v>8531</v>
      </c>
      <c r="C417" s="54">
        <v>45788.0</v>
      </c>
      <c r="D417" s="54">
        <v>45788.0</v>
      </c>
      <c r="E417" s="38" t="s">
        <v>8532</v>
      </c>
      <c r="F417" s="38" t="s">
        <v>8533</v>
      </c>
      <c r="G417" s="39">
        <v>99922.0</v>
      </c>
      <c r="H417" s="45">
        <v>7000.0</v>
      </c>
      <c r="I417" s="40"/>
      <c r="J417" s="38"/>
      <c r="K417" s="38" t="s">
        <v>8534</v>
      </c>
      <c r="L417" s="38" t="s">
        <v>123</v>
      </c>
      <c r="M417" s="15"/>
      <c r="N417" s="15" t="s">
        <v>114</v>
      </c>
      <c r="O417" s="15" t="s">
        <v>169</v>
      </c>
    </row>
    <row r="418">
      <c r="A418" s="18" t="s">
        <v>7498</v>
      </c>
      <c r="B418" s="38" t="s">
        <v>8535</v>
      </c>
      <c r="C418" s="54">
        <v>45788.0</v>
      </c>
      <c r="D418" s="54">
        <v>45788.0</v>
      </c>
      <c r="E418" s="38" t="s">
        <v>8536</v>
      </c>
      <c r="F418" s="38" t="s">
        <v>8537</v>
      </c>
      <c r="G418" s="39">
        <v>99922.0</v>
      </c>
      <c r="H418" s="45">
        <v>10333.0</v>
      </c>
      <c r="I418" s="40"/>
      <c r="J418" s="38"/>
      <c r="K418" s="38" t="s">
        <v>8538</v>
      </c>
      <c r="L418" s="38" t="s">
        <v>127</v>
      </c>
      <c r="M418" s="15"/>
      <c r="N418" s="15" t="s">
        <v>114</v>
      </c>
      <c r="O418" s="15" t="s">
        <v>169</v>
      </c>
    </row>
    <row r="419">
      <c r="A419" s="18" t="s">
        <v>7498</v>
      </c>
      <c r="B419" s="38" t="s">
        <v>8539</v>
      </c>
      <c r="C419" s="54">
        <v>45788.0</v>
      </c>
      <c r="D419" s="54">
        <v>45788.0</v>
      </c>
      <c r="E419" s="38" t="s">
        <v>7657</v>
      </c>
      <c r="F419" s="38" t="s">
        <v>8540</v>
      </c>
      <c r="G419" s="39">
        <v>99922.0</v>
      </c>
      <c r="H419" s="45">
        <v>10767.0</v>
      </c>
      <c r="I419" s="40"/>
      <c r="J419" s="38"/>
      <c r="K419" s="38" t="s">
        <v>8541</v>
      </c>
      <c r="L419" s="38" t="s">
        <v>123</v>
      </c>
      <c r="M419" s="15"/>
      <c r="N419" s="15" t="s">
        <v>114</v>
      </c>
      <c r="O419" s="15" t="s">
        <v>169</v>
      </c>
    </row>
    <row r="420">
      <c r="A420" s="18" t="s">
        <v>7498</v>
      </c>
      <c r="B420" s="38" t="s">
        <v>8542</v>
      </c>
      <c r="C420" s="54">
        <v>45788.0</v>
      </c>
      <c r="D420" s="54">
        <v>45788.0</v>
      </c>
      <c r="E420" s="38" t="s">
        <v>7657</v>
      </c>
      <c r="F420" s="38" t="s">
        <v>8543</v>
      </c>
      <c r="G420" s="39">
        <v>99922.0</v>
      </c>
      <c r="H420" s="45">
        <v>1400.0</v>
      </c>
      <c r="I420" s="40"/>
      <c r="J420" s="38"/>
      <c r="K420" s="38" t="s">
        <v>8544</v>
      </c>
      <c r="L420" s="38" t="s">
        <v>127</v>
      </c>
      <c r="M420" s="15"/>
      <c r="N420" s="15" t="s">
        <v>114</v>
      </c>
      <c r="O420" s="15" t="s">
        <v>169</v>
      </c>
    </row>
    <row r="421">
      <c r="A421" s="18" t="s">
        <v>7498</v>
      </c>
      <c r="B421" s="38" t="s">
        <v>8545</v>
      </c>
      <c r="C421" s="54">
        <v>45789.0</v>
      </c>
      <c r="D421" s="54">
        <v>45789.0</v>
      </c>
      <c r="E421" s="38" t="s">
        <v>8546</v>
      </c>
      <c r="F421" s="38" t="s">
        <v>7537</v>
      </c>
      <c r="G421" s="39">
        <v>16446.0</v>
      </c>
      <c r="H421" s="40"/>
      <c r="I421" s="45">
        <v>5000.0</v>
      </c>
      <c r="J421" s="15"/>
      <c r="K421" s="15"/>
      <c r="L421" s="38" t="s">
        <v>127</v>
      </c>
      <c r="M421" s="38" t="s">
        <v>8547</v>
      </c>
      <c r="N421" s="15" t="s">
        <v>24</v>
      </c>
      <c r="O421" s="15" t="s">
        <v>60</v>
      </c>
    </row>
    <row r="422">
      <c r="A422" s="18" t="s">
        <v>7498</v>
      </c>
      <c r="B422" s="38" t="s">
        <v>8548</v>
      </c>
      <c r="C422" s="54">
        <v>45789.0</v>
      </c>
      <c r="D422" s="54">
        <v>45789.0</v>
      </c>
      <c r="E422" s="38" t="s">
        <v>8549</v>
      </c>
      <c r="F422" s="38" t="s">
        <v>7537</v>
      </c>
      <c r="G422" s="39">
        <v>16446.0</v>
      </c>
      <c r="H422" s="40"/>
      <c r="I422" s="42">
        <v>338.0</v>
      </c>
      <c r="J422" s="15"/>
      <c r="K422" s="15"/>
      <c r="L422" s="38" t="s">
        <v>127</v>
      </c>
      <c r="M422" s="38" t="s">
        <v>8550</v>
      </c>
      <c r="N422" s="15" t="s">
        <v>24</v>
      </c>
      <c r="O422" s="15" t="s">
        <v>60</v>
      </c>
    </row>
    <row r="423">
      <c r="A423" s="18" t="s">
        <v>7498</v>
      </c>
      <c r="B423" s="38" t="s">
        <v>8551</v>
      </c>
      <c r="C423" s="54">
        <v>45789.0</v>
      </c>
      <c r="D423" s="54">
        <v>45789.0</v>
      </c>
      <c r="E423" s="38" t="s">
        <v>8552</v>
      </c>
      <c r="F423" s="38" t="s">
        <v>7537</v>
      </c>
      <c r="G423" s="39">
        <v>16446.0</v>
      </c>
      <c r="H423" s="40"/>
      <c r="I423" s="42">
        <v>187.0</v>
      </c>
      <c r="J423" s="15"/>
      <c r="K423" s="15"/>
      <c r="L423" s="38" t="s">
        <v>127</v>
      </c>
      <c r="M423" s="38" t="s">
        <v>944</v>
      </c>
      <c r="N423" s="15" t="s">
        <v>24</v>
      </c>
      <c r="O423" s="15" t="s">
        <v>60</v>
      </c>
    </row>
    <row r="424">
      <c r="A424" s="18" t="s">
        <v>7498</v>
      </c>
      <c r="B424" s="38" t="s">
        <v>8553</v>
      </c>
      <c r="C424" s="54">
        <v>45789.0</v>
      </c>
      <c r="D424" s="54">
        <v>45789.0</v>
      </c>
      <c r="E424" s="38" t="s">
        <v>8554</v>
      </c>
      <c r="F424" s="38" t="s">
        <v>7537</v>
      </c>
      <c r="G424" s="39">
        <v>16446.0</v>
      </c>
      <c r="H424" s="40"/>
      <c r="I424" s="42">
        <v>264.0</v>
      </c>
      <c r="J424" s="15"/>
      <c r="K424" s="15"/>
      <c r="L424" s="38" t="s">
        <v>127</v>
      </c>
      <c r="M424" s="38" t="s">
        <v>8555</v>
      </c>
      <c r="N424" s="15" t="s">
        <v>24</v>
      </c>
      <c r="O424" s="15" t="s">
        <v>60</v>
      </c>
    </row>
    <row r="425">
      <c r="A425" s="18" t="s">
        <v>7498</v>
      </c>
      <c r="B425" s="38" t="s">
        <v>8556</v>
      </c>
      <c r="C425" s="54">
        <v>45790.0</v>
      </c>
      <c r="D425" s="54">
        <v>45790.0</v>
      </c>
      <c r="E425" s="38" t="s">
        <v>8557</v>
      </c>
      <c r="F425" s="38" t="s">
        <v>7544</v>
      </c>
      <c r="G425" s="39">
        <v>16446.0</v>
      </c>
      <c r="H425" s="40"/>
      <c r="I425" s="42">
        <v>265.0</v>
      </c>
      <c r="J425" s="15"/>
      <c r="K425" s="15"/>
      <c r="L425" s="38" t="s">
        <v>123</v>
      </c>
      <c r="M425" s="51" t="s">
        <v>8558</v>
      </c>
      <c r="N425" s="15" t="s">
        <v>24</v>
      </c>
      <c r="O425" s="15" t="s">
        <v>60</v>
      </c>
    </row>
    <row r="426">
      <c r="A426" s="18" t="s">
        <v>7498</v>
      </c>
      <c r="B426" s="38" t="s">
        <v>8559</v>
      </c>
      <c r="C426" s="54">
        <v>45790.0</v>
      </c>
      <c r="D426" s="54">
        <v>45790.0</v>
      </c>
      <c r="E426" s="38" t="s">
        <v>8560</v>
      </c>
      <c r="F426" s="38" t="s">
        <v>7544</v>
      </c>
      <c r="G426" s="39">
        <v>16446.0</v>
      </c>
      <c r="H426" s="40"/>
      <c r="I426" s="42">
        <v>825.0</v>
      </c>
      <c r="J426" s="15"/>
      <c r="K426" s="15"/>
      <c r="L426" s="38" t="s">
        <v>127</v>
      </c>
      <c r="M426" s="38" t="s">
        <v>8561</v>
      </c>
      <c r="N426" s="15" t="s">
        <v>24</v>
      </c>
      <c r="O426" s="15" t="s">
        <v>60</v>
      </c>
    </row>
    <row r="427">
      <c r="A427" s="18" t="s">
        <v>7498</v>
      </c>
      <c r="B427" s="38" t="s">
        <v>8562</v>
      </c>
      <c r="C427" s="54">
        <v>45790.0</v>
      </c>
      <c r="D427" s="54">
        <v>45790.0</v>
      </c>
      <c r="E427" s="38" t="s">
        <v>8563</v>
      </c>
      <c r="F427" s="38" t="s">
        <v>7544</v>
      </c>
      <c r="G427" s="39">
        <v>16446.0</v>
      </c>
      <c r="H427" s="40"/>
      <c r="I427" s="45">
        <v>2472.0</v>
      </c>
      <c r="J427" s="15"/>
      <c r="K427" s="15"/>
      <c r="L427" s="38" t="s">
        <v>127</v>
      </c>
      <c r="M427" s="38" t="s">
        <v>8564</v>
      </c>
      <c r="N427" s="15" t="s">
        <v>24</v>
      </c>
      <c r="O427" s="15" t="s">
        <v>60</v>
      </c>
    </row>
    <row r="428">
      <c r="A428" s="18" t="s">
        <v>7498</v>
      </c>
      <c r="B428" s="38" t="s">
        <v>8565</v>
      </c>
      <c r="C428" s="54">
        <v>45790.0</v>
      </c>
      <c r="D428" s="54">
        <v>45790.0</v>
      </c>
      <c r="E428" s="38" t="s">
        <v>8566</v>
      </c>
      <c r="F428" s="38" t="s">
        <v>7544</v>
      </c>
      <c r="G428" s="39">
        <v>16446.0</v>
      </c>
      <c r="H428" s="40"/>
      <c r="I428" s="42">
        <v>348.0</v>
      </c>
      <c r="J428" s="15"/>
      <c r="K428" s="15"/>
      <c r="L428" s="38" t="s">
        <v>123</v>
      </c>
      <c r="M428" s="38" t="s">
        <v>7931</v>
      </c>
      <c r="N428" s="15" t="s">
        <v>24</v>
      </c>
      <c r="O428" s="15" t="s">
        <v>60</v>
      </c>
    </row>
    <row r="429">
      <c r="A429" s="18" t="s">
        <v>7498</v>
      </c>
      <c r="B429" s="38" t="s">
        <v>8567</v>
      </c>
      <c r="C429" s="54">
        <v>45790.0</v>
      </c>
      <c r="D429" s="54">
        <v>45790.0</v>
      </c>
      <c r="E429" s="38" t="s">
        <v>8568</v>
      </c>
      <c r="F429" s="38" t="s">
        <v>7544</v>
      </c>
      <c r="G429" s="39">
        <v>16446.0</v>
      </c>
      <c r="H429" s="40"/>
      <c r="I429" s="42">
        <v>653.3</v>
      </c>
      <c r="J429" s="15"/>
      <c r="K429" s="15"/>
      <c r="L429" s="38" t="s">
        <v>123</v>
      </c>
      <c r="M429" s="38" t="s">
        <v>8569</v>
      </c>
      <c r="N429" s="15" t="s">
        <v>24</v>
      </c>
      <c r="O429" s="15" t="s">
        <v>60</v>
      </c>
    </row>
    <row r="430">
      <c r="A430" s="18" t="s">
        <v>7498</v>
      </c>
      <c r="B430" s="38" t="s">
        <v>8570</v>
      </c>
      <c r="C430" s="54">
        <v>45790.0</v>
      </c>
      <c r="D430" s="54">
        <v>45790.0</v>
      </c>
      <c r="E430" s="38" t="s">
        <v>8571</v>
      </c>
      <c r="F430" s="38" t="s">
        <v>7544</v>
      </c>
      <c r="G430" s="39">
        <v>16446.0</v>
      </c>
      <c r="H430" s="40"/>
      <c r="I430" s="42">
        <v>480.0</v>
      </c>
      <c r="J430" s="15"/>
      <c r="K430" s="15"/>
      <c r="L430" s="38" t="s">
        <v>127</v>
      </c>
      <c r="M430" s="15"/>
      <c r="N430" s="15" t="s">
        <v>24</v>
      </c>
      <c r="O430" s="15" t="s">
        <v>60</v>
      </c>
    </row>
    <row r="431">
      <c r="A431" s="18" t="s">
        <v>7498</v>
      </c>
      <c r="B431" s="38" t="s">
        <v>8572</v>
      </c>
      <c r="C431" s="54">
        <v>45790.0</v>
      </c>
      <c r="D431" s="54">
        <v>45790.0</v>
      </c>
      <c r="E431" s="38" t="s">
        <v>8573</v>
      </c>
      <c r="F431" s="38" t="s">
        <v>8574</v>
      </c>
      <c r="G431" s="39">
        <v>99922.0</v>
      </c>
      <c r="H431" s="45">
        <v>6700.0</v>
      </c>
      <c r="I431" s="40"/>
      <c r="J431" s="38"/>
      <c r="K431" s="38" t="s">
        <v>6059</v>
      </c>
      <c r="L431" s="38" t="s">
        <v>113</v>
      </c>
      <c r="M431" s="15"/>
      <c r="N431" s="15" t="s">
        <v>114</v>
      </c>
      <c r="O431" s="15" t="s">
        <v>169</v>
      </c>
    </row>
    <row r="432">
      <c r="A432" s="18" t="s">
        <v>7498</v>
      </c>
      <c r="B432" s="38" t="s">
        <v>8575</v>
      </c>
      <c r="C432" s="54">
        <v>45791.0</v>
      </c>
      <c r="D432" s="54">
        <v>45791.0</v>
      </c>
      <c r="E432" s="38" t="s">
        <v>8576</v>
      </c>
      <c r="F432" s="38" t="s">
        <v>7557</v>
      </c>
      <c r="G432" s="39">
        <v>16446.0</v>
      </c>
      <c r="H432" s="40"/>
      <c r="I432" s="42">
        <v>516.0</v>
      </c>
      <c r="J432" s="15"/>
      <c r="K432" s="15"/>
      <c r="L432" s="38" t="s">
        <v>123</v>
      </c>
      <c r="M432" s="38" t="s">
        <v>8577</v>
      </c>
      <c r="N432" s="15" t="s">
        <v>24</v>
      </c>
      <c r="O432" s="15" t="s">
        <v>60</v>
      </c>
    </row>
    <row r="433">
      <c r="A433" s="18" t="s">
        <v>7498</v>
      </c>
      <c r="B433" s="38" t="s">
        <v>8578</v>
      </c>
      <c r="C433" s="54">
        <v>45791.0</v>
      </c>
      <c r="D433" s="54">
        <v>45791.0</v>
      </c>
      <c r="E433" s="38" t="s">
        <v>8579</v>
      </c>
      <c r="F433" s="38" t="s">
        <v>7557</v>
      </c>
      <c r="G433" s="39">
        <v>16446.0</v>
      </c>
      <c r="H433" s="40"/>
      <c r="I433" s="45">
        <v>2999.0</v>
      </c>
      <c r="J433" s="15"/>
      <c r="K433" s="15"/>
      <c r="L433" s="38" t="s">
        <v>123</v>
      </c>
      <c r="M433" s="38" t="s">
        <v>619</v>
      </c>
      <c r="N433" s="15" t="s">
        <v>24</v>
      </c>
      <c r="O433" s="15" t="s">
        <v>60</v>
      </c>
    </row>
    <row r="434">
      <c r="A434" s="18" t="s">
        <v>7498</v>
      </c>
      <c r="B434" s="38" t="s">
        <v>8580</v>
      </c>
      <c r="C434" s="54">
        <v>45791.0</v>
      </c>
      <c r="D434" s="54">
        <v>45791.0</v>
      </c>
      <c r="E434" s="38" t="s">
        <v>8581</v>
      </c>
      <c r="F434" s="38" t="s">
        <v>7557</v>
      </c>
      <c r="G434" s="39">
        <v>16446.0</v>
      </c>
      <c r="H434" s="40"/>
      <c r="I434" s="45">
        <v>2000.0</v>
      </c>
      <c r="J434" s="15"/>
      <c r="K434" s="15"/>
      <c r="L434" s="38" t="s">
        <v>127</v>
      </c>
      <c r="M434" s="38" t="s">
        <v>8582</v>
      </c>
      <c r="N434" s="15" t="s">
        <v>24</v>
      </c>
      <c r="O434" s="15" t="s">
        <v>60</v>
      </c>
    </row>
    <row r="435">
      <c r="A435" s="18" t="s">
        <v>7498</v>
      </c>
      <c r="B435" s="38" t="s">
        <v>8583</v>
      </c>
      <c r="C435" s="54">
        <v>45791.0</v>
      </c>
      <c r="D435" s="54">
        <v>45791.0</v>
      </c>
      <c r="E435" s="38" t="s">
        <v>8584</v>
      </c>
      <c r="F435" s="38" t="s">
        <v>7557</v>
      </c>
      <c r="G435" s="39">
        <v>16446.0</v>
      </c>
      <c r="H435" s="40"/>
      <c r="I435" s="42">
        <v>600.0</v>
      </c>
      <c r="J435" s="15"/>
      <c r="K435" s="15"/>
      <c r="L435" s="38" t="s">
        <v>127</v>
      </c>
      <c r="M435" s="38" t="s">
        <v>8585</v>
      </c>
      <c r="N435" s="15" t="s">
        <v>24</v>
      </c>
      <c r="O435" s="15" t="s">
        <v>60</v>
      </c>
    </row>
    <row r="436">
      <c r="A436" s="18" t="s">
        <v>7498</v>
      </c>
      <c r="B436" s="38" t="s">
        <v>8586</v>
      </c>
      <c r="C436" s="54">
        <v>45791.0</v>
      </c>
      <c r="D436" s="54">
        <v>45791.0</v>
      </c>
      <c r="E436" s="38" t="s">
        <v>8587</v>
      </c>
      <c r="F436" s="38" t="s">
        <v>7557</v>
      </c>
      <c r="G436" s="39">
        <v>16446.0</v>
      </c>
      <c r="H436" s="40"/>
      <c r="I436" s="45">
        <v>1863.0</v>
      </c>
      <c r="J436" s="15"/>
      <c r="K436" s="15"/>
      <c r="L436" s="38" t="s">
        <v>123</v>
      </c>
      <c r="M436" s="38" t="s">
        <v>8588</v>
      </c>
      <c r="N436" s="15" t="s">
        <v>24</v>
      </c>
      <c r="O436" s="15" t="s">
        <v>60</v>
      </c>
    </row>
    <row r="437">
      <c r="A437" s="18" t="s">
        <v>7498</v>
      </c>
      <c r="B437" s="38" t="s">
        <v>8589</v>
      </c>
      <c r="C437" s="54">
        <v>45792.0</v>
      </c>
      <c r="D437" s="54">
        <v>45792.0</v>
      </c>
      <c r="E437" s="38" t="s">
        <v>8590</v>
      </c>
      <c r="F437" s="38" t="s">
        <v>7580</v>
      </c>
      <c r="G437" s="39">
        <v>16446.0</v>
      </c>
      <c r="H437" s="40"/>
      <c r="I437" s="42">
        <v>765.0</v>
      </c>
      <c r="J437" s="15"/>
      <c r="K437" s="15"/>
      <c r="L437" s="38" t="s">
        <v>113</v>
      </c>
      <c r="M437" s="39">
        <v>1.0</v>
      </c>
      <c r="N437" s="15" t="s">
        <v>24</v>
      </c>
      <c r="O437" s="15" t="s">
        <v>60</v>
      </c>
    </row>
    <row r="438">
      <c r="A438" s="18" t="s">
        <v>7498</v>
      </c>
      <c r="B438" s="38" t="s">
        <v>8591</v>
      </c>
      <c r="C438" s="54">
        <v>45792.0</v>
      </c>
      <c r="D438" s="54">
        <v>45792.0</v>
      </c>
      <c r="E438" s="38" t="s">
        <v>8592</v>
      </c>
      <c r="F438" s="38" t="s">
        <v>7580</v>
      </c>
      <c r="G438" s="39">
        <v>16446.0</v>
      </c>
      <c r="H438" s="40"/>
      <c r="I438" s="42">
        <v>623.0</v>
      </c>
      <c r="J438" s="15"/>
      <c r="K438" s="15"/>
      <c r="L438" s="38" t="s">
        <v>127</v>
      </c>
      <c r="M438" s="38" t="s">
        <v>8593</v>
      </c>
      <c r="N438" s="15" t="s">
        <v>24</v>
      </c>
      <c r="O438" s="15" t="s">
        <v>60</v>
      </c>
    </row>
    <row r="439">
      <c r="A439" s="18" t="s">
        <v>7498</v>
      </c>
      <c r="B439" s="38" t="s">
        <v>8594</v>
      </c>
      <c r="C439" s="54">
        <v>45792.0</v>
      </c>
      <c r="D439" s="54">
        <v>45792.0</v>
      </c>
      <c r="E439" s="38" t="s">
        <v>8595</v>
      </c>
      <c r="F439" s="38" t="s">
        <v>7580</v>
      </c>
      <c r="G439" s="39">
        <v>16446.0</v>
      </c>
      <c r="H439" s="40"/>
      <c r="I439" s="42">
        <v>529.0</v>
      </c>
      <c r="J439" s="15"/>
      <c r="K439" s="15"/>
      <c r="L439" s="38" t="s">
        <v>113</v>
      </c>
      <c r="M439" s="39">
        <v>3.0</v>
      </c>
      <c r="N439" s="15" t="s">
        <v>24</v>
      </c>
      <c r="O439" s="15" t="s">
        <v>60</v>
      </c>
    </row>
    <row r="440">
      <c r="A440" s="18" t="s">
        <v>7498</v>
      </c>
      <c r="B440" s="38" t="s">
        <v>8596</v>
      </c>
      <c r="C440" s="54">
        <v>45792.0</v>
      </c>
      <c r="D440" s="54">
        <v>45792.0</v>
      </c>
      <c r="E440" s="38" t="s">
        <v>8597</v>
      </c>
      <c r="F440" s="38" t="s">
        <v>7580</v>
      </c>
      <c r="G440" s="39">
        <v>16446.0</v>
      </c>
      <c r="H440" s="40"/>
      <c r="I440" s="42">
        <v>505.0</v>
      </c>
      <c r="J440" s="15"/>
      <c r="K440" s="15"/>
      <c r="L440" s="38" t="s">
        <v>123</v>
      </c>
      <c r="M440" s="38" t="s">
        <v>8598</v>
      </c>
      <c r="N440" s="15" t="s">
        <v>24</v>
      </c>
      <c r="O440" s="15" t="s">
        <v>60</v>
      </c>
    </row>
    <row r="441">
      <c r="A441" s="18" t="s">
        <v>7498</v>
      </c>
      <c r="B441" s="38" t="s">
        <v>8599</v>
      </c>
      <c r="C441" s="54">
        <v>45793.0</v>
      </c>
      <c r="D441" s="54">
        <v>45793.0</v>
      </c>
      <c r="E441" s="38" t="s">
        <v>8600</v>
      </c>
      <c r="F441" s="38" t="s">
        <v>7501</v>
      </c>
      <c r="G441" s="39">
        <v>4292.0</v>
      </c>
      <c r="H441" s="45">
        <v>1039.27</v>
      </c>
      <c r="I441" s="40"/>
      <c r="J441" s="38"/>
      <c r="K441" s="38" t="s">
        <v>8391</v>
      </c>
      <c r="L441" s="38" t="s">
        <v>127</v>
      </c>
      <c r="M441" s="15"/>
      <c r="N441" s="15" t="s">
        <v>114</v>
      </c>
      <c r="O441" s="15" t="s">
        <v>275</v>
      </c>
    </row>
    <row r="442">
      <c r="A442" s="18" t="s">
        <v>7498</v>
      </c>
      <c r="B442" s="38" t="s">
        <v>8601</v>
      </c>
      <c r="C442" s="54">
        <v>45793.0</v>
      </c>
      <c r="D442" s="54">
        <v>45793.0</v>
      </c>
      <c r="E442" s="38" t="s">
        <v>8602</v>
      </c>
      <c r="F442" s="38" t="s">
        <v>7508</v>
      </c>
      <c r="G442" s="39">
        <v>16446.0</v>
      </c>
      <c r="H442" s="40"/>
      <c r="I442" s="45">
        <v>1352.0</v>
      </c>
      <c r="J442" s="15"/>
      <c r="K442" s="15"/>
      <c r="L442" s="38" t="s">
        <v>127</v>
      </c>
      <c r="M442" s="38" t="s">
        <v>8603</v>
      </c>
      <c r="N442" s="15" t="s">
        <v>24</v>
      </c>
      <c r="O442" s="15" t="s">
        <v>60</v>
      </c>
    </row>
    <row r="443">
      <c r="A443" s="18" t="s">
        <v>7498</v>
      </c>
      <c r="B443" s="38" t="s">
        <v>8604</v>
      </c>
      <c r="C443" s="54">
        <v>45793.0</v>
      </c>
      <c r="D443" s="54">
        <v>45793.0</v>
      </c>
      <c r="E443" s="38" t="s">
        <v>8605</v>
      </c>
      <c r="F443" s="38" t="s">
        <v>7508</v>
      </c>
      <c r="G443" s="39">
        <v>16446.0</v>
      </c>
      <c r="H443" s="40"/>
      <c r="I443" s="42">
        <v>857.0</v>
      </c>
      <c r="J443" s="15"/>
      <c r="K443" s="15"/>
      <c r="L443" s="38" t="s">
        <v>123</v>
      </c>
      <c r="M443" s="15"/>
      <c r="N443" s="15" t="s">
        <v>24</v>
      </c>
      <c r="O443" s="15" t="s">
        <v>60</v>
      </c>
    </row>
    <row r="444">
      <c r="A444" s="18" t="s">
        <v>7498</v>
      </c>
      <c r="B444" s="38" t="s">
        <v>8606</v>
      </c>
      <c r="C444" s="54">
        <v>45793.0</v>
      </c>
      <c r="D444" s="54">
        <v>45793.0</v>
      </c>
      <c r="E444" s="38" t="s">
        <v>8607</v>
      </c>
      <c r="F444" s="38" t="s">
        <v>7508</v>
      </c>
      <c r="G444" s="39">
        <v>16446.0</v>
      </c>
      <c r="H444" s="40"/>
      <c r="I444" s="42">
        <v>360.0</v>
      </c>
      <c r="J444" s="15"/>
      <c r="K444" s="15"/>
      <c r="L444" s="38" t="s">
        <v>127</v>
      </c>
      <c r="M444" s="15"/>
      <c r="N444" s="15" t="s">
        <v>24</v>
      </c>
      <c r="O444" s="15" t="s">
        <v>60</v>
      </c>
    </row>
    <row r="445">
      <c r="A445" s="18" t="s">
        <v>7498</v>
      </c>
      <c r="B445" s="38" t="s">
        <v>8608</v>
      </c>
      <c r="C445" s="54">
        <v>45793.0</v>
      </c>
      <c r="D445" s="54">
        <v>45793.0</v>
      </c>
      <c r="E445" s="38" t="s">
        <v>8609</v>
      </c>
      <c r="F445" s="38" t="s">
        <v>7508</v>
      </c>
      <c r="G445" s="39">
        <v>16446.0</v>
      </c>
      <c r="H445" s="40"/>
      <c r="I445" s="42">
        <v>640.0</v>
      </c>
      <c r="J445" s="15"/>
      <c r="K445" s="15"/>
      <c r="L445" s="38" t="s">
        <v>127</v>
      </c>
      <c r="M445" s="15"/>
      <c r="N445" s="15" t="s">
        <v>24</v>
      </c>
      <c r="O445" s="15" t="s">
        <v>60</v>
      </c>
    </row>
    <row r="446">
      <c r="A446" s="18" t="s">
        <v>7498</v>
      </c>
      <c r="B446" s="38" t="s">
        <v>8610</v>
      </c>
      <c r="C446" s="54">
        <v>45793.0</v>
      </c>
      <c r="D446" s="54">
        <v>45793.0</v>
      </c>
      <c r="E446" s="38" t="s">
        <v>8611</v>
      </c>
      <c r="F446" s="38" t="s">
        <v>7508</v>
      </c>
      <c r="G446" s="39">
        <v>16446.0</v>
      </c>
      <c r="H446" s="40"/>
      <c r="I446" s="42">
        <v>625.0</v>
      </c>
      <c r="J446" s="15"/>
      <c r="K446" s="15"/>
      <c r="L446" s="38" t="s">
        <v>127</v>
      </c>
      <c r="M446" s="38" t="s">
        <v>8612</v>
      </c>
      <c r="N446" s="15" t="s">
        <v>24</v>
      </c>
      <c r="O446" s="15" t="s">
        <v>60</v>
      </c>
    </row>
    <row r="447">
      <c r="A447" s="18" t="s">
        <v>7498</v>
      </c>
      <c r="B447" s="38" t="s">
        <v>8613</v>
      </c>
      <c r="C447" s="54">
        <v>45794.0</v>
      </c>
      <c r="D447" s="54">
        <v>45794.0</v>
      </c>
      <c r="E447" s="38" t="s">
        <v>8614</v>
      </c>
      <c r="F447" s="38" t="s">
        <v>7534</v>
      </c>
      <c r="G447" s="39">
        <v>16446.0</v>
      </c>
      <c r="H447" s="40"/>
      <c r="I447" s="45">
        <v>1692.0</v>
      </c>
      <c r="J447" s="15"/>
      <c r="K447" s="15"/>
      <c r="L447" s="38" t="s">
        <v>123</v>
      </c>
      <c r="M447" s="38" t="s">
        <v>8615</v>
      </c>
      <c r="N447" s="15" t="s">
        <v>24</v>
      </c>
      <c r="O447" s="15" t="s">
        <v>60</v>
      </c>
    </row>
    <row r="448">
      <c r="A448" s="18" t="s">
        <v>7498</v>
      </c>
      <c r="B448" s="38" t="s">
        <v>8616</v>
      </c>
      <c r="C448" s="54">
        <v>45794.0</v>
      </c>
      <c r="D448" s="54">
        <v>45794.0</v>
      </c>
      <c r="E448" s="38" t="s">
        <v>8617</v>
      </c>
      <c r="F448" s="38" t="s">
        <v>7534</v>
      </c>
      <c r="G448" s="39">
        <v>16446.0</v>
      </c>
      <c r="H448" s="40"/>
      <c r="I448" s="42">
        <v>55.0</v>
      </c>
      <c r="J448" s="15"/>
      <c r="K448" s="15"/>
      <c r="L448" s="38" t="s">
        <v>127</v>
      </c>
      <c r="M448" s="15"/>
      <c r="N448" s="15" t="s">
        <v>24</v>
      </c>
      <c r="O448" s="15" t="s">
        <v>60</v>
      </c>
    </row>
    <row r="449">
      <c r="A449" s="18" t="s">
        <v>7498</v>
      </c>
      <c r="B449" s="38" t="s">
        <v>8618</v>
      </c>
      <c r="C449" s="54">
        <v>45794.0</v>
      </c>
      <c r="D449" s="54">
        <v>45794.0</v>
      </c>
      <c r="E449" s="38" t="s">
        <v>8619</v>
      </c>
      <c r="F449" s="38" t="s">
        <v>7534</v>
      </c>
      <c r="G449" s="39">
        <v>16446.0</v>
      </c>
      <c r="H449" s="40"/>
      <c r="I449" s="42">
        <v>320.0</v>
      </c>
      <c r="J449" s="15"/>
      <c r="K449" s="15"/>
      <c r="L449" s="38" t="s">
        <v>127</v>
      </c>
      <c r="M449" s="38" t="s">
        <v>8620</v>
      </c>
      <c r="N449" s="15" t="s">
        <v>24</v>
      </c>
      <c r="O449" s="15" t="s">
        <v>60</v>
      </c>
    </row>
    <row r="450">
      <c r="A450" s="18" t="s">
        <v>7498</v>
      </c>
      <c r="B450" s="38" t="s">
        <v>8621</v>
      </c>
      <c r="C450" s="54">
        <v>45794.0</v>
      </c>
      <c r="D450" s="54">
        <v>45794.0</v>
      </c>
      <c r="E450" s="38" t="s">
        <v>8622</v>
      </c>
      <c r="F450" s="38" t="s">
        <v>7534</v>
      </c>
      <c r="G450" s="39">
        <v>16446.0</v>
      </c>
      <c r="H450" s="40"/>
      <c r="I450" s="42">
        <v>320.0</v>
      </c>
      <c r="J450" s="15"/>
      <c r="K450" s="15"/>
      <c r="L450" s="38" t="s">
        <v>127</v>
      </c>
      <c r="M450" s="38" t="s">
        <v>8623</v>
      </c>
      <c r="N450" s="15" t="s">
        <v>24</v>
      </c>
      <c r="O450" s="15" t="s">
        <v>60</v>
      </c>
    </row>
    <row r="451">
      <c r="A451" s="18" t="s">
        <v>7498</v>
      </c>
      <c r="B451" s="38" t="s">
        <v>8624</v>
      </c>
      <c r="C451" s="54">
        <v>45794.0</v>
      </c>
      <c r="D451" s="54">
        <v>45794.0</v>
      </c>
      <c r="E451" s="38" t="s">
        <v>8625</v>
      </c>
      <c r="F451" s="38" t="s">
        <v>7534</v>
      </c>
      <c r="G451" s="39">
        <v>16446.0</v>
      </c>
      <c r="H451" s="40"/>
      <c r="I451" s="45">
        <v>2000.0</v>
      </c>
      <c r="J451" s="15"/>
      <c r="K451" s="15"/>
      <c r="L451" s="38" t="s">
        <v>127</v>
      </c>
      <c r="M451" s="38" t="s">
        <v>1115</v>
      </c>
      <c r="N451" s="15" t="s">
        <v>24</v>
      </c>
      <c r="O451" s="15" t="s">
        <v>60</v>
      </c>
    </row>
    <row r="452">
      <c r="A452" s="18" t="s">
        <v>7498</v>
      </c>
      <c r="B452" s="38" t="s">
        <v>8626</v>
      </c>
      <c r="C452" s="54">
        <v>45794.0</v>
      </c>
      <c r="D452" s="54">
        <v>45794.0</v>
      </c>
      <c r="E452" s="38" t="s">
        <v>8627</v>
      </c>
      <c r="F452" s="38" t="s">
        <v>7534</v>
      </c>
      <c r="G452" s="39">
        <v>16446.0</v>
      </c>
      <c r="H452" s="40"/>
      <c r="I452" s="42">
        <v>910.0</v>
      </c>
      <c r="J452" s="15"/>
      <c r="K452" s="15"/>
      <c r="L452" s="38" t="s">
        <v>127</v>
      </c>
      <c r="M452" s="38" t="s">
        <v>8628</v>
      </c>
      <c r="N452" s="15" t="s">
        <v>24</v>
      </c>
      <c r="O452" s="15" t="s">
        <v>60</v>
      </c>
    </row>
    <row r="453">
      <c r="A453" s="18" t="s">
        <v>7498</v>
      </c>
      <c r="B453" s="38" t="s">
        <v>8629</v>
      </c>
      <c r="C453" s="54">
        <v>45795.0</v>
      </c>
      <c r="D453" s="54">
        <v>45795.0</v>
      </c>
      <c r="E453" s="38" t="s">
        <v>8630</v>
      </c>
      <c r="F453" s="38" t="s">
        <v>7567</v>
      </c>
      <c r="G453" s="39">
        <v>16446.0</v>
      </c>
      <c r="H453" s="40"/>
      <c r="I453" s="42">
        <v>896.0</v>
      </c>
      <c r="J453" s="15"/>
      <c r="K453" s="15"/>
      <c r="L453" s="38" t="s">
        <v>127</v>
      </c>
      <c r="M453" s="38" t="s">
        <v>8631</v>
      </c>
      <c r="N453" s="15" t="s">
        <v>24</v>
      </c>
      <c r="O453" s="15" t="s">
        <v>60</v>
      </c>
    </row>
    <row r="454">
      <c r="A454" s="18" t="s">
        <v>7498</v>
      </c>
      <c r="B454" s="38" t="s">
        <v>8632</v>
      </c>
      <c r="C454" s="54">
        <v>45795.0</v>
      </c>
      <c r="D454" s="54">
        <v>45795.0</v>
      </c>
      <c r="E454" s="38" t="s">
        <v>8633</v>
      </c>
      <c r="F454" s="38" t="s">
        <v>7567</v>
      </c>
      <c r="G454" s="39">
        <v>16446.0</v>
      </c>
      <c r="H454" s="40"/>
      <c r="I454" s="42">
        <v>479.0</v>
      </c>
      <c r="J454" s="15"/>
      <c r="K454" s="15"/>
      <c r="L454" s="38" t="s">
        <v>123</v>
      </c>
      <c r="M454" s="13" t="s">
        <v>8634</v>
      </c>
      <c r="N454" s="15" t="s">
        <v>24</v>
      </c>
      <c r="O454" s="15" t="s">
        <v>60</v>
      </c>
    </row>
    <row r="455">
      <c r="A455" s="18" t="s">
        <v>7498</v>
      </c>
      <c r="B455" s="38" t="s">
        <v>8635</v>
      </c>
      <c r="C455" s="54">
        <v>45795.0</v>
      </c>
      <c r="D455" s="54">
        <v>45795.0</v>
      </c>
      <c r="E455" s="38" t="s">
        <v>8636</v>
      </c>
      <c r="F455" s="38" t="s">
        <v>7567</v>
      </c>
      <c r="G455" s="39">
        <v>16446.0</v>
      </c>
      <c r="H455" s="40"/>
      <c r="I455" s="42">
        <v>300.0</v>
      </c>
      <c r="J455" s="15"/>
      <c r="K455" s="15"/>
      <c r="L455" s="38" t="s">
        <v>123</v>
      </c>
      <c r="M455" s="15"/>
      <c r="N455" s="15" t="s">
        <v>24</v>
      </c>
      <c r="O455" s="15" t="s">
        <v>60</v>
      </c>
    </row>
    <row r="456">
      <c r="A456" s="18" t="s">
        <v>7498</v>
      </c>
      <c r="B456" s="38" t="s">
        <v>8637</v>
      </c>
      <c r="C456" s="54">
        <v>45795.0</v>
      </c>
      <c r="D456" s="54">
        <v>45795.0</v>
      </c>
      <c r="E456" s="38" t="s">
        <v>8638</v>
      </c>
      <c r="F456" s="38" t="s">
        <v>7567</v>
      </c>
      <c r="G456" s="39">
        <v>16446.0</v>
      </c>
      <c r="H456" s="40"/>
      <c r="I456" s="42">
        <v>99.0</v>
      </c>
      <c r="J456" s="15"/>
      <c r="K456" s="15"/>
      <c r="L456" s="38" t="s">
        <v>123</v>
      </c>
      <c r="M456" s="38" t="s">
        <v>8639</v>
      </c>
      <c r="N456" s="15" t="s">
        <v>24</v>
      </c>
      <c r="O456" s="15" t="s">
        <v>60</v>
      </c>
    </row>
    <row r="457">
      <c r="A457" s="18" t="s">
        <v>7498</v>
      </c>
      <c r="B457" s="38" t="s">
        <v>8640</v>
      </c>
      <c r="C457" s="54">
        <v>45795.0</v>
      </c>
      <c r="D457" s="54">
        <v>45795.0</v>
      </c>
      <c r="E457" s="38" t="s">
        <v>8641</v>
      </c>
      <c r="F457" s="38" t="s">
        <v>7567</v>
      </c>
      <c r="G457" s="39">
        <v>16446.0</v>
      </c>
      <c r="H457" s="40"/>
      <c r="I457" s="45">
        <v>1420.0</v>
      </c>
      <c r="J457" s="15"/>
      <c r="K457" s="15"/>
      <c r="L457" s="38" t="s">
        <v>127</v>
      </c>
      <c r="M457" s="38" t="s">
        <v>8642</v>
      </c>
      <c r="N457" s="15" t="s">
        <v>24</v>
      </c>
      <c r="O457" s="15" t="s">
        <v>60</v>
      </c>
    </row>
    <row r="458">
      <c r="A458" s="18" t="s">
        <v>7498</v>
      </c>
      <c r="B458" s="38" t="s">
        <v>8643</v>
      </c>
      <c r="C458" s="54">
        <v>45796.0</v>
      </c>
      <c r="D458" s="54">
        <v>45796.0</v>
      </c>
      <c r="E458" s="38" t="s">
        <v>8644</v>
      </c>
      <c r="F458" s="38" t="s">
        <v>7537</v>
      </c>
      <c r="G458" s="39">
        <v>16446.0</v>
      </c>
      <c r="H458" s="40"/>
      <c r="I458" s="45">
        <v>2881.0</v>
      </c>
      <c r="J458" s="15"/>
      <c r="K458" s="15"/>
      <c r="L458" s="38" t="s">
        <v>123</v>
      </c>
      <c r="M458" s="13" t="s">
        <v>8645</v>
      </c>
      <c r="N458" s="15" t="s">
        <v>24</v>
      </c>
      <c r="O458" s="15" t="s">
        <v>60</v>
      </c>
    </row>
    <row r="459">
      <c r="A459" s="18" t="s">
        <v>7498</v>
      </c>
      <c r="B459" s="38" t="s">
        <v>8646</v>
      </c>
      <c r="C459" s="54">
        <v>45796.0</v>
      </c>
      <c r="D459" s="54">
        <v>45796.0</v>
      </c>
      <c r="E459" s="38" t="s">
        <v>8647</v>
      </c>
      <c r="F459" s="38" t="s">
        <v>7537</v>
      </c>
      <c r="G459" s="39">
        <v>16446.0</v>
      </c>
      <c r="H459" s="40"/>
      <c r="I459" s="42">
        <v>480.0</v>
      </c>
      <c r="J459" s="15"/>
      <c r="K459" s="15"/>
      <c r="L459" s="38" t="s">
        <v>127</v>
      </c>
      <c r="M459" s="38" t="s">
        <v>1091</v>
      </c>
      <c r="N459" s="15" t="s">
        <v>24</v>
      </c>
      <c r="O459" s="15" t="s">
        <v>60</v>
      </c>
    </row>
    <row r="460">
      <c r="A460" s="18" t="s">
        <v>7498</v>
      </c>
      <c r="B460" s="38" t="s">
        <v>8648</v>
      </c>
      <c r="C460" s="54">
        <v>45796.0</v>
      </c>
      <c r="D460" s="54">
        <v>45796.0</v>
      </c>
      <c r="E460" s="38" t="s">
        <v>8649</v>
      </c>
      <c r="F460" s="38" t="s">
        <v>7537</v>
      </c>
      <c r="G460" s="39">
        <v>16446.0</v>
      </c>
      <c r="H460" s="40"/>
      <c r="I460" s="42">
        <v>287.0</v>
      </c>
      <c r="J460" s="15"/>
      <c r="K460" s="15"/>
      <c r="L460" s="38" t="s">
        <v>123</v>
      </c>
      <c r="M460" s="53" t="s">
        <v>8650</v>
      </c>
      <c r="N460" s="15" t="s">
        <v>24</v>
      </c>
      <c r="O460" s="15" t="s">
        <v>60</v>
      </c>
    </row>
    <row r="461">
      <c r="A461" s="18" t="s">
        <v>7498</v>
      </c>
      <c r="B461" s="38" t="s">
        <v>8651</v>
      </c>
      <c r="C461" s="54">
        <v>45796.0</v>
      </c>
      <c r="D461" s="54">
        <v>45796.0</v>
      </c>
      <c r="E461" s="38" t="s">
        <v>8652</v>
      </c>
      <c r="F461" s="38" t="s">
        <v>7537</v>
      </c>
      <c r="G461" s="39">
        <v>16446.0</v>
      </c>
      <c r="H461" s="40"/>
      <c r="I461" s="42">
        <v>417.0</v>
      </c>
      <c r="J461" s="15"/>
      <c r="K461" s="15"/>
      <c r="L461" s="38" t="s">
        <v>123</v>
      </c>
      <c r="M461" s="15"/>
      <c r="N461" s="15" t="s">
        <v>24</v>
      </c>
      <c r="O461" s="15" t="s">
        <v>60</v>
      </c>
    </row>
    <row r="462">
      <c r="A462" s="18" t="s">
        <v>7498</v>
      </c>
      <c r="B462" s="38" t="s">
        <v>8653</v>
      </c>
      <c r="C462" s="54">
        <v>45797.0</v>
      </c>
      <c r="D462" s="54">
        <v>45797.0</v>
      </c>
      <c r="E462" s="38" t="s">
        <v>8654</v>
      </c>
      <c r="F462" s="38" t="s">
        <v>7544</v>
      </c>
      <c r="G462" s="39">
        <v>16446.0</v>
      </c>
      <c r="H462" s="40"/>
      <c r="I462" s="45">
        <v>1347.0</v>
      </c>
      <c r="J462" s="15"/>
      <c r="K462" s="15"/>
      <c r="L462" s="38" t="s">
        <v>113</v>
      </c>
      <c r="M462" s="52" t="s">
        <v>8655</v>
      </c>
      <c r="N462" s="15" t="s">
        <v>24</v>
      </c>
      <c r="O462" s="15" t="s">
        <v>60</v>
      </c>
    </row>
    <row r="463">
      <c r="A463" s="18" t="s">
        <v>7498</v>
      </c>
      <c r="B463" s="38" t="s">
        <v>8656</v>
      </c>
      <c r="C463" s="54">
        <v>45797.0</v>
      </c>
      <c r="D463" s="54">
        <v>45797.0</v>
      </c>
      <c r="E463" s="38" t="s">
        <v>8657</v>
      </c>
      <c r="F463" s="38" t="s">
        <v>7544</v>
      </c>
      <c r="G463" s="39">
        <v>16446.0</v>
      </c>
      <c r="H463" s="40"/>
      <c r="I463" s="45">
        <v>1633.0</v>
      </c>
      <c r="J463" s="15"/>
      <c r="K463" s="15"/>
      <c r="L463" s="38" t="s">
        <v>113</v>
      </c>
      <c r="M463" s="52" t="s">
        <v>8658</v>
      </c>
      <c r="N463" s="15" t="s">
        <v>24</v>
      </c>
      <c r="O463" s="15" t="s">
        <v>60</v>
      </c>
    </row>
    <row r="464">
      <c r="A464" s="18" t="s">
        <v>7498</v>
      </c>
      <c r="B464" s="38" t="s">
        <v>8659</v>
      </c>
      <c r="C464" s="54">
        <v>45797.0</v>
      </c>
      <c r="D464" s="54">
        <v>45797.0</v>
      </c>
      <c r="E464" s="38" t="s">
        <v>8660</v>
      </c>
      <c r="F464" s="38" t="s">
        <v>7544</v>
      </c>
      <c r="G464" s="39">
        <v>16446.0</v>
      </c>
      <c r="H464" s="40"/>
      <c r="I464" s="45">
        <v>3347.0</v>
      </c>
      <c r="J464" s="15"/>
      <c r="K464" s="15"/>
      <c r="L464" s="38" t="s">
        <v>113</v>
      </c>
      <c r="M464" s="52" t="s">
        <v>8661</v>
      </c>
      <c r="N464" s="15" t="s">
        <v>24</v>
      </c>
      <c r="O464" s="15" t="s">
        <v>60</v>
      </c>
    </row>
    <row r="465">
      <c r="A465" s="18" t="s">
        <v>7498</v>
      </c>
      <c r="B465" s="38" t="s">
        <v>8662</v>
      </c>
      <c r="C465" s="54">
        <v>45797.0</v>
      </c>
      <c r="D465" s="54">
        <v>45797.0</v>
      </c>
      <c r="E465" s="38" t="s">
        <v>8663</v>
      </c>
      <c r="F465" s="38" t="s">
        <v>7544</v>
      </c>
      <c r="G465" s="39">
        <v>16446.0</v>
      </c>
      <c r="H465" s="40"/>
      <c r="I465" s="42">
        <v>468.0</v>
      </c>
      <c r="J465" s="15"/>
      <c r="K465" s="15"/>
      <c r="L465" s="38" t="s">
        <v>123</v>
      </c>
      <c r="M465" s="38" t="s">
        <v>8664</v>
      </c>
      <c r="N465" s="15" t="s">
        <v>24</v>
      </c>
      <c r="O465" s="15" t="s">
        <v>60</v>
      </c>
    </row>
    <row r="466">
      <c r="A466" s="18" t="s">
        <v>7498</v>
      </c>
      <c r="B466" s="38" t="s">
        <v>8665</v>
      </c>
      <c r="C466" s="54">
        <v>45798.0</v>
      </c>
      <c r="D466" s="54">
        <v>45798.0</v>
      </c>
      <c r="E466" s="38" t="s">
        <v>8666</v>
      </c>
      <c r="F466" s="38" t="s">
        <v>7557</v>
      </c>
      <c r="G466" s="39">
        <v>16446.0</v>
      </c>
      <c r="H466" s="40"/>
      <c r="I466" s="45">
        <v>1000.0</v>
      </c>
      <c r="J466" s="15"/>
      <c r="K466" s="15"/>
      <c r="L466" s="38" t="s">
        <v>127</v>
      </c>
      <c r="M466" s="38" t="s">
        <v>8667</v>
      </c>
      <c r="N466" s="15" t="s">
        <v>24</v>
      </c>
      <c r="O466" s="15" t="s">
        <v>60</v>
      </c>
    </row>
    <row r="467">
      <c r="A467" s="18" t="s">
        <v>7498</v>
      </c>
      <c r="B467" s="38" t="s">
        <v>8668</v>
      </c>
      <c r="C467" s="54">
        <v>45798.0</v>
      </c>
      <c r="D467" s="54">
        <v>45798.0</v>
      </c>
      <c r="E467" s="38" t="s">
        <v>8669</v>
      </c>
      <c r="F467" s="38" t="s">
        <v>7557</v>
      </c>
      <c r="G467" s="39">
        <v>16446.0</v>
      </c>
      <c r="H467" s="40"/>
      <c r="I467" s="45">
        <v>1290.0</v>
      </c>
      <c r="J467" s="15"/>
      <c r="K467" s="15"/>
      <c r="L467" s="38" t="s">
        <v>127</v>
      </c>
      <c r="M467" s="38" t="s">
        <v>8670</v>
      </c>
      <c r="N467" s="15" t="s">
        <v>24</v>
      </c>
      <c r="O467" s="15" t="s">
        <v>60</v>
      </c>
    </row>
    <row r="468">
      <c r="A468" s="18" t="s">
        <v>7498</v>
      </c>
      <c r="B468" s="38" t="s">
        <v>8671</v>
      </c>
      <c r="C468" s="54">
        <v>45799.0</v>
      </c>
      <c r="D468" s="54">
        <v>45799.0</v>
      </c>
      <c r="E468" s="38" t="s">
        <v>8672</v>
      </c>
      <c r="F468" s="38" t="s">
        <v>7580</v>
      </c>
      <c r="G468" s="39">
        <v>16446.0</v>
      </c>
      <c r="H468" s="40"/>
      <c r="I468" s="42">
        <v>960.0</v>
      </c>
      <c r="J468" s="15"/>
      <c r="K468" s="15"/>
      <c r="L468" s="38" t="s">
        <v>127</v>
      </c>
      <c r="M468" s="38" t="s">
        <v>8673</v>
      </c>
      <c r="N468" s="15" t="s">
        <v>24</v>
      </c>
      <c r="O468" s="15" t="s">
        <v>60</v>
      </c>
    </row>
    <row r="469">
      <c r="A469" s="18" t="s">
        <v>7498</v>
      </c>
      <c r="B469" s="38" t="s">
        <v>8674</v>
      </c>
      <c r="C469" s="54">
        <v>45799.0</v>
      </c>
      <c r="D469" s="54">
        <v>45799.0</v>
      </c>
      <c r="E469" s="38" t="s">
        <v>8675</v>
      </c>
      <c r="F469" s="38" t="s">
        <v>7580</v>
      </c>
      <c r="G469" s="39">
        <v>16446.0</v>
      </c>
      <c r="H469" s="40"/>
      <c r="I469" s="45">
        <v>1078.0</v>
      </c>
      <c r="J469" s="15"/>
      <c r="K469" s="15"/>
      <c r="L469" s="38" t="s">
        <v>113</v>
      </c>
      <c r="M469" s="52" t="s">
        <v>8676</v>
      </c>
      <c r="N469" s="15" t="s">
        <v>24</v>
      </c>
      <c r="O469" s="15" t="s">
        <v>60</v>
      </c>
    </row>
    <row r="470">
      <c r="A470" s="18" t="s">
        <v>7498</v>
      </c>
      <c r="B470" s="38" t="s">
        <v>8677</v>
      </c>
      <c r="C470" s="54">
        <v>45799.0</v>
      </c>
      <c r="D470" s="54">
        <v>45799.0</v>
      </c>
      <c r="E470" s="38" t="s">
        <v>8678</v>
      </c>
      <c r="F470" s="38" t="s">
        <v>7580</v>
      </c>
      <c r="G470" s="39">
        <v>16446.0</v>
      </c>
      <c r="H470" s="40"/>
      <c r="I470" s="42">
        <v>400.0</v>
      </c>
      <c r="J470" s="15"/>
      <c r="K470" s="15"/>
      <c r="L470" s="38" t="s">
        <v>127</v>
      </c>
      <c r="M470" s="38" t="s">
        <v>8679</v>
      </c>
      <c r="N470" s="15" t="s">
        <v>24</v>
      </c>
      <c r="O470" s="15" t="s">
        <v>60</v>
      </c>
    </row>
    <row r="471">
      <c r="A471" s="18" t="s">
        <v>7498</v>
      </c>
      <c r="B471" s="38" t="s">
        <v>8680</v>
      </c>
      <c r="C471" s="54">
        <v>45799.0</v>
      </c>
      <c r="D471" s="54">
        <v>45799.0</v>
      </c>
      <c r="E471" s="38" t="s">
        <v>8681</v>
      </c>
      <c r="F471" s="38" t="s">
        <v>7580</v>
      </c>
      <c r="G471" s="39">
        <v>16446.0</v>
      </c>
      <c r="H471" s="40"/>
      <c r="I471" s="42">
        <v>280.0</v>
      </c>
      <c r="J471" s="15"/>
      <c r="K471" s="15"/>
      <c r="L471" s="38" t="s">
        <v>123</v>
      </c>
      <c r="M471" s="38" t="s">
        <v>8682</v>
      </c>
      <c r="N471" s="15" t="s">
        <v>24</v>
      </c>
      <c r="O471" s="15" t="s">
        <v>60</v>
      </c>
    </row>
    <row r="472">
      <c r="A472" s="18" t="s">
        <v>7498</v>
      </c>
      <c r="B472" s="38" t="s">
        <v>8683</v>
      </c>
      <c r="C472" s="54">
        <v>45799.0</v>
      </c>
      <c r="D472" s="54">
        <v>45799.0</v>
      </c>
      <c r="E472" s="38" t="s">
        <v>8684</v>
      </c>
      <c r="F472" s="38" t="s">
        <v>7580</v>
      </c>
      <c r="G472" s="39">
        <v>16446.0</v>
      </c>
      <c r="H472" s="40"/>
      <c r="I472" s="42">
        <v>693.0</v>
      </c>
      <c r="J472" s="15"/>
      <c r="K472" s="15"/>
      <c r="L472" s="38" t="s">
        <v>113</v>
      </c>
      <c r="M472" s="52" t="s">
        <v>8685</v>
      </c>
      <c r="N472" s="15" t="s">
        <v>24</v>
      </c>
      <c r="O472" s="15" t="s">
        <v>60</v>
      </c>
    </row>
    <row r="473">
      <c r="A473" s="18" t="s">
        <v>7498</v>
      </c>
      <c r="B473" s="38" t="s">
        <v>8686</v>
      </c>
      <c r="C473" s="54">
        <v>45799.0</v>
      </c>
      <c r="D473" s="54">
        <v>45799.0</v>
      </c>
      <c r="E473" s="38" t="s">
        <v>8687</v>
      </c>
      <c r="F473" s="38" t="s">
        <v>7580</v>
      </c>
      <c r="G473" s="39">
        <v>16446.0</v>
      </c>
      <c r="H473" s="40"/>
      <c r="I473" s="42">
        <v>244.0</v>
      </c>
      <c r="J473" s="15"/>
      <c r="K473" s="15"/>
      <c r="L473" s="38" t="s">
        <v>127</v>
      </c>
      <c r="M473" s="38" t="s">
        <v>8688</v>
      </c>
      <c r="N473" s="15" t="s">
        <v>24</v>
      </c>
      <c r="O473" s="15" t="s">
        <v>60</v>
      </c>
    </row>
    <row r="474">
      <c r="A474" s="18" t="s">
        <v>7498</v>
      </c>
      <c r="B474" s="38" t="s">
        <v>8689</v>
      </c>
      <c r="C474" s="54">
        <v>45800.0</v>
      </c>
      <c r="D474" s="54">
        <v>45800.0</v>
      </c>
      <c r="E474" s="38" t="s">
        <v>8690</v>
      </c>
      <c r="F474" s="38" t="s">
        <v>7508</v>
      </c>
      <c r="G474" s="39">
        <v>16446.0</v>
      </c>
      <c r="H474" s="40"/>
      <c r="I474" s="42">
        <v>278.0</v>
      </c>
      <c r="J474" s="15"/>
      <c r="K474" s="15"/>
      <c r="L474" s="38" t="s">
        <v>123</v>
      </c>
      <c r="M474" s="55" t="s">
        <v>8691</v>
      </c>
      <c r="N474" s="15" t="s">
        <v>24</v>
      </c>
      <c r="O474" s="15" t="s">
        <v>60</v>
      </c>
    </row>
    <row r="475">
      <c r="A475" s="18" t="s">
        <v>7498</v>
      </c>
      <c r="B475" s="38" t="s">
        <v>8692</v>
      </c>
      <c r="C475" s="54">
        <v>45800.0</v>
      </c>
      <c r="D475" s="54">
        <v>45800.0</v>
      </c>
      <c r="E475" s="38" t="s">
        <v>8693</v>
      </c>
      <c r="F475" s="38" t="s">
        <v>7508</v>
      </c>
      <c r="G475" s="39">
        <v>16446.0</v>
      </c>
      <c r="H475" s="40"/>
      <c r="I475" s="42">
        <v>744.0</v>
      </c>
      <c r="J475" s="15"/>
      <c r="K475" s="15"/>
      <c r="L475" s="38" t="s">
        <v>127</v>
      </c>
      <c r="M475" s="38" t="s">
        <v>8694</v>
      </c>
      <c r="N475" s="15" t="s">
        <v>24</v>
      </c>
      <c r="O475" s="15" t="s">
        <v>60</v>
      </c>
    </row>
    <row r="476">
      <c r="A476" s="18" t="s">
        <v>7498</v>
      </c>
      <c r="B476" s="38" t="s">
        <v>8695</v>
      </c>
      <c r="C476" s="54">
        <v>45800.0</v>
      </c>
      <c r="D476" s="54">
        <v>45800.0</v>
      </c>
      <c r="E476" s="38" t="s">
        <v>8696</v>
      </c>
      <c r="F476" s="38" t="s">
        <v>7508</v>
      </c>
      <c r="G476" s="39">
        <v>16446.0</v>
      </c>
      <c r="H476" s="40"/>
      <c r="I476" s="42">
        <v>400.0</v>
      </c>
      <c r="J476" s="15"/>
      <c r="K476" s="15"/>
      <c r="L476" s="38" t="s">
        <v>123</v>
      </c>
      <c r="M476" s="38" t="s">
        <v>8697</v>
      </c>
      <c r="N476" s="15" t="s">
        <v>24</v>
      </c>
      <c r="O476" s="15" t="s">
        <v>60</v>
      </c>
    </row>
    <row r="477">
      <c r="A477" s="18" t="s">
        <v>7498</v>
      </c>
      <c r="B477" s="38" t="s">
        <v>8698</v>
      </c>
      <c r="C477" s="54">
        <v>45800.0</v>
      </c>
      <c r="D477" s="54">
        <v>45800.0</v>
      </c>
      <c r="E477" s="38" t="s">
        <v>8699</v>
      </c>
      <c r="F477" s="38" t="s">
        <v>7508</v>
      </c>
      <c r="G477" s="39">
        <v>16446.0</v>
      </c>
      <c r="H477" s="40"/>
      <c r="I477" s="45">
        <v>2000.0</v>
      </c>
      <c r="J477" s="15"/>
      <c r="K477" s="15"/>
      <c r="L477" s="38" t="s">
        <v>127</v>
      </c>
      <c r="M477" s="38" t="s">
        <v>8700</v>
      </c>
      <c r="N477" s="15" t="s">
        <v>24</v>
      </c>
      <c r="O477" s="15" t="s">
        <v>60</v>
      </c>
    </row>
    <row r="478">
      <c r="A478" s="18" t="s">
        <v>7498</v>
      </c>
      <c r="B478" s="38" t="s">
        <v>8701</v>
      </c>
      <c r="C478" s="54">
        <v>45800.0</v>
      </c>
      <c r="D478" s="54">
        <v>45800.0</v>
      </c>
      <c r="E478" s="38" t="s">
        <v>8702</v>
      </c>
      <c r="F478" s="38" t="s">
        <v>7508</v>
      </c>
      <c r="G478" s="39">
        <v>16446.0</v>
      </c>
      <c r="H478" s="40"/>
      <c r="I478" s="42">
        <v>880.0</v>
      </c>
      <c r="J478" s="15"/>
      <c r="K478" s="15"/>
      <c r="L478" s="38" t="s">
        <v>127</v>
      </c>
      <c r="M478" s="38" t="s">
        <v>8700</v>
      </c>
      <c r="N478" s="15" t="s">
        <v>24</v>
      </c>
      <c r="O478" s="15" t="s">
        <v>60</v>
      </c>
    </row>
    <row r="479">
      <c r="A479" s="18" t="s">
        <v>7498</v>
      </c>
      <c r="B479" s="38" t="s">
        <v>8703</v>
      </c>
      <c r="C479" s="54">
        <v>45800.0</v>
      </c>
      <c r="D479" s="54">
        <v>45800.0</v>
      </c>
      <c r="E479" s="38" t="s">
        <v>8704</v>
      </c>
      <c r="F479" s="38" t="s">
        <v>7508</v>
      </c>
      <c r="G479" s="39">
        <v>16446.0</v>
      </c>
      <c r="H479" s="40"/>
      <c r="I479" s="45">
        <v>2117.0</v>
      </c>
      <c r="J479" s="15"/>
      <c r="K479" s="15"/>
      <c r="L479" s="38" t="s">
        <v>123</v>
      </c>
      <c r="M479" s="38" t="s">
        <v>8705</v>
      </c>
      <c r="N479" s="15" t="s">
        <v>24</v>
      </c>
      <c r="O479" s="15" t="s">
        <v>60</v>
      </c>
    </row>
    <row r="480">
      <c r="A480" s="18" t="s">
        <v>7498</v>
      </c>
      <c r="B480" s="38" t="s">
        <v>8706</v>
      </c>
      <c r="C480" s="54">
        <v>45800.0</v>
      </c>
      <c r="D480" s="54">
        <v>45800.0</v>
      </c>
      <c r="E480" s="38" t="s">
        <v>8707</v>
      </c>
      <c r="F480" s="38" t="s">
        <v>7508</v>
      </c>
      <c r="G480" s="39">
        <v>16446.0</v>
      </c>
      <c r="H480" s="40"/>
      <c r="I480" s="42">
        <v>520.0</v>
      </c>
      <c r="J480" s="15"/>
      <c r="K480" s="15"/>
      <c r="L480" s="38" t="s">
        <v>127</v>
      </c>
      <c r="M480" s="38" t="s">
        <v>8708</v>
      </c>
      <c r="N480" s="15" t="s">
        <v>24</v>
      </c>
      <c r="O480" s="15" t="s">
        <v>60</v>
      </c>
    </row>
    <row r="481">
      <c r="A481" s="18" t="s">
        <v>7498</v>
      </c>
      <c r="B481" s="38" t="s">
        <v>8709</v>
      </c>
      <c r="C481" s="54">
        <v>45800.0</v>
      </c>
      <c r="D481" s="54">
        <v>45800.0</v>
      </c>
      <c r="E481" s="38" t="s">
        <v>8710</v>
      </c>
      <c r="F481" s="38" t="s">
        <v>7508</v>
      </c>
      <c r="G481" s="39">
        <v>16446.0</v>
      </c>
      <c r="H481" s="40"/>
      <c r="I481" s="42">
        <v>320.0</v>
      </c>
      <c r="J481" s="15"/>
      <c r="K481" s="15"/>
      <c r="L481" s="38" t="s">
        <v>127</v>
      </c>
      <c r="M481" s="38" t="s">
        <v>8711</v>
      </c>
      <c r="N481" s="15" t="s">
        <v>24</v>
      </c>
      <c r="O481" s="15" t="s">
        <v>60</v>
      </c>
    </row>
    <row r="482">
      <c r="A482" s="18" t="s">
        <v>7498</v>
      </c>
      <c r="B482" s="38" t="s">
        <v>8712</v>
      </c>
      <c r="C482" s="54">
        <v>45801.0</v>
      </c>
      <c r="D482" s="54">
        <v>45801.0</v>
      </c>
      <c r="E482" s="38" t="s">
        <v>8713</v>
      </c>
      <c r="F482" s="38" t="s">
        <v>7534</v>
      </c>
      <c r="G482" s="39">
        <v>16446.0</v>
      </c>
      <c r="H482" s="40"/>
      <c r="I482" s="45">
        <v>1052.0</v>
      </c>
      <c r="J482" s="15"/>
      <c r="K482" s="15"/>
      <c r="L482" s="38" t="s">
        <v>113</v>
      </c>
      <c r="M482" s="55" t="s">
        <v>8714</v>
      </c>
      <c r="N482" s="15" t="s">
        <v>24</v>
      </c>
      <c r="O482" s="15" t="s">
        <v>60</v>
      </c>
    </row>
    <row r="483">
      <c r="A483" s="18" t="s">
        <v>7498</v>
      </c>
      <c r="B483" s="38" t="s">
        <v>8715</v>
      </c>
      <c r="C483" s="54">
        <v>45802.0</v>
      </c>
      <c r="D483" s="54">
        <v>45802.0</v>
      </c>
      <c r="E483" s="38" t="s">
        <v>8716</v>
      </c>
      <c r="F483" s="38" t="s">
        <v>7567</v>
      </c>
      <c r="G483" s="39">
        <v>16446.0</v>
      </c>
      <c r="H483" s="40"/>
      <c r="I483" s="42">
        <v>224.0</v>
      </c>
      <c r="J483" s="15"/>
      <c r="K483" s="15"/>
      <c r="L483" s="38" t="s">
        <v>127</v>
      </c>
      <c r="M483" s="38" t="s">
        <v>1063</v>
      </c>
      <c r="N483" s="15" t="s">
        <v>24</v>
      </c>
      <c r="O483" s="15" t="s">
        <v>60</v>
      </c>
    </row>
    <row r="484">
      <c r="A484" s="18" t="s">
        <v>7498</v>
      </c>
      <c r="B484" s="38" t="s">
        <v>8717</v>
      </c>
      <c r="C484" s="54">
        <v>45802.0</v>
      </c>
      <c r="D484" s="54">
        <v>45802.0</v>
      </c>
      <c r="E484" s="38" t="s">
        <v>8718</v>
      </c>
      <c r="F484" s="38" t="s">
        <v>7567</v>
      </c>
      <c r="G484" s="39">
        <v>16446.0</v>
      </c>
      <c r="H484" s="40"/>
      <c r="I484" s="45">
        <v>1071.0</v>
      </c>
      <c r="J484" s="15"/>
      <c r="K484" s="15"/>
      <c r="L484" s="38" t="s">
        <v>123</v>
      </c>
      <c r="M484" s="38" t="s">
        <v>8719</v>
      </c>
      <c r="N484" s="15" t="s">
        <v>24</v>
      </c>
      <c r="O484" s="15" t="s">
        <v>60</v>
      </c>
    </row>
    <row r="485">
      <c r="A485" s="18" t="s">
        <v>7498</v>
      </c>
      <c r="B485" s="38" t="s">
        <v>8720</v>
      </c>
      <c r="C485" s="54">
        <v>45802.0</v>
      </c>
      <c r="D485" s="54">
        <v>45802.0</v>
      </c>
      <c r="E485" s="38" t="s">
        <v>8721</v>
      </c>
      <c r="F485" s="38" t="s">
        <v>8722</v>
      </c>
      <c r="G485" s="39">
        <v>99922.0</v>
      </c>
      <c r="H485" s="45">
        <v>1050.0</v>
      </c>
      <c r="I485" s="40"/>
      <c r="J485" s="38"/>
      <c r="K485" s="38" t="s">
        <v>8723</v>
      </c>
      <c r="L485" s="13" t="s">
        <v>119</v>
      </c>
      <c r="M485" s="15"/>
      <c r="N485" s="15" t="s">
        <v>114</v>
      </c>
      <c r="O485" s="15" t="s">
        <v>220</v>
      </c>
    </row>
    <row r="486">
      <c r="A486" s="18" t="s">
        <v>7498</v>
      </c>
      <c r="B486" s="38" t="s">
        <v>8724</v>
      </c>
      <c r="C486" s="54">
        <v>45802.0</v>
      </c>
      <c r="D486" s="54">
        <v>45802.0</v>
      </c>
      <c r="E486" s="38" t="s">
        <v>8725</v>
      </c>
      <c r="F486" s="38" t="s">
        <v>7567</v>
      </c>
      <c r="G486" s="39">
        <v>16446.0</v>
      </c>
      <c r="H486" s="40"/>
      <c r="I486" s="42">
        <v>643.0</v>
      </c>
      <c r="J486" s="15"/>
      <c r="K486" s="15"/>
      <c r="L486" s="38" t="s">
        <v>123</v>
      </c>
      <c r="M486" s="38" t="s">
        <v>8726</v>
      </c>
      <c r="N486" s="15" t="s">
        <v>24</v>
      </c>
      <c r="O486" s="15" t="s">
        <v>60</v>
      </c>
    </row>
    <row r="487">
      <c r="A487" s="18" t="s">
        <v>7498</v>
      </c>
      <c r="B487" s="38" t="s">
        <v>8727</v>
      </c>
      <c r="C487" s="54">
        <v>45802.0</v>
      </c>
      <c r="D487" s="54">
        <v>45802.0</v>
      </c>
      <c r="E487" s="38" t="s">
        <v>8728</v>
      </c>
      <c r="F487" s="38" t="s">
        <v>7567</v>
      </c>
      <c r="G487" s="39">
        <v>16446.0</v>
      </c>
      <c r="H487" s="40"/>
      <c r="I487" s="42">
        <v>898.0</v>
      </c>
      <c r="J487" s="15"/>
      <c r="K487" s="15"/>
      <c r="L487" s="38" t="s">
        <v>113</v>
      </c>
      <c r="M487" s="52" t="s">
        <v>8729</v>
      </c>
      <c r="N487" s="15" t="s">
        <v>24</v>
      </c>
      <c r="O487" s="15" t="s">
        <v>60</v>
      </c>
    </row>
    <row r="488">
      <c r="A488" s="18" t="s">
        <v>7498</v>
      </c>
      <c r="B488" s="38" t="s">
        <v>8730</v>
      </c>
      <c r="C488" s="54">
        <v>45803.0</v>
      </c>
      <c r="D488" s="54">
        <v>45803.0</v>
      </c>
      <c r="E488" s="38" t="s">
        <v>8731</v>
      </c>
      <c r="F488" s="38" t="s">
        <v>7857</v>
      </c>
      <c r="G488" s="39">
        <v>4430.0</v>
      </c>
      <c r="H488" s="40"/>
      <c r="I488" s="45">
        <v>5085.0</v>
      </c>
      <c r="J488" s="38"/>
      <c r="K488" s="38" t="s">
        <v>8510</v>
      </c>
      <c r="L488" s="13" t="s">
        <v>539</v>
      </c>
      <c r="M488" s="15"/>
      <c r="N488" s="15" t="s">
        <v>24</v>
      </c>
      <c r="O488" s="15" t="s">
        <v>60</v>
      </c>
    </row>
    <row r="489">
      <c r="A489" s="18" t="s">
        <v>7498</v>
      </c>
      <c r="B489" s="38" t="s">
        <v>8732</v>
      </c>
      <c r="C489" s="54">
        <v>45803.0</v>
      </c>
      <c r="D489" s="54">
        <v>45803.0</v>
      </c>
      <c r="E489" s="38" t="s">
        <v>8733</v>
      </c>
      <c r="F489" s="38" t="s">
        <v>7537</v>
      </c>
      <c r="G489" s="39">
        <v>16446.0</v>
      </c>
      <c r="H489" s="40"/>
      <c r="I489" s="42">
        <v>130.0</v>
      </c>
      <c r="J489" s="15"/>
      <c r="K489" s="15"/>
      <c r="L489" s="38" t="s">
        <v>127</v>
      </c>
      <c r="M489" s="38" t="s">
        <v>8734</v>
      </c>
      <c r="N489" s="15" t="s">
        <v>24</v>
      </c>
      <c r="O489" s="15" t="s">
        <v>60</v>
      </c>
    </row>
    <row r="490">
      <c r="A490" s="18" t="s">
        <v>7498</v>
      </c>
      <c r="B490" s="38" t="s">
        <v>8735</v>
      </c>
      <c r="C490" s="54">
        <v>45803.0</v>
      </c>
      <c r="D490" s="54">
        <v>45803.0</v>
      </c>
      <c r="E490" s="38" t="s">
        <v>8736</v>
      </c>
      <c r="F490" s="38" t="s">
        <v>7537</v>
      </c>
      <c r="G490" s="39">
        <v>16446.0</v>
      </c>
      <c r="H490" s="40"/>
      <c r="I490" s="42">
        <v>600.0</v>
      </c>
      <c r="J490" s="15"/>
      <c r="K490" s="15"/>
      <c r="L490" s="38" t="s">
        <v>127</v>
      </c>
      <c r="M490" s="38" t="s">
        <v>8737</v>
      </c>
      <c r="N490" s="15" t="s">
        <v>24</v>
      </c>
      <c r="O490" s="15" t="s">
        <v>60</v>
      </c>
    </row>
    <row r="491">
      <c r="A491" s="18" t="s">
        <v>7498</v>
      </c>
      <c r="B491" s="38" t="s">
        <v>8738</v>
      </c>
      <c r="C491" s="54">
        <v>45803.0</v>
      </c>
      <c r="D491" s="54">
        <v>45803.0</v>
      </c>
      <c r="E491" s="38" t="s">
        <v>8739</v>
      </c>
      <c r="F491" s="38" t="s">
        <v>7537</v>
      </c>
      <c r="G491" s="39">
        <v>16446.0</v>
      </c>
      <c r="H491" s="40"/>
      <c r="I491" s="42">
        <v>210.0</v>
      </c>
      <c r="J491" s="15"/>
      <c r="K491" s="15"/>
      <c r="L491" s="38" t="s">
        <v>127</v>
      </c>
      <c r="M491" s="38" t="s">
        <v>8740</v>
      </c>
      <c r="N491" s="15" t="s">
        <v>24</v>
      </c>
      <c r="O491" s="15" t="s">
        <v>60</v>
      </c>
    </row>
    <row r="492">
      <c r="A492" s="18" t="s">
        <v>7498</v>
      </c>
      <c r="B492" s="38" t="s">
        <v>8741</v>
      </c>
      <c r="C492" s="54">
        <v>45803.0</v>
      </c>
      <c r="D492" s="54">
        <v>45803.0</v>
      </c>
      <c r="E492" s="38" t="s">
        <v>8742</v>
      </c>
      <c r="F492" s="38" t="s">
        <v>7537</v>
      </c>
      <c r="G492" s="39">
        <v>16446.0</v>
      </c>
      <c r="H492" s="40"/>
      <c r="I492" s="42">
        <v>553.0</v>
      </c>
      <c r="J492" s="15"/>
      <c r="K492" s="15"/>
      <c r="L492" s="38" t="s">
        <v>113</v>
      </c>
      <c r="M492" s="52" t="s">
        <v>8743</v>
      </c>
      <c r="N492" s="15" t="s">
        <v>24</v>
      </c>
      <c r="O492" s="15" t="s">
        <v>60</v>
      </c>
    </row>
    <row r="493">
      <c r="A493" s="18" t="s">
        <v>7498</v>
      </c>
      <c r="B493" s="38" t="s">
        <v>8744</v>
      </c>
      <c r="C493" s="54">
        <v>45803.0</v>
      </c>
      <c r="D493" s="54">
        <v>45803.0</v>
      </c>
      <c r="E493" s="38" t="s">
        <v>8745</v>
      </c>
      <c r="F493" s="38" t="s">
        <v>7537</v>
      </c>
      <c r="G493" s="39">
        <v>16446.0</v>
      </c>
      <c r="H493" s="40"/>
      <c r="I493" s="42">
        <v>267.0</v>
      </c>
      <c r="J493" s="15"/>
      <c r="K493" s="15"/>
      <c r="L493" s="38" t="s">
        <v>127</v>
      </c>
      <c r="M493" s="38" t="s">
        <v>8746</v>
      </c>
      <c r="N493" s="15" t="s">
        <v>24</v>
      </c>
      <c r="O493" s="15" t="s">
        <v>60</v>
      </c>
    </row>
    <row r="494">
      <c r="A494" s="18" t="s">
        <v>7498</v>
      </c>
      <c r="B494" s="38" t="s">
        <v>8747</v>
      </c>
      <c r="C494" s="54">
        <v>45803.0</v>
      </c>
      <c r="D494" s="54">
        <v>45803.0</v>
      </c>
      <c r="E494" s="38" t="s">
        <v>8748</v>
      </c>
      <c r="F494" s="38" t="s">
        <v>7537</v>
      </c>
      <c r="G494" s="39">
        <v>16446.0</v>
      </c>
      <c r="H494" s="40"/>
      <c r="I494" s="42">
        <v>355.0</v>
      </c>
      <c r="J494" s="15"/>
      <c r="K494" s="15"/>
      <c r="L494" s="38" t="s">
        <v>127</v>
      </c>
      <c r="M494" s="38" t="s">
        <v>8749</v>
      </c>
      <c r="N494" s="15" t="s">
        <v>24</v>
      </c>
      <c r="O494" s="15" t="s">
        <v>60</v>
      </c>
    </row>
    <row r="495">
      <c r="A495" s="18" t="s">
        <v>7498</v>
      </c>
      <c r="B495" s="38" t="s">
        <v>8750</v>
      </c>
      <c r="C495" s="54">
        <v>45803.0</v>
      </c>
      <c r="D495" s="54">
        <v>45803.0</v>
      </c>
      <c r="E495" s="38" t="s">
        <v>8751</v>
      </c>
      <c r="F495" s="38" t="s">
        <v>7537</v>
      </c>
      <c r="G495" s="39">
        <v>16446.0</v>
      </c>
      <c r="H495" s="40"/>
      <c r="I495" s="45">
        <v>1600.0</v>
      </c>
      <c r="J495" s="15"/>
      <c r="K495" s="15"/>
      <c r="L495" s="38" t="s">
        <v>127</v>
      </c>
      <c r="M495" s="38" t="s">
        <v>8752</v>
      </c>
      <c r="N495" s="15" t="s">
        <v>24</v>
      </c>
      <c r="O495" s="15" t="s">
        <v>60</v>
      </c>
    </row>
    <row r="496">
      <c r="A496" s="18" t="s">
        <v>7498</v>
      </c>
      <c r="B496" s="38" t="s">
        <v>8753</v>
      </c>
      <c r="C496" s="54">
        <v>45804.0</v>
      </c>
      <c r="D496" s="54">
        <v>45804.0</v>
      </c>
      <c r="E496" s="38" t="s">
        <v>7500</v>
      </c>
      <c r="F496" s="38" t="s">
        <v>7501</v>
      </c>
      <c r="G496" s="39">
        <v>1679.0</v>
      </c>
      <c r="H496" s="40"/>
      <c r="I496" s="45">
        <v>5500.0</v>
      </c>
      <c r="J496" s="13"/>
      <c r="K496" s="56" t="s">
        <v>8754</v>
      </c>
      <c r="L496" s="38" t="s">
        <v>127</v>
      </c>
      <c r="M496" s="15"/>
      <c r="N496" s="15" t="s">
        <v>24</v>
      </c>
      <c r="O496" s="15" t="s">
        <v>60</v>
      </c>
    </row>
    <row r="497">
      <c r="A497" s="18" t="s">
        <v>7498</v>
      </c>
      <c r="B497" s="38" t="s">
        <v>8755</v>
      </c>
      <c r="C497" s="54">
        <v>45804.0</v>
      </c>
      <c r="D497" s="54">
        <v>45804.0</v>
      </c>
      <c r="E497" s="38" t="s">
        <v>8756</v>
      </c>
      <c r="F497" s="38" t="s">
        <v>7544</v>
      </c>
      <c r="G497" s="39">
        <v>16446.0</v>
      </c>
      <c r="H497" s="40"/>
      <c r="I497" s="42">
        <v>955.0</v>
      </c>
      <c r="J497" s="15"/>
      <c r="K497" s="15"/>
      <c r="L497" s="38" t="s">
        <v>113</v>
      </c>
      <c r="M497" s="52" t="s">
        <v>8757</v>
      </c>
      <c r="N497" s="15" t="s">
        <v>24</v>
      </c>
      <c r="O497" s="15" t="s">
        <v>60</v>
      </c>
    </row>
    <row r="498">
      <c r="A498" s="18" t="s">
        <v>7498</v>
      </c>
      <c r="B498" s="38" t="s">
        <v>8758</v>
      </c>
      <c r="C498" s="54">
        <v>45804.0</v>
      </c>
      <c r="D498" s="54">
        <v>45804.0</v>
      </c>
      <c r="E498" s="38" t="s">
        <v>8759</v>
      </c>
      <c r="F498" s="38" t="s">
        <v>7544</v>
      </c>
      <c r="G498" s="39">
        <v>16446.0</v>
      </c>
      <c r="H498" s="40"/>
      <c r="I498" s="42">
        <v>106.0</v>
      </c>
      <c r="J498" s="15"/>
      <c r="K498" s="15"/>
      <c r="L498" s="38" t="s">
        <v>113</v>
      </c>
      <c r="M498" s="52" t="s">
        <v>8760</v>
      </c>
      <c r="N498" s="15" t="s">
        <v>24</v>
      </c>
      <c r="O498" s="15" t="s">
        <v>60</v>
      </c>
    </row>
    <row r="499">
      <c r="A499" s="18" t="s">
        <v>7498</v>
      </c>
      <c r="B499" s="38" t="s">
        <v>8761</v>
      </c>
      <c r="C499" s="54">
        <v>45804.0</v>
      </c>
      <c r="D499" s="54">
        <v>45804.0</v>
      </c>
      <c r="E499" s="38" t="s">
        <v>8762</v>
      </c>
      <c r="F499" s="38" t="s">
        <v>7544</v>
      </c>
      <c r="G499" s="39">
        <v>16446.0</v>
      </c>
      <c r="H499" s="40"/>
      <c r="I499" s="42">
        <v>327.0</v>
      </c>
      <c r="J499" s="15"/>
      <c r="K499" s="15"/>
      <c r="L499" s="38" t="s">
        <v>123</v>
      </c>
      <c r="M499" s="38" t="s">
        <v>8763</v>
      </c>
      <c r="N499" s="15" t="s">
        <v>24</v>
      </c>
      <c r="O499" s="15" t="s">
        <v>60</v>
      </c>
    </row>
    <row r="500">
      <c r="A500" s="18" t="s">
        <v>7498</v>
      </c>
      <c r="B500" s="38" t="s">
        <v>8764</v>
      </c>
      <c r="C500" s="54">
        <v>45805.0</v>
      </c>
      <c r="D500" s="54">
        <v>45805.0</v>
      </c>
      <c r="E500" s="38" t="s">
        <v>8765</v>
      </c>
      <c r="F500" s="38" t="s">
        <v>7557</v>
      </c>
      <c r="G500" s="39">
        <v>16446.0</v>
      </c>
      <c r="H500" s="40"/>
      <c r="I500" s="42">
        <v>510.0</v>
      </c>
      <c r="J500" s="15"/>
      <c r="K500" s="15"/>
      <c r="L500" s="38" t="s">
        <v>127</v>
      </c>
      <c r="M500" s="38" t="s">
        <v>8766</v>
      </c>
      <c r="N500" s="15" t="s">
        <v>24</v>
      </c>
      <c r="O500" s="15" t="s">
        <v>60</v>
      </c>
    </row>
    <row r="501">
      <c r="A501" s="18" t="s">
        <v>7498</v>
      </c>
      <c r="B501" s="38" t="s">
        <v>8767</v>
      </c>
      <c r="C501" s="54">
        <v>45805.0</v>
      </c>
      <c r="D501" s="54">
        <v>45805.0</v>
      </c>
      <c r="E501" s="38" t="s">
        <v>8768</v>
      </c>
      <c r="F501" s="38" t="s">
        <v>7557</v>
      </c>
      <c r="G501" s="39">
        <v>16446.0</v>
      </c>
      <c r="H501" s="40"/>
      <c r="I501" s="42">
        <v>912.0</v>
      </c>
      <c r="J501" s="15"/>
      <c r="K501" s="15"/>
      <c r="L501" s="38" t="s">
        <v>123</v>
      </c>
      <c r="M501" s="38" t="s">
        <v>8769</v>
      </c>
      <c r="N501" s="15" t="s">
        <v>24</v>
      </c>
      <c r="O501" s="15" t="s">
        <v>60</v>
      </c>
    </row>
    <row r="502">
      <c r="A502" s="18" t="s">
        <v>7498</v>
      </c>
      <c r="B502" s="38" t="s">
        <v>8770</v>
      </c>
      <c r="C502" s="54">
        <v>45805.0</v>
      </c>
      <c r="D502" s="54">
        <v>45805.0</v>
      </c>
      <c r="E502" s="38" t="s">
        <v>8771</v>
      </c>
      <c r="F502" s="38" t="s">
        <v>7557</v>
      </c>
      <c r="G502" s="39">
        <v>16446.0</v>
      </c>
      <c r="H502" s="40"/>
      <c r="I502" s="42">
        <v>338.0</v>
      </c>
      <c r="J502" s="15"/>
      <c r="K502" s="15"/>
      <c r="L502" s="38" t="s">
        <v>127</v>
      </c>
      <c r="M502" s="38" t="s">
        <v>8772</v>
      </c>
      <c r="N502" s="15" t="s">
        <v>24</v>
      </c>
      <c r="O502" s="15" t="s">
        <v>60</v>
      </c>
    </row>
    <row r="503">
      <c r="A503" s="18" t="s">
        <v>7498</v>
      </c>
      <c r="B503" s="38" t="s">
        <v>8773</v>
      </c>
      <c r="C503" s="54">
        <v>45806.0</v>
      </c>
      <c r="D503" s="54">
        <v>45806.0</v>
      </c>
      <c r="E503" s="38" t="s">
        <v>8774</v>
      </c>
      <c r="F503" s="38" t="s">
        <v>7501</v>
      </c>
      <c r="G503" s="39">
        <v>4292.0</v>
      </c>
      <c r="H503" s="45">
        <v>2616.38</v>
      </c>
      <c r="I503" s="40"/>
      <c r="J503" s="38"/>
      <c r="K503" s="38" t="s">
        <v>8391</v>
      </c>
      <c r="L503" s="38" t="s">
        <v>127</v>
      </c>
      <c r="M503" s="15"/>
      <c r="N503" s="15" t="s">
        <v>114</v>
      </c>
      <c r="O503" s="15" t="s">
        <v>275</v>
      </c>
    </row>
    <row r="504">
      <c r="A504" s="18" t="s">
        <v>7498</v>
      </c>
      <c r="B504" s="38" t="s">
        <v>8775</v>
      </c>
      <c r="C504" s="54">
        <v>45806.0</v>
      </c>
      <c r="D504" s="54">
        <v>45806.0</v>
      </c>
      <c r="E504" s="38" t="s">
        <v>8776</v>
      </c>
      <c r="F504" s="38" t="s">
        <v>7580</v>
      </c>
      <c r="G504" s="39">
        <v>16446.0</v>
      </c>
      <c r="H504" s="40"/>
      <c r="I504" s="42">
        <v>312.0</v>
      </c>
      <c r="J504" s="15"/>
      <c r="K504" s="15"/>
      <c r="L504" s="38" t="s">
        <v>127</v>
      </c>
      <c r="M504" s="38" t="s">
        <v>8777</v>
      </c>
      <c r="N504" s="15" t="s">
        <v>24</v>
      </c>
      <c r="O504" s="15" t="s">
        <v>60</v>
      </c>
    </row>
    <row r="505">
      <c r="A505" s="18" t="s">
        <v>7498</v>
      </c>
      <c r="B505" s="38" t="s">
        <v>8778</v>
      </c>
      <c r="C505" s="54">
        <v>45806.0</v>
      </c>
      <c r="D505" s="54">
        <v>45806.0</v>
      </c>
      <c r="E505" s="38" t="s">
        <v>8779</v>
      </c>
      <c r="F505" s="38" t="s">
        <v>7580</v>
      </c>
      <c r="G505" s="39">
        <v>16446.0</v>
      </c>
      <c r="H505" s="40"/>
      <c r="I505" s="42">
        <v>99.0</v>
      </c>
      <c r="J505" s="15"/>
      <c r="K505" s="15"/>
      <c r="L505" s="38" t="s">
        <v>123</v>
      </c>
      <c r="M505" s="13" t="s">
        <v>8780</v>
      </c>
      <c r="N505" s="15" t="s">
        <v>24</v>
      </c>
      <c r="O505" s="15" t="s">
        <v>60</v>
      </c>
    </row>
    <row r="506">
      <c r="A506" s="18" t="s">
        <v>7498</v>
      </c>
      <c r="B506" s="38" t="s">
        <v>8781</v>
      </c>
      <c r="C506" s="54">
        <v>45807.0</v>
      </c>
      <c r="D506" s="54">
        <v>45807.0</v>
      </c>
      <c r="E506" s="38" t="s">
        <v>8782</v>
      </c>
      <c r="F506" s="38" t="s">
        <v>7508</v>
      </c>
      <c r="G506" s="39">
        <v>16446.0</v>
      </c>
      <c r="H506" s="40"/>
      <c r="I506" s="42">
        <v>449.0</v>
      </c>
      <c r="J506" s="15"/>
      <c r="K506" s="15"/>
      <c r="L506" s="38" t="s">
        <v>123</v>
      </c>
      <c r="M506" s="38" t="s">
        <v>8783</v>
      </c>
      <c r="N506" s="15" t="s">
        <v>24</v>
      </c>
      <c r="O506" s="15" t="s">
        <v>60</v>
      </c>
    </row>
    <row r="507">
      <c r="A507" s="18" t="s">
        <v>7498</v>
      </c>
      <c r="B507" s="38" t="s">
        <v>8784</v>
      </c>
      <c r="C507" s="54">
        <v>45807.0</v>
      </c>
      <c r="D507" s="54">
        <v>45807.0</v>
      </c>
      <c r="E507" s="38" t="s">
        <v>8785</v>
      </c>
      <c r="F507" s="38" t="s">
        <v>7857</v>
      </c>
      <c r="G507" s="39">
        <v>4430.0</v>
      </c>
      <c r="H507" s="40"/>
      <c r="I507" s="45">
        <v>2170.0</v>
      </c>
      <c r="J507" s="38"/>
      <c r="K507" s="38" t="s">
        <v>8510</v>
      </c>
      <c r="L507" s="13" t="s">
        <v>539</v>
      </c>
      <c r="M507" s="15"/>
      <c r="N507" s="15" t="s">
        <v>24</v>
      </c>
      <c r="O507" s="15" t="s">
        <v>60</v>
      </c>
    </row>
    <row r="508">
      <c r="A508" s="18" t="s">
        <v>7498</v>
      </c>
      <c r="B508" s="38" t="s">
        <v>8786</v>
      </c>
      <c r="C508" s="54">
        <v>45807.0</v>
      </c>
      <c r="D508" s="54">
        <v>45807.0</v>
      </c>
      <c r="E508" s="38" t="s">
        <v>8787</v>
      </c>
      <c r="F508" s="38" t="s">
        <v>7508</v>
      </c>
      <c r="G508" s="39">
        <v>16446.0</v>
      </c>
      <c r="H508" s="40"/>
      <c r="I508" s="45">
        <v>2999.0</v>
      </c>
      <c r="J508" s="15"/>
      <c r="K508" s="15"/>
      <c r="L508" s="38" t="s">
        <v>123</v>
      </c>
      <c r="M508" s="13" t="s">
        <v>619</v>
      </c>
      <c r="N508" s="15" t="s">
        <v>24</v>
      </c>
      <c r="O508" s="15" t="s">
        <v>60</v>
      </c>
    </row>
    <row r="509">
      <c r="A509" s="18" t="s">
        <v>7498</v>
      </c>
      <c r="B509" s="38" t="s">
        <v>8788</v>
      </c>
      <c r="C509" s="54">
        <v>45807.0</v>
      </c>
      <c r="D509" s="54">
        <v>45807.0</v>
      </c>
      <c r="E509" s="38" t="s">
        <v>8789</v>
      </c>
      <c r="F509" s="38" t="s">
        <v>7508</v>
      </c>
      <c r="G509" s="39">
        <v>16446.0</v>
      </c>
      <c r="H509" s="40"/>
      <c r="I509" s="45">
        <v>3000.0</v>
      </c>
      <c r="J509" s="15"/>
      <c r="K509" s="15"/>
      <c r="L509" s="57" t="s">
        <v>113</v>
      </c>
      <c r="M509" s="13" t="s">
        <v>619</v>
      </c>
      <c r="N509" s="15" t="s">
        <v>24</v>
      </c>
      <c r="O509" s="15" t="s">
        <v>60</v>
      </c>
    </row>
    <row r="510">
      <c r="A510" s="18" t="s">
        <v>7498</v>
      </c>
      <c r="B510" s="38" t="s">
        <v>8790</v>
      </c>
      <c r="C510" s="54">
        <v>45807.0</v>
      </c>
      <c r="D510" s="54">
        <v>45807.0</v>
      </c>
      <c r="E510" s="38" t="s">
        <v>8791</v>
      </c>
      <c r="F510" s="38" t="s">
        <v>7508</v>
      </c>
      <c r="G510" s="39">
        <v>16446.0</v>
      </c>
      <c r="H510" s="40"/>
      <c r="I510" s="42">
        <v>350.0</v>
      </c>
      <c r="J510" s="15"/>
      <c r="K510" s="15"/>
      <c r="L510" s="38" t="s">
        <v>127</v>
      </c>
      <c r="M510" s="38" t="s">
        <v>8792</v>
      </c>
      <c r="N510" s="15" t="s">
        <v>24</v>
      </c>
      <c r="O510" s="15" t="s">
        <v>60</v>
      </c>
    </row>
    <row r="511">
      <c r="A511" s="18" t="s">
        <v>7498</v>
      </c>
      <c r="B511" s="38" t="s">
        <v>8793</v>
      </c>
      <c r="C511" s="54">
        <v>45807.0</v>
      </c>
      <c r="D511" s="54">
        <v>45807.0</v>
      </c>
      <c r="E511" s="38" t="s">
        <v>8794</v>
      </c>
      <c r="F511" s="38" t="s">
        <v>7508</v>
      </c>
      <c r="G511" s="39">
        <v>16446.0</v>
      </c>
      <c r="H511" s="40"/>
      <c r="I511" s="42">
        <v>693.0</v>
      </c>
      <c r="J511" s="15"/>
      <c r="K511" s="15"/>
      <c r="L511" s="38" t="s">
        <v>123</v>
      </c>
      <c r="M511" s="53" t="s">
        <v>8795</v>
      </c>
      <c r="N511" s="15" t="s">
        <v>24</v>
      </c>
      <c r="O511" s="15" t="s">
        <v>60</v>
      </c>
    </row>
    <row r="512">
      <c r="A512" s="18" t="s">
        <v>7498</v>
      </c>
      <c r="B512" s="38" t="s">
        <v>8796</v>
      </c>
      <c r="C512" s="54">
        <v>45807.0</v>
      </c>
      <c r="D512" s="54">
        <v>45807.0</v>
      </c>
      <c r="E512" s="38" t="s">
        <v>8797</v>
      </c>
      <c r="F512" s="38" t="s">
        <v>7508</v>
      </c>
      <c r="G512" s="39">
        <v>16446.0</v>
      </c>
      <c r="H512" s="40"/>
      <c r="I512" s="42">
        <v>203.0</v>
      </c>
      <c r="J512" s="15"/>
      <c r="K512" s="15"/>
      <c r="L512" s="38" t="s">
        <v>127</v>
      </c>
      <c r="M512" s="38" t="s">
        <v>8798</v>
      </c>
      <c r="N512" s="15" t="s">
        <v>24</v>
      </c>
      <c r="O512" s="15" t="s">
        <v>60</v>
      </c>
    </row>
    <row r="513">
      <c r="A513" s="18" t="s">
        <v>7498</v>
      </c>
      <c r="B513" s="38" t="s">
        <v>8799</v>
      </c>
      <c r="C513" s="54">
        <v>45807.0</v>
      </c>
      <c r="D513" s="54">
        <v>45807.0</v>
      </c>
      <c r="E513" s="38" t="s">
        <v>8800</v>
      </c>
      <c r="F513" s="38" t="s">
        <v>7508</v>
      </c>
      <c r="G513" s="39">
        <v>16446.0</v>
      </c>
      <c r="H513" s="40"/>
      <c r="I513" s="42">
        <v>270.0</v>
      </c>
      <c r="J513" s="15"/>
      <c r="K513" s="15"/>
      <c r="L513" s="38" t="s">
        <v>127</v>
      </c>
      <c r="M513" s="55" t="s">
        <v>8801</v>
      </c>
      <c r="N513" s="15" t="s">
        <v>24</v>
      </c>
      <c r="O513" s="15" t="s">
        <v>60</v>
      </c>
    </row>
    <row r="514">
      <c r="A514" s="18" t="s">
        <v>7498</v>
      </c>
      <c r="B514" s="38" t="s">
        <v>8802</v>
      </c>
      <c r="C514" s="54">
        <v>45807.0</v>
      </c>
      <c r="D514" s="54">
        <v>45807.0</v>
      </c>
      <c r="E514" s="38" t="s">
        <v>8803</v>
      </c>
      <c r="F514" s="38" t="s">
        <v>7508</v>
      </c>
      <c r="G514" s="39">
        <v>16446.0</v>
      </c>
      <c r="H514" s="40"/>
      <c r="I514" s="42">
        <v>348.0</v>
      </c>
      <c r="J514" s="15"/>
      <c r="K514" s="15"/>
      <c r="L514" s="38" t="s">
        <v>123</v>
      </c>
      <c r="M514" s="38" t="s">
        <v>8804</v>
      </c>
      <c r="N514" s="15" t="s">
        <v>24</v>
      </c>
      <c r="O514" s="15" t="s">
        <v>60</v>
      </c>
    </row>
    <row r="515">
      <c r="A515" s="18" t="s">
        <v>7498</v>
      </c>
      <c r="B515" s="38" t="s">
        <v>8805</v>
      </c>
      <c r="C515" s="54">
        <v>45807.0</v>
      </c>
      <c r="D515" s="54">
        <v>45807.0</v>
      </c>
      <c r="E515" s="38" t="s">
        <v>8806</v>
      </c>
      <c r="F515" s="38" t="s">
        <v>7508</v>
      </c>
      <c r="G515" s="39">
        <v>16446.0</v>
      </c>
      <c r="H515" s="40"/>
      <c r="I515" s="42">
        <v>637.0</v>
      </c>
      <c r="J515" s="15"/>
      <c r="K515" s="15"/>
      <c r="L515" s="38" t="s">
        <v>127</v>
      </c>
      <c r="M515" s="38" t="s">
        <v>1599</v>
      </c>
      <c r="N515" s="15" t="s">
        <v>24</v>
      </c>
      <c r="O515" s="15" t="s">
        <v>60</v>
      </c>
    </row>
    <row r="516">
      <c r="A516" s="18" t="s">
        <v>7498</v>
      </c>
      <c r="B516" s="38" t="s">
        <v>8807</v>
      </c>
      <c r="C516" s="54">
        <v>45808.0</v>
      </c>
      <c r="D516" s="54">
        <v>45808.0</v>
      </c>
      <c r="E516" s="38" t="s">
        <v>8808</v>
      </c>
      <c r="F516" s="38" t="s">
        <v>7534</v>
      </c>
      <c r="G516" s="39">
        <v>16446.0</v>
      </c>
      <c r="H516" s="40"/>
      <c r="I516" s="42">
        <v>750.0</v>
      </c>
      <c r="J516" s="15"/>
      <c r="K516" s="15"/>
      <c r="L516" s="38" t="s">
        <v>127</v>
      </c>
      <c r="M516" s="38" t="s">
        <v>8809</v>
      </c>
      <c r="N516" s="15" t="s">
        <v>24</v>
      </c>
      <c r="O516" s="15" t="s">
        <v>60</v>
      </c>
    </row>
    <row r="517">
      <c r="A517" s="18" t="s">
        <v>7498</v>
      </c>
      <c r="B517" s="38" t="s">
        <v>8810</v>
      </c>
      <c r="C517" s="54">
        <v>45808.0</v>
      </c>
      <c r="D517" s="54">
        <v>45808.0</v>
      </c>
      <c r="E517" s="38" t="s">
        <v>8811</v>
      </c>
      <c r="F517" s="38" t="s">
        <v>7534</v>
      </c>
      <c r="G517" s="39">
        <v>16446.0</v>
      </c>
      <c r="H517" s="40"/>
      <c r="I517" s="45">
        <v>1148.0</v>
      </c>
      <c r="J517" s="15"/>
      <c r="K517" s="15"/>
      <c r="L517" s="38" t="s">
        <v>123</v>
      </c>
      <c r="M517" s="38" t="s">
        <v>8812</v>
      </c>
      <c r="N517" s="15" t="s">
        <v>24</v>
      </c>
      <c r="O517" s="15" t="s">
        <v>60</v>
      </c>
    </row>
    <row r="518">
      <c r="A518" s="18" t="s">
        <v>7498</v>
      </c>
      <c r="B518" s="38" t="s">
        <v>8813</v>
      </c>
      <c r="C518" s="54">
        <v>45808.0</v>
      </c>
      <c r="D518" s="54">
        <v>45808.0</v>
      </c>
      <c r="E518" s="38" t="s">
        <v>8814</v>
      </c>
      <c r="F518" s="38" t="s">
        <v>7534</v>
      </c>
      <c r="G518" s="39">
        <v>16446.0</v>
      </c>
      <c r="H518" s="40"/>
      <c r="I518" s="45">
        <v>1168.0</v>
      </c>
      <c r="J518" s="15"/>
      <c r="K518" s="15"/>
      <c r="L518" s="38" t="s">
        <v>123</v>
      </c>
      <c r="M518" s="38" t="s">
        <v>8815</v>
      </c>
      <c r="N518" s="15" t="s">
        <v>24</v>
      </c>
      <c r="O518" s="15" t="s">
        <v>60</v>
      </c>
    </row>
    <row r="519">
      <c r="A519" s="18" t="s">
        <v>7498</v>
      </c>
      <c r="B519" s="38" t="s">
        <v>8816</v>
      </c>
      <c r="C519" s="54">
        <v>45808.0</v>
      </c>
      <c r="D519" s="54">
        <v>45808.0</v>
      </c>
      <c r="E519" s="38" t="s">
        <v>8817</v>
      </c>
      <c r="F519" s="38" t="s">
        <v>7534</v>
      </c>
      <c r="G519" s="39">
        <v>16446.0</v>
      </c>
      <c r="H519" s="40"/>
      <c r="I519" s="45">
        <v>1488.0</v>
      </c>
      <c r="J519" s="15"/>
      <c r="K519" s="15"/>
      <c r="L519" s="38" t="s">
        <v>127</v>
      </c>
      <c r="M519" s="58" t="s">
        <v>8818</v>
      </c>
      <c r="N519" s="15" t="s">
        <v>24</v>
      </c>
      <c r="O519" s="15" t="s">
        <v>60</v>
      </c>
    </row>
    <row r="520">
      <c r="A520" s="18" t="s">
        <v>7498</v>
      </c>
      <c r="B520" s="38" t="s">
        <v>8819</v>
      </c>
      <c r="C520" s="54">
        <v>45808.0</v>
      </c>
      <c r="D520" s="54">
        <v>45808.0</v>
      </c>
      <c r="E520" s="38" t="s">
        <v>8820</v>
      </c>
      <c r="F520" s="38" t="s">
        <v>7534</v>
      </c>
      <c r="G520" s="39">
        <v>16446.0</v>
      </c>
      <c r="H520" s="40"/>
      <c r="I520" s="45">
        <v>1679.0</v>
      </c>
      <c r="J520" s="15"/>
      <c r="K520" s="15"/>
      <c r="L520" s="38" t="s">
        <v>123</v>
      </c>
      <c r="M520" s="38" t="s">
        <v>8821</v>
      </c>
      <c r="N520" s="15" t="s">
        <v>24</v>
      </c>
      <c r="O520" s="15" t="s">
        <v>60</v>
      </c>
    </row>
    <row r="521">
      <c r="A521" s="18" t="s">
        <v>7498</v>
      </c>
      <c r="B521" s="38" t="s">
        <v>8822</v>
      </c>
      <c r="C521" s="54">
        <v>45808.0</v>
      </c>
      <c r="D521" s="54">
        <v>45808.0</v>
      </c>
      <c r="E521" s="38" t="s">
        <v>8823</v>
      </c>
      <c r="F521" s="38" t="s">
        <v>7534</v>
      </c>
      <c r="G521" s="39">
        <v>16446.0</v>
      </c>
      <c r="H521" s="40"/>
      <c r="I521" s="45">
        <v>2004.68</v>
      </c>
      <c r="J521" s="15"/>
      <c r="K521" s="15"/>
      <c r="L521" s="38" t="s">
        <v>123</v>
      </c>
      <c r="M521" s="38" t="s">
        <v>8824</v>
      </c>
      <c r="N521" s="15" t="s">
        <v>24</v>
      </c>
      <c r="O521" s="15" t="s">
        <v>60</v>
      </c>
    </row>
    <row r="522">
      <c r="A522" s="18" t="s">
        <v>7498</v>
      </c>
      <c r="B522" s="38" t="s">
        <v>8825</v>
      </c>
      <c r="C522" s="54">
        <v>45808.0</v>
      </c>
      <c r="D522" s="54">
        <v>45808.0</v>
      </c>
      <c r="E522" s="38" t="s">
        <v>8826</v>
      </c>
      <c r="F522" s="38" t="s">
        <v>7534</v>
      </c>
      <c r="G522" s="39">
        <v>16446.0</v>
      </c>
      <c r="H522" s="40"/>
      <c r="I522" s="45">
        <v>2537.0</v>
      </c>
      <c r="J522" s="15"/>
      <c r="K522" s="15"/>
      <c r="L522" s="38" t="s">
        <v>123</v>
      </c>
      <c r="M522" s="38" t="s">
        <v>8827</v>
      </c>
      <c r="N522" s="15" t="s">
        <v>24</v>
      </c>
      <c r="O522" s="15" t="s">
        <v>60</v>
      </c>
    </row>
    <row r="523">
      <c r="A523" s="18" t="s">
        <v>7498</v>
      </c>
      <c r="B523" s="38" t="s">
        <v>8828</v>
      </c>
      <c r="C523" s="54">
        <v>45808.0</v>
      </c>
      <c r="D523" s="54">
        <v>45808.0</v>
      </c>
      <c r="E523" s="38" t="s">
        <v>8829</v>
      </c>
      <c r="F523" s="38" t="s">
        <v>7534</v>
      </c>
      <c r="G523" s="39">
        <v>16446.0</v>
      </c>
      <c r="H523" s="40"/>
      <c r="I523" s="42">
        <v>300.0</v>
      </c>
      <c r="J523" s="15"/>
      <c r="K523" s="15"/>
      <c r="L523" s="38" t="s">
        <v>127</v>
      </c>
      <c r="M523" s="38" t="s">
        <v>1648</v>
      </c>
      <c r="N523" s="15" t="s">
        <v>24</v>
      </c>
      <c r="O523" s="15" t="s">
        <v>60</v>
      </c>
    </row>
    <row r="524">
      <c r="A524" s="18" t="s">
        <v>7498</v>
      </c>
      <c r="B524" s="38" t="s">
        <v>8830</v>
      </c>
      <c r="C524" s="54">
        <v>45808.0</v>
      </c>
      <c r="D524" s="54">
        <v>45808.0</v>
      </c>
      <c r="E524" s="38" t="s">
        <v>8831</v>
      </c>
      <c r="F524" s="38" t="s">
        <v>7534</v>
      </c>
      <c r="G524" s="39">
        <v>16446.0</v>
      </c>
      <c r="H524" s="40"/>
      <c r="I524" s="42">
        <v>298.0</v>
      </c>
      <c r="J524" s="15"/>
      <c r="K524" s="15"/>
      <c r="L524" s="38" t="s">
        <v>127</v>
      </c>
      <c r="M524" s="38" t="s">
        <v>8832</v>
      </c>
      <c r="N524" s="15" t="s">
        <v>24</v>
      </c>
      <c r="O524" s="15" t="s">
        <v>60</v>
      </c>
    </row>
    <row r="525">
      <c r="A525" s="18" t="s">
        <v>7498</v>
      </c>
      <c r="B525" s="15" t="s">
        <v>8833</v>
      </c>
      <c r="C525" s="37">
        <v>45809.0</v>
      </c>
      <c r="D525" s="37">
        <v>45809.0</v>
      </c>
      <c r="E525" s="38" t="s">
        <v>8834</v>
      </c>
      <c r="F525" s="38" t="s">
        <v>7567</v>
      </c>
      <c r="G525" s="39">
        <v>16446.0</v>
      </c>
      <c r="H525" s="44"/>
      <c r="I525" s="42">
        <v>705.4</v>
      </c>
      <c r="J525" s="15"/>
      <c r="K525" s="15"/>
      <c r="L525" s="15" t="s">
        <v>123</v>
      </c>
      <c r="M525" s="38" t="s">
        <v>8835</v>
      </c>
      <c r="N525" s="38" t="s">
        <v>24</v>
      </c>
      <c r="O525" s="38" t="s">
        <v>60</v>
      </c>
    </row>
    <row r="526">
      <c r="A526" s="18" t="s">
        <v>7498</v>
      </c>
      <c r="B526" s="15" t="s">
        <v>8836</v>
      </c>
      <c r="C526" s="37">
        <v>45809.0</v>
      </c>
      <c r="D526" s="37">
        <v>45809.0</v>
      </c>
      <c r="E526" s="38" t="s">
        <v>8837</v>
      </c>
      <c r="F526" s="38" t="s">
        <v>8838</v>
      </c>
      <c r="G526" s="39">
        <v>99922.0</v>
      </c>
      <c r="H526" s="45">
        <v>12500.0</v>
      </c>
      <c r="I526" s="40"/>
      <c r="J526" s="15"/>
      <c r="K526" s="15" t="s">
        <v>8839</v>
      </c>
      <c r="L526" s="15" t="s">
        <v>123</v>
      </c>
      <c r="M526" s="15"/>
      <c r="N526" s="15" t="s">
        <v>114</v>
      </c>
      <c r="O526" s="15" t="s">
        <v>169</v>
      </c>
    </row>
    <row r="527">
      <c r="A527" s="18" t="s">
        <v>7498</v>
      </c>
      <c r="B527" s="15" t="s">
        <v>8840</v>
      </c>
      <c r="C527" s="37">
        <v>45809.0</v>
      </c>
      <c r="D527" s="37">
        <v>45809.0</v>
      </c>
      <c r="E527" s="38" t="s">
        <v>8841</v>
      </c>
      <c r="F527" s="38" t="s">
        <v>7567</v>
      </c>
      <c r="G527" s="39">
        <v>16446.0</v>
      </c>
      <c r="H527" s="44"/>
      <c r="I527" s="45">
        <v>312.0</v>
      </c>
      <c r="J527" s="15"/>
      <c r="K527" s="15"/>
      <c r="L527" s="15" t="s">
        <v>539</v>
      </c>
      <c r="M527" s="15"/>
      <c r="N527" s="38" t="s">
        <v>24</v>
      </c>
      <c r="O527" s="38" t="s">
        <v>60</v>
      </c>
    </row>
    <row r="528">
      <c r="A528" s="18" t="s">
        <v>7498</v>
      </c>
      <c r="B528" s="15" t="s">
        <v>8842</v>
      </c>
      <c r="C528" s="43">
        <v>45809.0</v>
      </c>
      <c r="D528" s="43">
        <v>45809.0</v>
      </c>
      <c r="E528" s="38" t="s">
        <v>8843</v>
      </c>
      <c r="F528" s="38" t="s">
        <v>7567</v>
      </c>
      <c r="G528" s="39">
        <v>16446.0</v>
      </c>
      <c r="H528" s="40"/>
      <c r="I528" s="45">
        <v>188.0</v>
      </c>
      <c r="J528" s="15"/>
      <c r="K528" s="15"/>
      <c r="L528" s="15" t="s">
        <v>539</v>
      </c>
      <c r="M528" s="15"/>
      <c r="N528" s="38" t="s">
        <v>24</v>
      </c>
      <c r="O528" s="38" t="s">
        <v>60</v>
      </c>
    </row>
    <row r="529">
      <c r="A529" s="18" t="s">
        <v>7498</v>
      </c>
      <c r="B529" s="15" t="s">
        <v>8844</v>
      </c>
      <c r="C529" s="43">
        <v>45809.0</v>
      </c>
      <c r="D529" s="43">
        <v>45809.0</v>
      </c>
      <c r="E529" s="38" t="s">
        <v>8845</v>
      </c>
      <c r="F529" s="38" t="s">
        <v>7567</v>
      </c>
      <c r="G529" s="39">
        <v>16446.0</v>
      </c>
      <c r="H529" s="40"/>
      <c r="I529" s="45">
        <v>153.0</v>
      </c>
      <c r="J529" s="15"/>
      <c r="K529" s="15"/>
      <c r="L529" s="15" t="s">
        <v>539</v>
      </c>
      <c r="M529" s="15"/>
      <c r="N529" s="38" t="s">
        <v>24</v>
      </c>
      <c r="O529" s="38" t="s">
        <v>60</v>
      </c>
    </row>
    <row r="530">
      <c r="A530" s="18" t="s">
        <v>7498</v>
      </c>
      <c r="B530" s="15" t="s">
        <v>8846</v>
      </c>
      <c r="C530" s="43">
        <v>45809.0</v>
      </c>
      <c r="D530" s="43">
        <v>45809.0</v>
      </c>
      <c r="E530" s="38" t="s">
        <v>8847</v>
      </c>
      <c r="F530" s="38" t="s">
        <v>7567</v>
      </c>
      <c r="G530" s="39">
        <v>16446.0</v>
      </c>
      <c r="H530" s="40"/>
      <c r="I530" s="45">
        <v>3000.0</v>
      </c>
      <c r="J530" s="15"/>
      <c r="K530" s="15"/>
      <c r="L530" s="15" t="s">
        <v>539</v>
      </c>
      <c r="M530" s="15"/>
      <c r="N530" s="38" t="s">
        <v>24</v>
      </c>
      <c r="O530" s="38" t="s">
        <v>60</v>
      </c>
    </row>
    <row r="531">
      <c r="A531" s="18" t="s">
        <v>7498</v>
      </c>
      <c r="B531" s="15" t="s">
        <v>8848</v>
      </c>
      <c r="C531" s="43">
        <v>45809.0</v>
      </c>
      <c r="D531" s="43">
        <v>45809.0</v>
      </c>
      <c r="E531" s="38" t="s">
        <v>8849</v>
      </c>
      <c r="F531" s="38" t="s">
        <v>7567</v>
      </c>
      <c r="G531" s="39">
        <v>16446.0</v>
      </c>
      <c r="H531" s="40"/>
      <c r="I531" s="45">
        <v>200.0</v>
      </c>
      <c r="J531" s="15"/>
      <c r="K531" s="15"/>
      <c r="L531" s="15" t="s">
        <v>539</v>
      </c>
      <c r="M531" s="15"/>
      <c r="N531" s="38" t="s">
        <v>24</v>
      </c>
      <c r="O531" s="38" t="s">
        <v>60</v>
      </c>
    </row>
    <row r="532">
      <c r="A532" s="18" t="s">
        <v>7498</v>
      </c>
      <c r="B532" s="15" t="s">
        <v>8850</v>
      </c>
      <c r="C532" s="43">
        <v>45809.0</v>
      </c>
      <c r="D532" s="43">
        <v>45809.0</v>
      </c>
      <c r="E532" s="38" t="s">
        <v>8851</v>
      </c>
      <c r="F532" s="38" t="s">
        <v>7567</v>
      </c>
      <c r="G532" s="39">
        <v>16446.0</v>
      </c>
      <c r="H532" s="40"/>
      <c r="I532" s="45">
        <v>900.0</v>
      </c>
      <c r="J532" s="15"/>
      <c r="K532" s="15"/>
      <c r="L532" s="15" t="s">
        <v>539</v>
      </c>
      <c r="M532" s="15"/>
      <c r="N532" s="38" t="s">
        <v>24</v>
      </c>
      <c r="O532" s="38" t="s">
        <v>60</v>
      </c>
    </row>
    <row r="533">
      <c r="A533" s="18" t="s">
        <v>7498</v>
      </c>
      <c r="B533" s="15" t="s">
        <v>8852</v>
      </c>
      <c r="C533" s="43">
        <v>45810.0</v>
      </c>
      <c r="D533" s="43">
        <v>45810.0</v>
      </c>
      <c r="E533" s="38" t="s">
        <v>8853</v>
      </c>
      <c r="F533" s="38" t="s">
        <v>8854</v>
      </c>
      <c r="G533" s="39">
        <v>99922.0</v>
      </c>
      <c r="H533" s="45">
        <v>12331.0</v>
      </c>
      <c r="I533" s="44"/>
      <c r="J533" s="15"/>
      <c r="K533" s="15" t="s">
        <v>8855</v>
      </c>
      <c r="L533" s="15" t="s">
        <v>113</v>
      </c>
      <c r="M533" s="15"/>
      <c r="N533" s="15" t="s">
        <v>114</v>
      </c>
      <c r="O533" s="15" t="s">
        <v>521</v>
      </c>
    </row>
    <row r="534">
      <c r="A534" s="18" t="s">
        <v>7498</v>
      </c>
      <c r="B534" s="15" t="s">
        <v>8856</v>
      </c>
      <c r="C534" s="43">
        <v>45810.0</v>
      </c>
      <c r="D534" s="43">
        <v>45810.0</v>
      </c>
      <c r="E534" s="38" t="s">
        <v>8857</v>
      </c>
      <c r="F534" s="38" t="s">
        <v>7537</v>
      </c>
      <c r="G534" s="39">
        <v>16446.0</v>
      </c>
      <c r="H534" s="40"/>
      <c r="I534" s="42">
        <v>240.0</v>
      </c>
      <c r="J534" s="15"/>
      <c r="K534" s="15"/>
      <c r="L534" s="15" t="s">
        <v>539</v>
      </c>
      <c r="M534" s="15"/>
      <c r="N534" s="38" t="s">
        <v>24</v>
      </c>
      <c r="O534" s="38" t="s">
        <v>60</v>
      </c>
    </row>
    <row r="535">
      <c r="A535" s="18" t="s">
        <v>7498</v>
      </c>
      <c r="B535" s="15" t="s">
        <v>8858</v>
      </c>
      <c r="C535" s="43">
        <v>45810.0</v>
      </c>
      <c r="D535" s="43">
        <v>45810.0</v>
      </c>
      <c r="E535" s="38" t="s">
        <v>8859</v>
      </c>
      <c r="F535" s="38" t="s">
        <v>7537</v>
      </c>
      <c r="G535" s="39">
        <v>16446.0</v>
      </c>
      <c r="H535" s="40"/>
      <c r="I535" s="42">
        <v>370.0</v>
      </c>
      <c r="J535" s="15"/>
      <c r="K535" s="15"/>
      <c r="L535" s="15" t="s">
        <v>539</v>
      </c>
      <c r="M535" s="15"/>
      <c r="N535" s="38" t="s">
        <v>24</v>
      </c>
      <c r="O535" s="38" t="s">
        <v>60</v>
      </c>
    </row>
    <row r="536">
      <c r="A536" s="18" t="s">
        <v>7498</v>
      </c>
      <c r="B536" s="15" t="s">
        <v>8860</v>
      </c>
      <c r="C536" s="37">
        <v>45810.0</v>
      </c>
      <c r="D536" s="37">
        <v>45810.0</v>
      </c>
      <c r="E536" s="38" t="s">
        <v>8861</v>
      </c>
      <c r="F536" s="38" t="s">
        <v>7537</v>
      </c>
      <c r="G536" s="39">
        <v>16446.0</v>
      </c>
      <c r="H536" s="40"/>
      <c r="I536" s="42">
        <v>656.0</v>
      </c>
      <c r="J536" s="15"/>
      <c r="K536" s="15"/>
      <c r="L536" s="15" t="s">
        <v>539</v>
      </c>
      <c r="M536" s="15"/>
      <c r="N536" s="38" t="s">
        <v>24</v>
      </c>
      <c r="O536" s="38" t="s">
        <v>60</v>
      </c>
    </row>
    <row r="537">
      <c r="A537" s="18" t="s">
        <v>7498</v>
      </c>
      <c r="B537" s="15" t="s">
        <v>8862</v>
      </c>
      <c r="C537" s="37">
        <v>45811.0</v>
      </c>
      <c r="D537" s="37">
        <v>45811.0</v>
      </c>
      <c r="E537" s="38" t="s">
        <v>8863</v>
      </c>
      <c r="F537" s="38" t="s">
        <v>7544</v>
      </c>
      <c r="G537" s="39">
        <v>16446.0</v>
      </c>
      <c r="H537" s="40"/>
      <c r="I537" s="45">
        <v>1158.0</v>
      </c>
      <c r="J537" s="15"/>
      <c r="K537" s="15"/>
      <c r="L537" s="15" t="s">
        <v>539</v>
      </c>
      <c r="M537" s="15"/>
      <c r="N537" s="38" t="s">
        <v>24</v>
      </c>
      <c r="O537" s="38" t="s">
        <v>60</v>
      </c>
    </row>
    <row r="538">
      <c r="A538" s="18" t="s">
        <v>7498</v>
      </c>
      <c r="B538" s="15" t="s">
        <v>8864</v>
      </c>
      <c r="C538" s="37">
        <v>45811.0</v>
      </c>
      <c r="D538" s="37">
        <v>45811.0</v>
      </c>
      <c r="E538" s="38" t="s">
        <v>8865</v>
      </c>
      <c r="F538" s="38" t="s">
        <v>7544</v>
      </c>
      <c r="G538" s="39">
        <v>16446.0</v>
      </c>
      <c r="H538" s="40"/>
      <c r="I538" s="42">
        <v>675.0</v>
      </c>
      <c r="J538" s="15"/>
      <c r="K538" s="15"/>
      <c r="L538" s="15" t="s">
        <v>539</v>
      </c>
      <c r="M538" s="15"/>
      <c r="N538" s="38" t="s">
        <v>24</v>
      </c>
      <c r="O538" s="38" t="s">
        <v>60</v>
      </c>
    </row>
    <row r="539">
      <c r="A539" s="18" t="s">
        <v>7498</v>
      </c>
      <c r="B539" s="15" t="s">
        <v>8866</v>
      </c>
      <c r="C539" s="37">
        <v>45811.0</v>
      </c>
      <c r="D539" s="37">
        <v>45811.0</v>
      </c>
      <c r="E539" s="38" t="s">
        <v>8867</v>
      </c>
      <c r="F539" s="38" t="s">
        <v>7544</v>
      </c>
      <c r="G539" s="39">
        <v>16446.0</v>
      </c>
      <c r="H539" s="40"/>
      <c r="I539" s="42">
        <v>563.0</v>
      </c>
      <c r="J539" s="15"/>
      <c r="K539" s="15"/>
      <c r="L539" s="15" t="s">
        <v>539</v>
      </c>
      <c r="M539" s="15"/>
      <c r="N539" s="38" t="s">
        <v>24</v>
      </c>
      <c r="O539" s="38" t="s">
        <v>60</v>
      </c>
    </row>
    <row r="540">
      <c r="A540" s="18" t="s">
        <v>7498</v>
      </c>
      <c r="B540" s="15" t="s">
        <v>8868</v>
      </c>
      <c r="C540" s="37">
        <v>45811.0</v>
      </c>
      <c r="D540" s="37">
        <v>45811.0</v>
      </c>
      <c r="E540" s="38" t="s">
        <v>8869</v>
      </c>
      <c r="F540" s="38" t="s">
        <v>7544</v>
      </c>
      <c r="G540" s="39">
        <v>16446.0</v>
      </c>
      <c r="H540" s="40"/>
      <c r="I540" s="42">
        <v>147.0</v>
      </c>
      <c r="J540" s="15"/>
      <c r="K540" s="15"/>
      <c r="L540" s="15" t="s">
        <v>539</v>
      </c>
      <c r="M540" s="15"/>
      <c r="N540" s="38" t="s">
        <v>24</v>
      </c>
      <c r="O540" s="38" t="s">
        <v>60</v>
      </c>
    </row>
    <row r="541">
      <c r="A541" s="18" t="s">
        <v>7498</v>
      </c>
      <c r="B541" s="15" t="s">
        <v>8870</v>
      </c>
      <c r="C541" s="37">
        <v>45811.0</v>
      </c>
      <c r="D541" s="37">
        <v>45811.0</v>
      </c>
      <c r="E541" s="38" t="s">
        <v>8871</v>
      </c>
      <c r="F541" s="38" t="s">
        <v>7544</v>
      </c>
      <c r="G541" s="39">
        <v>16446.0</v>
      </c>
      <c r="H541" s="40"/>
      <c r="I541" s="42">
        <v>851.0</v>
      </c>
      <c r="J541" s="15"/>
      <c r="K541" s="15"/>
      <c r="L541" s="15" t="s">
        <v>113</v>
      </c>
      <c r="M541" s="38" t="s">
        <v>8872</v>
      </c>
      <c r="N541" s="38" t="s">
        <v>24</v>
      </c>
      <c r="O541" s="38" t="s">
        <v>60</v>
      </c>
    </row>
    <row r="542">
      <c r="A542" s="18" t="s">
        <v>7498</v>
      </c>
      <c r="B542" s="15" t="s">
        <v>8873</v>
      </c>
      <c r="C542" s="37">
        <v>45811.0</v>
      </c>
      <c r="D542" s="37">
        <v>45811.0</v>
      </c>
      <c r="E542" s="38" t="s">
        <v>8874</v>
      </c>
      <c r="F542" s="38" t="s">
        <v>7544</v>
      </c>
      <c r="G542" s="39">
        <v>16446.0</v>
      </c>
      <c r="H542" s="40"/>
      <c r="I542" s="42">
        <v>270.0</v>
      </c>
      <c r="J542" s="15"/>
      <c r="K542" s="15"/>
      <c r="L542" s="15" t="s">
        <v>539</v>
      </c>
      <c r="M542" s="15"/>
      <c r="N542" s="38" t="s">
        <v>24</v>
      </c>
      <c r="O542" s="38" t="s">
        <v>60</v>
      </c>
    </row>
    <row r="543">
      <c r="A543" s="18" t="s">
        <v>7498</v>
      </c>
      <c r="B543" s="15" t="s">
        <v>8875</v>
      </c>
      <c r="C543" s="37">
        <v>45811.0</v>
      </c>
      <c r="D543" s="37">
        <v>45811.0</v>
      </c>
      <c r="E543" s="38" t="s">
        <v>8876</v>
      </c>
      <c r="F543" s="38" t="s">
        <v>7544</v>
      </c>
      <c r="G543" s="39">
        <v>16446.0</v>
      </c>
      <c r="H543" s="40"/>
      <c r="I543" s="45">
        <v>975.0</v>
      </c>
      <c r="J543" s="15"/>
      <c r="K543" s="15"/>
      <c r="L543" s="15" t="s">
        <v>127</v>
      </c>
      <c r="M543" s="38" t="s">
        <v>8877</v>
      </c>
      <c r="N543" s="38" t="s">
        <v>24</v>
      </c>
      <c r="O543" s="38" t="s">
        <v>60</v>
      </c>
    </row>
    <row r="544">
      <c r="A544" s="18" t="s">
        <v>7498</v>
      </c>
      <c r="B544" s="15" t="s">
        <v>8878</v>
      </c>
      <c r="C544" s="37">
        <v>45812.0</v>
      </c>
      <c r="D544" s="37">
        <v>45812.0</v>
      </c>
      <c r="E544" s="38" t="s">
        <v>8879</v>
      </c>
      <c r="F544" s="38" t="s">
        <v>7557</v>
      </c>
      <c r="G544" s="39">
        <v>16446.0</v>
      </c>
      <c r="H544" s="40"/>
      <c r="I544" s="45">
        <v>461.0</v>
      </c>
      <c r="J544" s="15"/>
      <c r="K544" s="15"/>
      <c r="L544" s="15" t="s">
        <v>123</v>
      </c>
      <c r="M544" s="38" t="s">
        <v>8880</v>
      </c>
      <c r="N544" s="38" t="s">
        <v>24</v>
      </c>
      <c r="O544" s="38" t="s">
        <v>60</v>
      </c>
    </row>
    <row r="545">
      <c r="A545" s="18" t="s">
        <v>7498</v>
      </c>
      <c r="B545" s="15" t="s">
        <v>8881</v>
      </c>
      <c r="C545" s="37">
        <v>45812.0</v>
      </c>
      <c r="D545" s="37">
        <v>45812.0</v>
      </c>
      <c r="E545" s="38" t="s">
        <v>8882</v>
      </c>
      <c r="F545" s="38" t="s">
        <v>7557</v>
      </c>
      <c r="G545" s="39">
        <v>16446.0</v>
      </c>
      <c r="H545" s="40"/>
      <c r="I545" s="42">
        <v>83.0</v>
      </c>
      <c r="J545" s="15"/>
      <c r="K545" s="15"/>
      <c r="L545" s="15" t="s">
        <v>539</v>
      </c>
      <c r="M545" s="15"/>
      <c r="N545" s="38" t="s">
        <v>24</v>
      </c>
      <c r="O545" s="38" t="s">
        <v>60</v>
      </c>
    </row>
    <row r="546">
      <c r="A546" s="18" t="s">
        <v>7498</v>
      </c>
      <c r="B546" s="15" t="s">
        <v>8883</v>
      </c>
      <c r="C546" s="37">
        <v>45812.0</v>
      </c>
      <c r="D546" s="37">
        <v>45812.0</v>
      </c>
      <c r="E546" s="38" t="s">
        <v>8884</v>
      </c>
      <c r="F546" s="38" t="s">
        <v>7557</v>
      </c>
      <c r="G546" s="39">
        <v>16446.0</v>
      </c>
      <c r="H546" s="40"/>
      <c r="I546" s="42">
        <v>488.0</v>
      </c>
      <c r="J546" s="15"/>
      <c r="K546" s="15"/>
      <c r="L546" s="15" t="s">
        <v>127</v>
      </c>
      <c r="M546" s="38" t="s">
        <v>1644</v>
      </c>
      <c r="N546" s="38" t="s">
        <v>24</v>
      </c>
      <c r="O546" s="38" t="s">
        <v>60</v>
      </c>
    </row>
    <row r="547">
      <c r="A547" s="18" t="s">
        <v>7498</v>
      </c>
      <c r="B547" s="15" t="s">
        <v>8885</v>
      </c>
      <c r="C547" s="37">
        <v>45812.0</v>
      </c>
      <c r="D547" s="37">
        <v>45812.0</v>
      </c>
      <c r="E547" s="38" t="s">
        <v>8886</v>
      </c>
      <c r="F547" s="38" t="s">
        <v>7557</v>
      </c>
      <c r="G547" s="39">
        <v>16446.0</v>
      </c>
      <c r="H547" s="40"/>
      <c r="I547" s="42">
        <v>695.0</v>
      </c>
      <c r="J547" s="15"/>
      <c r="K547" s="15"/>
      <c r="L547" s="15" t="s">
        <v>113</v>
      </c>
      <c r="M547" s="38" t="s">
        <v>8887</v>
      </c>
      <c r="N547" s="38" t="s">
        <v>24</v>
      </c>
      <c r="O547" s="38" t="s">
        <v>60</v>
      </c>
    </row>
    <row r="548">
      <c r="A548" s="18" t="s">
        <v>7498</v>
      </c>
      <c r="B548" s="15" t="s">
        <v>8888</v>
      </c>
      <c r="C548" s="37">
        <v>45813.0</v>
      </c>
      <c r="D548" s="37">
        <v>45813.0</v>
      </c>
      <c r="E548" s="38" t="s">
        <v>8889</v>
      </c>
      <c r="F548" s="38" t="s">
        <v>7580</v>
      </c>
      <c r="G548" s="39">
        <v>16446.0</v>
      </c>
      <c r="H548" s="44"/>
      <c r="I548" s="42">
        <v>373.0</v>
      </c>
      <c r="J548" s="15"/>
      <c r="K548" s="15"/>
      <c r="L548" s="15" t="s">
        <v>539</v>
      </c>
      <c r="M548" s="15"/>
      <c r="N548" s="38" t="s">
        <v>24</v>
      </c>
      <c r="O548" s="38" t="s">
        <v>60</v>
      </c>
    </row>
    <row r="549">
      <c r="A549" s="18" t="s">
        <v>7498</v>
      </c>
      <c r="B549" s="15" t="s">
        <v>8890</v>
      </c>
      <c r="C549" s="37">
        <v>45813.0</v>
      </c>
      <c r="D549" s="37">
        <v>45813.0</v>
      </c>
      <c r="E549" s="38" t="s">
        <v>8891</v>
      </c>
      <c r="F549" s="38" t="s">
        <v>7580</v>
      </c>
      <c r="G549" s="39">
        <v>16446.0</v>
      </c>
      <c r="H549" s="40"/>
      <c r="I549" s="45">
        <v>1098.0</v>
      </c>
      <c r="J549" s="15"/>
      <c r="K549" s="15"/>
      <c r="L549" s="15" t="s">
        <v>539</v>
      </c>
      <c r="M549" s="15"/>
      <c r="N549" s="38" t="s">
        <v>24</v>
      </c>
      <c r="O549" s="38" t="s">
        <v>60</v>
      </c>
    </row>
    <row r="550">
      <c r="A550" s="18" t="s">
        <v>7498</v>
      </c>
      <c r="B550" s="15" t="s">
        <v>8892</v>
      </c>
      <c r="C550" s="37">
        <v>45813.0</v>
      </c>
      <c r="D550" s="37">
        <v>45813.0</v>
      </c>
      <c r="E550" s="38" t="s">
        <v>8893</v>
      </c>
      <c r="F550" s="38" t="s">
        <v>7580</v>
      </c>
      <c r="G550" s="39">
        <v>16446.0</v>
      </c>
      <c r="H550" s="40"/>
      <c r="I550" s="42">
        <v>575.0</v>
      </c>
      <c r="J550" s="15"/>
      <c r="K550" s="15"/>
      <c r="L550" s="15" t="s">
        <v>113</v>
      </c>
      <c r="M550" s="38" t="s">
        <v>8894</v>
      </c>
      <c r="N550" s="38" t="s">
        <v>24</v>
      </c>
      <c r="O550" s="38" t="s">
        <v>60</v>
      </c>
    </row>
    <row r="551">
      <c r="A551" s="18" t="s">
        <v>7498</v>
      </c>
      <c r="B551" s="15" t="s">
        <v>8895</v>
      </c>
      <c r="C551" s="37">
        <v>45814.0</v>
      </c>
      <c r="D551" s="37">
        <v>45814.0</v>
      </c>
      <c r="E551" s="38" t="s">
        <v>8896</v>
      </c>
      <c r="F551" s="38" t="s">
        <v>7501</v>
      </c>
      <c r="G551" s="39">
        <v>4292.0</v>
      </c>
      <c r="H551" s="45">
        <v>37499.8</v>
      </c>
      <c r="I551" s="44"/>
      <c r="J551" s="15"/>
      <c r="K551" s="15" t="s">
        <v>8897</v>
      </c>
      <c r="L551" s="15" t="s">
        <v>127</v>
      </c>
      <c r="M551" s="15"/>
      <c r="N551" s="15" t="s">
        <v>114</v>
      </c>
      <c r="O551" s="15" t="s">
        <v>478</v>
      </c>
    </row>
    <row r="552">
      <c r="A552" s="18" t="s">
        <v>7498</v>
      </c>
      <c r="B552" s="15" t="s">
        <v>8898</v>
      </c>
      <c r="C552" s="37">
        <v>45814.0</v>
      </c>
      <c r="D552" s="37">
        <v>45814.0</v>
      </c>
      <c r="E552" s="38" t="s">
        <v>8899</v>
      </c>
      <c r="F552" s="38" t="s">
        <v>8900</v>
      </c>
      <c r="G552" s="39">
        <v>16209.0</v>
      </c>
      <c r="H552" s="40"/>
      <c r="I552" s="42" t="s">
        <v>8901</v>
      </c>
      <c r="J552" s="15"/>
      <c r="K552" s="15" t="s">
        <v>8902</v>
      </c>
      <c r="L552" s="18" t="s">
        <v>23</v>
      </c>
      <c r="M552" s="15"/>
      <c r="N552" s="15" t="s">
        <v>24</v>
      </c>
      <c r="O552" s="15" t="s">
        <v>25</v>
      </c>
    </row>
    <row r="553">
      <c r="A553" s="18" t="s">
        <v>7498</v>
      </c>
      <c r="B553" s="15" t="s">
        <v>8903</v>
      </c>
      <c r="C553" s="37">
        <v>45814.0</v>
      </c>
      <c r="D553" s="37">
        <v>45814.0</v>
      </c>
      <c r="E553" s="38" t="s">
        <v>8904</v>
      </c>
      <c r="F553" s="38" t="s">
        <v>7508</v>
      </c>
      <c r="G553" s="39">
        <v>16446.0</v>
      </c>
      <c r="H553" s="40"/>
      <c r="I553" s="42">
        <v>480.0</v>
      </c>
      <c r="J553" s="15"/>
      <c r="K553" s="15"/>
      <c r="L553" s="15" t="s">
        <v>127</v>
      </c>
      <c r="M553" s="38" t="s">
        <v>8905</v>
      </c>
      <c r="N553" s="38" t="s">
        <v>24</v>
      </c>
      <c r="O553" s="38" t="s">
        <v>60</v>
      </c>
    </row>
    <row r="554">
      <c r="A554" s="18" t="s">
        <v>7498</v>
      </c>
      <c r="B554" s="15" t="s">
        <v>8906</v>
      </c>
      <c r="C554" s="37">
        <v>45814.0</v>
      </c>
      <c r="D554" s="37">
        <v>45814.0</v>
      </c>
      <c r="E554" s="38" t="s">
        <v>8907</v>
      </c>
      <c r="F554" s="38" t="s">
        <v>7508</v>
      </c>
      <c r="G554" s="39">
        <v>16446.0</v>
      </c>
      <c r="H554" s="40"/>
      <c r="I554" s="42">
        <v>400.0</v>
      </c>
      <c r="J554" s="15"/>
      <c r="K554" s="15"/>
      <c r="L554" s="15" t="s">
        <v>119</v>
      </c>
      <c r="M554" s="18" t="s">
        <v>8908</v>
      </c>
      <c r="N554" s="38" t="s">
        <v>24</v>
      </c>
      <c r="O554" s="38" t="s">
        <v>60</v>
      </c>
    </row>
    <row r="555">
      <c r="A555" s="18" t="s">
        <v>7498</v>
      </c>
      <c r="B555" s="15" t="s">
        <v>8909</v>
      </c>
      <c r="C555" s="37">
        <v>45814.0</v>
      </c>
      <c r="D555" s="37">
        <v>45814.0</v>
      </c>
      <c r="E555" s="38" t="s">
        <v>8910</v>
      </c>
      <c r="F555" s="38" t="s">
        <v>7508</v>
      </c>
      <c r="G555" s="39">
        <v>16446.0</v>
      </c>
      <c r="H555" s="40"/>
      <c r="I555" s="45">
        <v>1646.0</v>
      </c>
      <c r="J555" s="15"/>
      <c r="K555" s="15"/>
      <c r="L555" s="15" t="s">
        <v>539</v>
      </c>
      <c r="M555" s="15"/>
      <c r="N555" s="38" t="s">
        <v>24</v>
      </c>
      <c r="O555" s="38" t="s">
        <v>60</v>
      </c>
    </row>
    <row r="556">
      <c r="A556" s="18" t="s">
        <v>7498</v>
      </c>
      <c r="B556" s="15" t="s">
        <v>8911</v>
      </c>
      <c r="C556" s="37">
        <v>45814.0</v>
      </c>
      <c r="D556" s="37">
        <v>45814.0</v>
      </c>
      <c r="E556" s="38" t="s">
        <v>8912</v>
      </c>
      <c r="F556" s="38" t="s">
        <v>7508</v>
      </c>
      <c r="G556" s="39">
        <v>16446.0</v>
      </c>
      <c r="H556" s="44"/>
      <c r="I556" s="45">
        <v>7000.0</v>
      </c>
      <c r="J556" s="15"/>
      <c r="K556" s="15"/>
      <c r="L556" s="15" t="s">
        <v>119</v>
      </c>
      <c r="M556" s="18" t="s">
        <v>8913</v>
      </c>
      <c r="N556" s="38" t="s">
        <v>24</v>
      </c>
      <c r="O556" s="38" t="s">
        <v>60</v>
      </c>
    </row>
    <row r="557">
      <c r="A557" s="18" t="s">
        <v>7498</v>
      </c>
      <c r="B557" s="15" t="s">
        <v>8914</v>
      </c>
      <c r="C557" s="37">
        <v>45814.0</v>
      </c>
      <c r="D557" s="37">
        <v>45814.0</v>
      </c>
      <c r="E557" s="38" t="s">
        <v>8915</v>
      </c>
      <c r="F557" s="38" t="s">
        <v>7508</v>
      </c>
      <c r="G557" s="39">
        <v>16446.0</v>
      </c>
      <c r="H557" s="44"/>
      <c r="I557" s="42">
        <v>147.0</v>
      </c>
      <c r="J557" s="15"/>
      <c r="K557" s="15"/>
      <c r="L557" s="15" t="s">
        <v>119</v>
      </c>
      <c r="M557" s="18" t="s">
        <v>8916</v>
      </c>
      <c r="N557" s="38" t="s">
        <v>24</v>
      </c>
      <c r="O557" s="38" t="s">
        <v>60</v>
      </c>
    </row>
    <row r="558">
      <c r="A558" s="18" t="s">
        <v>7498</v>
      </c>
      <c r="B558" s="15" t="s">
        <v>8917</v>
      </c>
      <c r="C558" s="37">
        <v>45814.0</v>
      </c>
      <c r="D558" s="37">
        <v>45814.0</v>
      </c>
      <c r="E558" s="38" t="s">
        <v>8918</v>
      </c>
      <c r="F558" s="38" t="s">
        <v>7508</v>
      </c>
      <c r="G558" s="39">
        <v>16446.0</v>
      </c>
      <c r="H558" s="40"/>
      <c r="I558" s="45">
        <v>745.0</v>
      </c>
      <c r="J558" s="15"/>
      <c r="K558" s="15"/>
      <c r="L558" s="15" t="s">
        <v>539</v>
      </c>
      <c r="M558" s="15"/>
      <c r="N558" s="38" t="s">
        <v>24</v>
      </c>
      <c r="O558" s="38" t="s">
        <v>60</v>
      </c>
    </row>
    <row r="559">
      <c r="A559" s="18" t="s">
        <v>7498</v>
      </c>
      <c r="B559" s="15" t="s">
        <v>8919</v>
      </c>
      <c r="C559" s="37">
        <v>45814.0</v>
      </c>
      <c r="D559" s="37">
        <v>45814.0</v>
      </c>
      <c r="E559" s="38" t="s">
        <v>8920</v>
      </c>
      <c r="F559" s="38" t="s">
        <v>7857</v>
      </c>
      <c r="G559" s="39">
        <v>4430.0</v>
      </c>
      <c r="H559" s="44"/>
      <c r="I559" s="45">
        <v>1817.0</v>
      </c>
      <c r="J559" s="15"/>
      <c r="K559" s="15"/>
      <c r="L559" s="15" t="s">
        <v>539</v>
      </c>
      <c r="M559" s="15"/>
      <c r="N559" s="38" t="s">
        <v>24</v>
      </c>
      <c r="O559" s="38" t="s">
        <v>60</v>
      </c>
    </row>
    <row r="560">
      <c r="A560" s="18" t="s">
        <v>7498</v>
      </c>
      <c r="B560" s="15" t="s">
        <v>8921</v>
      </c>
      <c r="C560" s="37">
        <v>45814.0</v>
      </c>
      <c r="D560" s="37">
        <v>45814.0</v>
      </c>
      <c r="E560" s="38" t="s">
        <v>8922</v>
      </c>
      <c r="F560" s="38" t="s">
        <v>7501</v>
      </c>
      <c r="G560" s="39">
        <v>4292.0</v>
      </c>
      <c r="H560" s="45">
        <v>1024.88</v>
      </c>
      <c r="I560" s="40"/>
      <c r="J560" s="15"/>
      <c r="K560" s="15" t="s">
        <v>8923</v>
      </c>
      <c r="L560" s="15" t="s">
        <v>127</v>
      </c>
      <c r="M560" s="15"/>
      <c r="N560" s="15" t="s">
        <v>114</v>
      </c>
      <c r="O560" s="15" t="s">
        <v>275</v>
      </c>
    </row>
    <row r="561">
      <c r="A561" s="18" t="s">
        <v>7498</v>
      </c>
      <c r="B561" s="15" t="s">
        <v>8924</v>
      </c>
      <c r="C561" s="37">
        <v>45814.0</v>
      </c>
      <c r="D561" s="37">
        <v>45814.0</v>
      </c>
      <c r="E561" s="38" t="s">
        <v>8925</v>
      </c>
      <c r="F561" s="38" t="s">
        <v>8926</v>
      </c>
      <c r="G561" s="39">
        <v>99922.0</v>
      </c>
      <c r="H561" s="45">
        <v>27000.0</v>
      </c>
      <c r="I561" s="40"/>
      <c r="J561" s="15"/>
      <c r="K561" s="15" t="s">
        <v>8927</v>
      </c>
      <c r="L561" s="15" t="s">
        <v>127</v>
      </c>
      <c r="M561" s="15"/>
      <c r="N561" s="15" t="s">
        <v>114</v>
      </c>
      <c r="O561" s="15" t="s">
        <v>115</v>
      </c>
    </row>
    <row r="562">
      <c r="A562" s="18" t="s">
        <v>7498</v>
      </c>
      <c r="B562" s="15" t="s">
        <v>8928</v>
      </c>
      <c r="C562" s="37">
        <v>45814.0</v>
      </c>
      <c r="D562" s="37">
        <v>45814.0</v>
      </c>
      <c r="E562" s="38" t="s">
        <v>8929</v>
      </c>
      <c r="F562" s="38" t="s">
        <v>8930</v>
      </c>
      <c r="G562" s="39">
        <v>99922.0</v>
      </c>
      <c r="H562" s="45">
        <v>40120.0</v>
      </c>
      <c r="I562" s="40"/>
      <c r="J562" s="15"/>
      <c r="K562" s="15" t="s">
        <v>8931</v>
      </c>
      <c r="L562" s="15" t="s">
        <v>123</v>
      </c>
      <c r="M562" s="15"/>
      <c r="N562" s="15" t="s">
        <v>114</v>
      </c>
      <c r="O562" s="15" t="s">
        <v>115</v>
      </c>
    </row>
    <row r="563">
      <c r="A563" s="18" t="s">
        <v>7498</v>
      </c>
      <c r="B563" s="15" t="s">
        <v>8932</v>
      </c>
      <c r="C563" s="37">
        <v>45814.0</v>
      </c>
      <c r="D563" s="37">
        <v>45814.0</v>
      </c>
      <c r="E563" s="38" t="s">
        <v>8377</v>
      </c>
      <c r="F563" s="38" t="s">
        <v>8933</v>
      </c>
      <c r="G563" s="39">
        <v>99922.0</v>
      </c>
      <c r="H563" s="45">
        <v>29000.0</v>
      </c>
      <c r="I563" s="40"/>
      <c r="J563" s="15"/>
      <c r="K563" s="15" t="s">
        <v>8934</v>
      </c>
      <c r="L563" s="15" t="s">
        <v>113</v>
      </c>
      <c r="M563" s="15"/>
      <c r="N563" s="15" t="s">
        <v>114</v>
      </c>
      <c r="O563" s="15" t="s">
        <v>115</v>
      </c>
    </row>
    <row r="564">
      <c r="A564" s="18" t="s">
        <v>7498</v>
      </c>
      <c r="B564" s="15" t="s">
        <v>8935</v>
      </c>
      <c r="C564" s="37">
        <v>45814.0</v>
      </c>
      <c r="D564" s="37">
        <v>45814.0</v>
      </c>
      <c r="E564" s="38" t="s">
        <v>8936</v>
      </c>
      <c r="F564" s="38" t="s">
        <v>8937</v>
      </c>
      <c r="G564" s="39">
        <v>99922.0</v>
      </c>
      <c r="H564" s="45">
        <v>10000.0</v>
      </c>
      <c r="I564" s="40"/>
      <c r="J564" s="15"/>
      <c r="K564" s="15" t="s">
        <v>8938</v>
      </c>
      <c r="L564" s="15" t="s">
        <v>119</v>
      </c>
      <c r="M564" s="15"/>
      <c r="N564" s="15" t="s">
        <v>114</v>
      </c>
      <c r="O564" s="15" t="s">
        <v>115</v>
      </c>
    </row>
    <row r="565">
      <c r="A565" s="18" t="s">
        <v>7498</v>
      </c>
      <c r="B565" s="15" t="s">
        <v>8939</v>
      </c>
      <c r="C565" s="37">
        <v>45815.0</v>
      </c>
      <c r="D565" s="37">
        <v>45815.0</v>
      </c>
      <c r="E565" s="38" t="s">
        <v>8940</v>
      </c>
      <c r="F565" s="38" t="s">
        <v>8941</v>
      </c>
      <c r="G565" s="39">
        <v>99922.0</v>
      </c>
      <c r="H565" s="45">
        <v>20789.0</v>
      </c>
      <c r="I565" s="40"/>
      <c r="J565" s="15"/>
      <c r="K565" s="15" t="s">
        <v>8486</v>
      </c>
      <c r="L565" s="15" t="s">
        <v>127</v>
      </c>
      <c r="M565" s="15"/>
      <c r="N565" s="15" t="s">
        <v>114</v>
      </c>
      <c r="O565" s="15" t="s">
        <v>169</v>
      </c>
    </row>
    <row r="566">
      <c r="A566" s="18" t="s">
        <v>7498</v>
      </c>
      <c r="B566" s="15" t="s">
        <v>8942</v>
      </c>
      <c r="C566" s="37">
        <v>45815.0</v>
      </c>
      <c r="D566" s="37">
        <v>45815.0</v>
      </c>
      <c r="E566" s="38" t="s">
        <v>8943</v>
      </c>
      <c r="F566" s="38" t="s">
        <v>8944</v>
      </c>
      <c r="G566" s="39">
        <v>99922.0</v>
      </c>
      <c r="H566" s="45">
        <v>21350.0</v>
      </c>
      <c r="I566" s="40"/>
      <c r="J566" s="15"/>
      <c r="K566" s="15" t="s">
        <v>8534</v>
      </c>
      <c r="L566" s="15" t="s">
        <v>127</v>
      </c>
      <c r="M566" s="15"/>
      <c r="N566" s="15" t="s">
        <v>114</v>
      </c>
      <c r="O566" s="15" t="s">
        <v>169</v>
      </c>
    </row>
    <row r="567">
      <c r="A567" s="18" t="s">
        <v>7498</v>
      </c>
      <c r="B567" s="15" t="s">
        <v>8945</v>
      </c>
      <c r="C567" s="43">
        <v>45815.0</v>
      </c>
      <c r="D567" s="43">
        <v>45815.0</v>
      </c>
      <c r="E567" s="38" t="s">
        <v>8946</v>
      </c>
      <c r="F567" s="38" t="s">
        <v>8947</v>
      </c>
      <c r="G567" s="39">
        <v>99922.0</v>
      </c>
      <c r="H567" s="45">
        <v>4667.0</v>
      </c>
      <c r="I567" s="40"/>
      <c r="J567" s="15"/>
      <c r="K567" s="15" t="s">
        <v>8948</v>
      </c>
      <c r="L567" s="15" t="s">
        <v>127</v>
      </c>
      <c r="M567" s="15"/>
      <c r="N567" s="15" t="s">
        <v>114</v>
      </c>
      <c r="O567" s="15" t="s">
        <v>169</v>
      </c>
    </row>
    <row r="568">
      <c r="A568" s="18" t="s">
        <v>7498</v>
      </c>
      <c r="B568" s="15" t="s">
        <v>8949</v>
      </c>
      <c r="C568" s="43">
        <v>45815.0</v>
      </c>
      <c r="D568" s="43">
        <v>45815.0</v>
      </c>
      <c r="E568" s="38" t="s">
        <v>8950</v>
      </c>
      <c r="F568" s="38" t="s">
        <v>8951</v>
      </c>
      <c r="G568" s="39">
        <v>99922.0</v>
      </c>
      <c r="H568" s="45">
        <v>18035.0</v>
      </c>
      <c r="I568" s="40"/>
      <c r="J568" s="15"/>
      <c r="K568" s="15" t="s">
        <v>1229</v>
      </c>
      <c r="L568" s="15" t="s">
        <v>127</v>
      </c>
      <c r="M568" s="15"/>
      <c r="N568" s="15" t="s">
        <v>114</v>
      </c>
      <c r="O568" s="15" t="s">
        <v>169</v>
      </c>
    </row>
    <row r="569">
      <c r="A569" s="18" t="s">
        <v>7498</v>
      </c>
      <c r="B569" s="15" t="s">
        <v>8952</v>
      </c>
      <c r="C569" s="43">
        <v>45815.0</v>
      </c>
      <c r="D569" s="43">
        <v>45815.0</v>
      </c>
      <c r="E569" s="38" t="s">
        <v>8953</v>
      </c>
      <c r="F569" s="38" t="s">
        <v>8954</v>
      </c>
      <c r="G569" s="39">
        <v>99922.0</v>
      </c>
      <c r="H569" s="45">
        <v>10435.0</v>
      </c>
      <c r="I569" s="40"/>
      <c r="J569" s="15"/>
      <c r="K569" s="15" t="s">
        <v>8955</v>
      </c>
      <c r="L569" s="15" t="s">
        <v>119</v>
      </c>
      <c r="M569" s="15"/>
      <c r="N569" s="15" t="s">
        <v>114</v>
      </c>
      <c r="O569" s="15" t="s">
        <v>169</v>
      </c>
    </row>
    <row r="570">
      <c r="A570" s="18" t="s">
        <v>7498</v>
      </c>
      <c r="B570" s="15" t="s">
        <v>8956</v>
      </c>
      <c r="C570" s="43">
        <v>45815.0</v>
      </c>
      <c r="D570" s="43">
        <v>45815.0</v>
      </c>
      <c r="E570" s="38" t="s">
        <v>8957</v>
      </c>
      <c r="F570" s="38" t="s">
        <v>8958</v>
      </c>
      <c r="G570" s="39">
        <v>99922.0</v>
      </c>
      <c r="H570" s="45">
        <v>1146.0</v>
      </c>
      <c r="I570" s="40"/>
      <c r="J570" s="15"/>
      <c r="K570" s="15" t="s">
        <v>8959</v>
      </c>
      <c r="L570" s="15" t="s">
        <v>123</v>
      </c>
      <c r="M570" s="15"/>
      <c r="N570" s="15" t="s">
        <v>114</v>
      </c>
      <c r="O570" s="15" t="s">
        <v>169</v>
      </c>
    </row>
    <row r="571">
      <c r="A571" s="18" t="s">
        <v>7498</v>
      </c>
      <c r="B571" s="15" t="s">
        <v>8960</v>
      </c>
      <c r="C571" s="43">
        <v>45815.0</v>
      </c>
      <c r="D571" s="43">
        <v>45815.0</v>
      </c>
      <c r="E571" s="38" t="s">
        <v>8961</v>
      </c>
      <c r="F571" s="38" t="s">
        <v>8962</v>
      </c>
      <c r="G571" s="39">
        <v>99922.0</v>
      </c>
      <c r="H571" s="45">
        <v>8848.0</v>
      </c>
      <c r="I571" s="40"/>
      <c r="J571" s="15"/>
      <c r="K571" s="15" t="s">
        <v>8494</v>
      </c>
      <c r="L571" s="15" t="s">
        <v>123</v>
      </c>
      <c r="M571" s="15"/>
      <c r="N571" s="15" t="s">
        <v>114</v>
      </c>
      <c r="O571" s="15" t="s">
        <v>169</v>
      </c>
    </row>
    <row r="572">
      <c r="A572" s="18" t="s">
        <v>7498</v>
      </c>
      <c r="B572" s="15" t="s">
        <v>8963</v>
      </c>
      <c r="C572" s="43">
        <v>45815.0</v>
      </c>
      <c r="D572" s="43">
        <v>45815.0</v>
      </c>
      <c r="E572" s="38" t="s">
        <v>7657</v>
      </c>
      <c r="F572" s="38" t="s">
        <v>8964</v>
      </c>
      <c r="G572" s="39">
        <v>99922.0</v>
      </c>
      <c r="H572" s="45">
        <v>20000.0</v>
      </c>
      <c r="I572" s="40"/>
      <c r="J572" s="15"/>
      <c r="K572" s="15" t="s">
        <v>8965</v>
      </c>
      <c r="L572" s="15" t="s">
        <v>123</v>
      </c>
      <c r="M572" s="15"/>
      <c r="N572" s="15" t="s">
        <v>114</v>
      </c>
      <c r="O572" s="15" t="s">
        <v>169</v>
      </c>
    </row>
    <row r="573">
      <c r="A573" s="18" t="s">
        <v>7498</v>
      </c>
      <c r="B573" s="15" t="s">
        <v>8966</v>
      </c>
      <c r="C573" s="43">
        <v>45815.0</v>
      </c>
      <c r="D573" s="43">
        <v>45815.0</v>
      </c>
      <c r="E573" s="38" t="s">
        <v>8967</v>
      </c>
      <c r="F573" s="38" t="s">
        <v>8968</v>
      </c>
      <c r="G573" s="39">
        <v>99922.0</v>
      </c>
      <c r="H573" s="45">
        <v>15225.0</v>
      </c>
      <c r="I573" s="40"/>
      <c r="J573" s="15"/>
      <c r="K573" s="15" t="s">
        <v>8969</v>
      </c>
      <c r="L573" s="15" t="s">
        <v>113</v>
      </c>
      <c r="M573" s="15"/>
      <c r="N573" s="15" t="s">
        <v>114</v>
      </c>
      <c r="O573" s="15" t="s">
        <v>169</v>
      </c>
    </row>
    <row r="574">
      <c r="A574" s="18" t="s">
        <v>7498</v>
      </c>
      <c r="B574" s="15" t="s">
        <v>8970</v>
      </c>
      <c r="C574" s="43">
        <v>45815.0</v>
      </c>
      <c r="D574" s="43">
        <v>45815.0</v>
      </c>
      <c r="E574" s="38" t="s">
        <v>8971</v>
      </c>
      <c r="F574" s="38" t="s">
        <v>8972</v>
      </c>
      <c r="G574" s="39">
        <v>99922.0</v>
      </c>
      <c r="H574" s="45">
        <v>1524.0</v>
      </c>
      <c r="I574" s="40"/>
      <c r="J574" s="15"/>
      <c r="K574" s="15" t="s">
        <v>322</v>
      </c>
      <c r="L574" s="15" t="s">
        <v>123</v>
      </c>
      <c r="M574" s="15"/>
      <c r="N574" s="15" t="s">
        <v>114</v>
      </c>
      <c r="O574" s="15" t="s">
        <v>169</v>
      </c>
    </row>
    <row r="575">
      <c r="A575" s="18" t="s">
        <v>7498</v>
      </c>
      <c r="B575" s="15" t="s">
        <v>8973</v>
      </c>
      <c r="C575" s="43">
        <v>45815.0</v>
      </c>
      <c r="D575" s="43">
        <v>45815.0</v>
      </c>
      <c r="E575" s="38" t="s">
        <v>8974</v>
      </c>
      <c r="F575" s="38" t="s">
        <v>8975</v>
      </c>
      <c r="G575" s="39">
        <v>99922.0</v>
      </c>
      <c r="H575" s="45">
        <v>2267.0</v>
      </c>
      <c r="I575" s="40"/>
      <c r="J575" s="15"/>
      <c r="K575" s="15" t="s">
        <v>8976</v>
      </c>
      <c r="L575" s="15" t="s">
        <v>113</v>
      </c>
      <c r="M575" s="15"/>
      <c r="N575" s="15" t="s">
        <v>114</v>
      </c>
      <c r="O575" s="15" t="s">
        <v>169</v>
      </c>
    </row>
    <row r="576">
      <c r="A576" s="18" t="s">
        <v>7498</v>
      </c>
      <c r="B576" s="15" t="s">
        <v>8977</v>
      </c>
      <c r="C576" s="43">
        <v>45815.0</v>
      </c>
      <c r="D576" s="43">
        <v>45815.0</v>
      </c>
      <c r="E576" s="38" t="s">
        <v>8978</v>
      </c>
      <c r="F576" s="38" t="s">
        <v>8979</v>
      </c>
      <c r="G576" s="39">
        <v>4430.0</v>
      </c>
      <c r="H576" s="40"/>
      <c r="I576" s="45">
        <v>4667.0</v>
      </c>
      <c r="J576" s="15"/>
      <c r="K576" s="15" t="s">
        <v>8980</v>
      </c>
      <c r="L576" s="15" t="s">
        <v>127</v>
      </c>
      <c r="M576" s="15"/>
      <c r="N576" s="38" t="s">
        <v>24</v>
      </c>
      <c r="O576" s="38" t="s">
        <v>60</v>
      </c>
    </row>
    <row r="577">
      <c r="A577" s="18" t="s">
        <v>7498</v>
      </c>
      <c r="B577" s="15" t="s">
        <v>8981</v>
      </c>
      <c r="C577" s="43">
        <v>45815.0</v>
      </c>
      <c r="D577" s="43">
        <v>45815.0</v>
      </c>
      <c r="E577" s="38" t="s">
        <v>8377</v>
      </c>
      <c r="F577" s="38" t="s">
        <v>8982</v>
      </c>
      <c r="G577" s="39">
        <v>99922.0</v>
      </c>
      <c r="H577" s="45">
        <v>29000.0</v>
      </c>
      <c r="I577" s="40"/>
      <c r="J577" s="15"/>
      <c r="K577" s="15" t="s">
        <v>8934</v>
      </c>
      <c r="L577" s="15" t="s">
        <v>113</v>
      </c>
      <c r="M577" s="15"/>
      <c r="N577" s="15" t="s">
        <v>114</v>
      </c>
      <c r="O577" s="15" t="s">
        <v>115</v>
      </c>
    </row>
    <row r="578">
      <c r="A578" s="18" t="s">
        <v>7498</v>
      </c>
      <c r="B578" s="15" t="s">
        <v>8983</v>
      </c>
      <c r="C578" s="43">
        <v>45815.0</v>
      </c>
      <c r="D578" s="43">
        <v>45815.0</v>
      </c>
      <c r="E578" s="38" t="s">
        <v>8984</v>
      </c>
      <c r="F578" s="38" t="s">
        <v>7534</v>
      </c>
      <c r="G578" s="39">
        <v>16446.0</v>
      </c>
      <c r="H578" s="40"/>
      <c r="I578" s="45">
        <v>1243.0</v>
      </c>
      <c r="J578" s="15"/>
      <c r="K578" s="15"/>
      <c r="L578" s="15" t="s">
        <v>539</v>
      </c>
      <c r="M578" s="15"/>
      <c r="N578" s="38" t="s">
        <v>24</v>
      </c>
      <c r="O578" s="38" t="s">
        <v>60</v>
      </c>
    </row>
    <row r="579">
      <c r="A579" s="18" t="s">
        <v>7498</v>
      </c>
      <c r="B579" s="15" t="s">
        <v>8985</v>
      </c>
      <c r="C579" s="43">
        <v>45815.0</v>
      </c>
      <c r="D579" s="43">
        <v>45815.0</v>
      </c>
      <c r="E579" s="38" t="s">
        <v>8986</v>
      </c>
      <c r="F579" s="38" t="s">
        <v>7534</v>
      </c>
      <c r="G579" s="39">
        <v>16446.0</v>
      </c>
      <c r="H579" s="40"/>
      <c r="I579" s="42">
        <v>140.0</v>
      </c>
      <c r="J579" s="15"/>
      <c r="K579" s="15"/>
      <c r="L579" s="15" t="s">
        <v>539</v>
      </c>
      <c r="M579" s="15"/>
      <c r="N579" s="38" t="s">
        <v>24</v>
      </c>
      <c r="O579" s="38" t="s">
        <v>60</v>
      </c>
    </row>
    <row r="580">
      <c r="A580" s="18" t="s">
        <v>7498</v>
      </c>
      <c r="B580" s="15" t="s">
        <v>8987</v>
      </c>
      <c r="C580" s="43">
        <v>45815.0</v>
      </c>
      <c r="D580" s="43">
        <v>45815.0</v>
      </c>
      <c r="E580" s="38" t="s">
        <v>8988</v>
      </c>
      <c r="F580" s="38" t="s">
        <v>7534</v>
      </c>
      <c r="G580" s="39">
        <v>16446.0</v>
      </c>
      <c r="H580" s="40"/>
      <c r="I580" s="45">
        <v>1440.0</v>
      </c>
      <c r="J580" s="15"/>
      <c r="K580" s="15"/>
      <c r="L580" s="15" t="s">
        <v>119</v>
      </c>
      <c r="M580" s="18" t="s">
        <v>8989</v>
      </c>
      <c r="N580" s="38" t="s">
        <v>24</v>
      </c>
      <c r="O580" s="38" t="s">
        <v>60</v>
      </c>
    </row>
    <row r="581">
      <c r="A581" s="18" t="s">
        <v>7498</v>
      </c>
      <c r="B581" s="15" t="s">
        <v>8990</v>
      </c>
      <c r="C581" s="43">
        <v>45815.0</v>
      </c>
      <c r="D581" s="43">
        <v>45815.0</v>
      </c>
      <c r="E581" s="38" t="s">
        <v>8991</v>
      </c>
      <c r="F581" s="38" t="s">
        <v>7534</v>
      </c>
      <c r="G581" s="39">
        <v>16446.0</v>
      </c>
      <c r="H581" s="40"/>
      <c r="I581" s="42">
        <v>63.0</v>
      </c>
      <c r="J581" s="15"/>
      <c r="K581" s="15"/>
      <c r="L581" s="15" t="s">
        <v>539</v>
      </c>
      <c r="M581" s="15"/>
      <c r="N581" s="38" t="s">
        <v>24</v>
      </c>
      <c r="O581" s="38" t="s">
        <v>60</v>
      </c>
    </row>
    <row r="582">
      <c r="A582" s="18" t="s">
        <v>7498</v>
      </c>
      <c r="B582" s="15" t="s">
        <v>8992</v>
      </c>
      <c r="C582" s="43">
        <v>45815.0</v>
      </c>
      <c r="D582" s="43">
        <v>45815.0</v>
      </c>
      <c r="E582" s="38" t="s">
        <v>8993</v>
      </c>
      <c r="F582" s="38" t="s">
        <v>7534</v>
      </c>
      <c r="G582" s="39">
        <v>16446.0</v>
      </c>
      <c r="H582" s="40"/>
      <c r="I582" s="42">
        <v>531.0</v>
      </c>
      <c r="J582" s="15"/>
      <c r="K582" s="15"/>
      <c r="L582" s="15" t="s">
        <v>113</v>
      </c>
      <c r="M582" s="15" t="s">
        <v>8994</v>
      </c>
      <c r="N582" s="38" t="s">
        <v>24</v>
      </c>
      <c r="O582" s="38" t="s">
        <v>60</v>
      </c>
    </row>
    <row r="583">
      <c r="A583" s="18" t="s">
        <v>7498</v>
      </c>
      <c r="B583" s="15" t="s">
        <v>8995</v>
      </c>
      <c r="C583" s="43">
        <v>45815.0</v>
      </c>
      <c r="D583" s="43">
        <v>45815.0</v>
      </c>
      <c r="E583" s="38" t="s">
        <v>8996</v>
      </c>
      <c r="F583" s="38" t="s">
        <v>7534</v>
      </c>
      <c r="G583" s="39">
        <v>16446.0</v>
      </c>
      <c r="H583" s="40"/>
      <c r="I583" s="42">
        <v>160.0</v>
      </c>
      <c r="J583" s="15"/>
      <c r="K583" s="15"/>
      <c r="L583" s="15" t="s">
        <v>113</v>
      </c>
      <c r="M583" s="38" t="s">
        <v>8997</v>
      </c>
      <c r="N583" s="38" t="s">
        <v>24</v>
      </c>
      <c r="O583" s="38" t="s">
        <v>60</v>
      </c>
    </row>
    <row r="584">
      <c r="A584" s="18" t="s">
        <v>7498</v>
      </c>
      <c r="B584" s="15" t="s">
        <v>8998</v>
      </c>
      <c r="C584" s="43">
        <v>45815.0</v>
      </c>
      <c r="D584" s="43">
        <v>45815.0</v>
      </c>
      <c r="E584" s="38" t="s">
        <v>8999</v>
      </c>
      <c r="F584" s="38" t="s">
        <v>7534</v>
      </c>
      <c r="G584" s="39">
        <v>16446.0</v>
      </c>
      <c r="H584" s="40"/>
      <c r="I584" s="42">
        <v>300.0</v>
      </c>
      <c r="J584" s="15"/>
      <c r="K584" s="15"/>
      <c r="L584" s="15" t="s">
        <v>539</v>
      </c>
      <c r="M584" s="15"/>
      <c r="N584" s="38" t="s">
        <v>24</v>
      </c>
      <c r="O584" s="38" t="s">
        <v>60</v>
      </c>
    </row>
    <row r="585">
      <c r="A585" s="18" t="s">
        <v>7498</v>
      </c>
      <c r="B585" s="15" t="s">
        <v>9000</v>
      </c>
      <c r="C585" s="43">
        <v>45815.0</v>
      </c>
      <c r="D585" s="43">
        <v>45815.0</v>
      </c>
      <c r="E585" s="38" t="s">
        <v>9001</v>
      </c>
      <c r="F585" s="38" t="s">
        <v>7534</v>
      </c>
      <c r="G585" s="39">
        <v>16446.0</v>
      </c>
      <c r="H585" s="40"/>
      <c r="I585" s="42">
        <v>540.0</v>
      </c>
      <c r="J585" s="15"/>
      <c r="K585" s="15"/>
      <c r="L585" s="15" t="s">
        <v>119</v>
      </c>
      <c r="M585" s="18" t="s">
        <v>9002</v>
      </c>
      <c r="N585" s="38" t="s">
        <v>24</v>
      </c>
      <c r="O585" s="38" t="s">
        <v>60</v>
      </c>
    </row>
    <row r="586">
      <c r="A586" s="18" t="s">
        <v>7498</v>
      </c>
      <c r="B586" s="15" t="s">
        <v>9003</v>
      </c>
      <c r="C586" s="43">
        <v>45815.0</v>
      </c>
      <c r="D586" s="43">
        <v>45815.0</v>
      </c>
      <c r="E586" s="38" t="s">
        <v>9004</v>
      </c>
      <c r="F586" s="38" t="s">
        <v>7534</v>
      </c>
      <c r="G586" s="39">
        <v>16446.0</v>
      </c>
      <c r="H586" s="40"/>
      <c r="I586" s="42">
        <v>570.0</v>
      </c>
      <c r="J586" s="15"/>
      <c r="K586" s="15"/>
      <c r="L586" s="15" t="s">
        <v>113</v>
      </c>
      <c r="M586" s="38" t="s">
        <v>9005</v>
      </c>
      <c r="N586" s="38" t="s">
        <v>24</v>
      </c>
      <c r="O586" s="38" t="s">
        <v>60</v>
      </c>
    </row>
    <row r="587">
      <c r="A587" s="18" t="s">
        <v>7498</v>
      </c>
      <c r="B587" s="15" t="s">
        <v>9006</v>
      </c>
      <c r="C587" s="43">
        <v>45815.0</v>
      </c>
      <c r="D587" s="43">
        <v>45815.0</v>
      </c>
      <c r="E587" s="38" t="s">
        <v>9007</v>
      </c>
      <c r="F587" s="38" t="s">
        <v>9008</v>
      </c>
      <c r="G587" s="39">
        <v>99922.0</v>
      </c>
      <c r="H587" s="45">
        <v>15065.0</v>
      </c>
      <c r="I587" s="40"/>
      <c r="J587" s="15"/>
      <c r="K587" s="15" t="s">
        <v>9009</v>
      </c>
      <c r="L587" s="15" t="s">
        <v>123</v>
      </c>
      <c r="M587" s="15"/>
      <c r="N587" s="15" t="s">
        <v>114</v>
      </c>
      <c r="O587" s="15" t="s">
        <v>169</v>
      </c>
    </row>
    <row r="588">
      <c r="A588" s="18" t="s">
        <v>7498</v>
      </c>
      <c r="B588" s="15" t="s">
        <v>9010</v>
      </c>
      <c r="C588" s="43">
        <v>45815.0</v>
      </c>
      <c r="D588" s="43">
        <v>45815.0</v>
      </c>
      <c r="E588" s="38" t="s">
        <v>9011</v>
      </c>
      <c r="F588" s="38" t="s">
        <v>9012</v>
      </c>
      <c r="G588" s="39">
        <v>99922.0</v>
      </c>
      <c r="H588" s="45">
        <v>15500.0</v>
      </c>
      <c r="I588" s="40"/>
      <c r="J588" s="15"/>
      <c r="K588" s="15" t="s">
        <v>9013</v>
      </c>
      <c r="L588" s="15" t="s">
        <v>127</v>
      </c>
      <c r="M588" s="15"/>
      <c r="N588" s="15" t="s">
        <v>114</v>
      </c>
      <c r="O588" s="15" t="s">
        <v>169</v>
      </c>
    </row>
    <row r="589">
      <c r="A589" s="18" t="s">
        <v>7498</v>
      </c>
      <c r="B589" s="15" t="s">
        <v>9014</v>
      </c>
      <c r="C589" s="43">
        <v>45816.0</v>
      </c>
      <c r="D589" s="43">
        <v>45816.0</v>
      </c>
      <c r="E589" s="38" t="s">
        <v>9015</v>
      </c>
      <c r="F589" s="38" t="s">
        <v>7567</v>
      </c>
      <c r="G589" s="39">
        <v>16446.0</v>
      </c>
      <c r="H589" s="40"/>
      <c r="I589" s="42">
        <v>167.0</v>
      </c>
      <c r="J589" s="15"/>
      <c r="K589" s="15"/>
      <c r="L589" s="15" t="s">
        <v>539</v>
      </c>
      <c r="M589" s="15"/>
      <c r="N589" s="38" t="s">
        <v>24</v>
      </c>
      <c r="O589" s="38" t="s">
        <v>60</v>
      </c>
    </row>
    <row r="590">
      <c r="A590" s="18" t="s">
        <v>7498</v>
      </c>
      <c r="B590" s="15" t="s">
        <v>9016</v>
      </c>
      <c r="C590" s="43">
        <v>45816.0</v>
      </c>
      <c r="D590" s="43">
        <v>45816.0</v>
      </c>
      <c r="E590" s="38" t="s">
        <v>9017</v>
      </c>
      <c r="F590" s="38" t="s">
        <v>7567</v>
      </c>
      <c r="G590" s="39">
        <v>16446.0</v>
      </c>
      <c r="H590" s="40"/>
      <c r="I590" s="42">
        <v>336.0</v>
      </c>
      <c r="J590" s="15"/>
      <c r="K590" s="15"/>
      <c r="L590" s="15" t="s">
        <v>113</v>
      </c>
      <c r="M590" s="38" t="s">
        <v>9018</v>
      </c>
      <c r="N590" s="38" t="s">
        <v>24</v>
      </c>
      <c r="O590" s="38" t="s">
        <v>60</v>
      </c>
    </row>
    <row r="591">
      <c r="A591" s="18" t="s">
        <v>7498</v>
      </c>
      <c r="B591" s="15" t="s">
        <v>9019</v>
      </c>
      <c r="C591" s="43">
        <v>45816.0</v>
      </c>
      <c r="D591" s="43">
        <v>45816.0</v>
      </c>
      <c r="E591" s="38" t="s">
        <v>9020</v>
      </c>
      <c r="F591" s="38" t="s">
        <v>7567</v>
      </c>
      <c r="G591" s="39">
        <v>16446.0</v>
      </c>
      <c r="H591" s="40"/>
      <c r="I591" s="42">
        <v>350.0</v>
      </c>
      <c r="J591" s="15"/>
      <c r="K591" s="15"/>
      <c r="L591" s="15" t="s">
        <v>123</v>
      </c>
      <c r="M591" s="38" t="s">
        <v>9021</v>
      </c>
      <c r="N591" s="38" t="s">
        <v>24</v>
      </c>
      <c r="O591" s="38" t="s">
        <v>60</v>
      </c>
    </row>
    <row r="592">
      <c r="A592" s="18" t="s">
        <v>7498</v>
      </c>
      <c r="B592" s="15" t="s">
        <v>9022</v>
      </c>
      <c r="C592" s="43">
        <v>45816.0</v>
      </c>
      <c r="D592" s="43">
        <v>45816.0</v>
      </c>
      <c r="E592" s="38" t="s">
        <v>9023</v>
      </c>
      <c r="F592" s="38" t="s">
        <v>7567</v>
      </c>
      <c r="G592" s="39">
        <v>16446.0</v>
      </c>
      <c r="H592" s="40"/>
      <c r="I592" s="42">
        <v>449.0</v>
      </c>
      <c r="J592" s="15"/>
      <c r="K592" s="15"/>
      <c r="L592" s="15" t="s">
        <v>539</v>
      </c>
      <c r="M592" s="15"/>
      <c r="N592" s="38" t="s">
        <v>24</v>
      </c>
      <c r="O592" s="38" t="s">
        <v>60</v>
      </c>
    </row>
    <row r="593">
      <c r="A593" s="18" t="s">
        <v>7498</v>
      </c>
      <c r="B593" s="15" t="s">
        <v>9024</v>
      </c>
      <c r="C593" s="43">
        <v>45816.0</v>
      </c>
      <c r="D593" s="43">
        <v>45816.0</v>
      </c>
      <c r="E593" s="38" t="s">
        <v>9025</v>
      </c>
      <c r="F593" s="38" t="s">
        <v>7567</v>
      </c>
      <c r="G593" s="39">
        <v>16446.0</v>
      </c>
      <c r="H593" s="40"/>
      <c r="I593" s="42">
        <v>134.0</v>
      </c>
      <c r="J593" s="15"/>
      <c r="K593" s="15"/>
      <c r="L593" s="15" t="s">
        <v>113</v>
      </c>
      <c r="M593" s="38" t="s">
        <v>9026</v>
      </c>
      <c r="N593" s="38" t="s">
        <v>24</v>
      </c>
      <c r="O593" s="38" t="s">
        <v>60</v>
      </c>
    </row>
    <row r="594">
      <c r="A594" s="18" t="s">
        <v>7498</v>
      </c>
      <c r="B594" s="15" t="s">
        <v>9027</v>
      </c>
      <c r="C594" s="43">
        <v>45816.0</v>
      </c>
      <c r="D594" s="43">
        <v>45816.0</v>
      </c>
      <c r="E594" s="38" t="s">
        <v>7640</v>
      </c>
      <c r="F594" s="38" t="s">
        <v>9028</v>
      </c>
      <c r="G594" s="39">
        <v>99922.0</v>
      </c>
      <c r="H594" s="45">
        <v>12282.66</v>
      </c>
      <c r="I594" s="40"/>
      <c r="J594" s="15"/>
      <c r="K594" s="15" t="s">
        <v>9029</v>
      </c>
      <c r="L594" s="15" t="s">
        <v>127</v>
      </c>
      <c r="M594" s="15"/>
      <c r="N594" s="15" t="s">
        <v>114</v>
      </c>
      <c r="O594" s="15" t="s">
        <v>220</v>
      </c>
    </row>
    <row r="595">
      <c r="A595" s="18" t="s">
        <v>7498</v>
      </c>
      <c r="B595" s="15" t="s">
        <v>9030</v>
      </c>
      <c r="C595" s="43">
        <v>45816.0</v>
      </c>
      <c r="D595" s="43">
        <v>45816.0</v>
      </c>
      <c r="E595" s="38" t="s">
        <v>9031</v>
      </c>
      <c r="F595" s="38" t="s">
        <v>7567</v>
      </c>
      <c r="G595" s="39">
        <v>16446.0</v>
      </c>
      <c r="H595" s="40"/>
      <c r="I595" s="42">
        <v>467.8</v>
      </c>
      <c r="J595" s="15"/>
      <c r="K595" s="15"/>
      <c r="L595" s="15" t="s">
        <v>539</v>
      </c>
      <c r="M595" s="15"/>
      <c r="N595" s="38" t="s">
        <v>24</v>
      </c>
      <c r="O595" s="38" t="s">
        <v>60</v>
      </c>
    </row>
    <row r="596">
      <c r="A596" s="18" t="s">
        <v>7498</v>
      </c>
      <c r="B596" s="15" t="s">
        <v>9032</v>
      </c>
      <c r="C596" s="43">
        <v>45816.0</v>
      </c>
      <c r="D596" s="43">
        <v>45816.0</v>
      </c>
      <c r="E596" s="38" t="s">
        <v>9033</v>
      </c>
      <c r="F596" s="38" t="s">
        <v>7567</v>
      </c>
      <c r="G596" s="39">
        <v>16446.0</v>
      </c>
      <c r="H596" s="40"/>
      <c r="I596" s="45">
        <v>5000.0</v>
      </c>
      <c r="J596" s="15"/>
      <c r="K596" s="15"/>
      <c r="L596" s="15" t="s">
        <v>539</v>
      </c>
      <c r="M596" s="15"/>
      <c r="N596" s="38" t="s">
        <v>24</v>
      </c>
      <c r="O596" s="38" t="s">
        <v>60</v>
      </c>
    </row>
    <row r="597">
      <c r="A597" s="18" t="s">
        <v>7498</v>
      </c>
      <c r="B597" s="15" t="s">
        <v>9034</v>
      </c>
      <c r="C597" s="43">
        <v>45816.0</v>
      </c>
      <c r="D597" s="43">
        <v>45816.0</v>
      </c>
      <c r="E597" s="38" t="s">
        <v>9035</v>
      </c>
      <c r="F597" s="38" t="s">
        <v>7567</v>
      </c>
      <c r="G597" s="39">
        <v>16446.0</v>
      </c>
      <c r="H597" s="40"/>
      <c r="I597" s="42">
        <v>560.0</v>
      </c>
      <c r="J597" s="15"/>
      <c r="K597" s="15"/>
      <c r="L597" s="15" t="s">
        <v>119</v>
      </c>
      <c r="M597" s="18" t="s">
        <v>9036</v>
      </c>
      <c r="N597" s="38" t="s">
        <v>24</v>
      </c>
      <c r="O597" s="38" t="s">
        <v>60</v>
      </c>
    </row>
    <row r="598">
      <c r="A598" s="18" t="s">
        <v>7498</v>
      </c>
      <c r="B598" s="15" t="s">
        <v>9037</v>
      </c>
      <c r="C598" s="43">
        <v>45817.0</v>
      </c>
      <c r="D598" s="43">
        <v>45817.0</v>
      </c>
      <c r="E598" s="38" t="s">
        <v>9038</v>
      </c>
      <c r="F598" s="38" t="s">
        <v>7537</v>
      </c>
      <c r="G598" s="39">
        <v>16446.0</v>
      </c>
      <c r="H598" s="40"/>
      <c r="I598" s="42">
        <v>351.0</v>
      </c>
      <c r="J598" s="15"/>
      <c r="K598" s="15"/>
      <c r="L598" s="15" t="s">
        <v>539</v>
      </c>
      <c r="M598" s="15"/>
      <c r="N598" s="38" t="s">
        <v>24</v>
      </c>
      <c r="O598" s="38" t="s">
        <v>60</v>
      </c>
    </row>
    <row r="599">
      <c r="A599" s="18" t="s">
        <v>7498</v>
      </c>
      <c r="B599" s="15" t="s">
        <v>9039</v>
      </c>
      <c r="C599" s="43">
        <v>45817.0</v>
      </c>
      <c r="D599" s="43">
        <v>45817.0</v>
      </c>
      <c r="E599" s="38" t="s">
        <v>9040</v>
      </c>
      <c r="F599" s="38" t="s">
        <v>7537</v>
      </c>
      <c r="G599" s="39">
        <v>16446.0</v>
      </c>
      <c r="H599" s="40"/>
      <c r="I599" s="42">
        <v>89.0</v>
      </c>
      <c r="J599" s="15"/>
      <c r="K599" s="15"/>
      <c r="L599" s="15" t="s">
        <v>539</v>
      </c>
      <c r="M599" s="15"/>
      <c r="N599" s="38" t="s">
        <v>24</v>
      </c>
      <c r="O599" s="38" t="s">
        <v>60</v>
      </c>
    </row>
    <row r="600">
      <c r="A600" s="18" t="s">
        <v>7498</v>
      </c>
      <c r="B600" s="15" t="s">
        <v>9041</v>
      </c>
      <c r="C600" s="43">
        <v>45817.0</v>
      </c>
      <c r="D600" s="43">
        <v>45817.0</v>
      </c>
      <c r="E600" s="38" t="s">
        <v>9042</v>
      </c>
      <c r="F600" s="38" t="s">
        <v>7537</v>
      </c>
      <c r="G600" s="39">
        <v>16446.0</v>
      </c>
      <c r="H600" s="40"/>
      <c r="I600" s="42">
        <v>898.0</v>
      </c>
      <c r="J600" s="15"/>
      <c r="K600" s="15"/>
      <c r="L600" s="15" t="s">
        <v>539</v>
      </c>
      <c r="M600" s="15"/>
      <c r="N600" s="38" t="s">
        <v>24</v>
      </c>
      <c r="O600" s="38" t="s">
        <v>60</v>
      </c>
    </row>
    <row r="601">
      <c r="A601" s="18" t="s">
        <v>7498</v>
      </c>
      <c r="B601" s="15" t="s">
        <v>9043</v>
      </c>
      <c r="C601" s="43">
        <v>45817.0</v>
      </c>
      <c r="D601" s="43">
        <v>45817.0</v>
      </c>
      <c r="E601" s="38" t="s">
        <v>9044</v>
      </c>
      <c r="F601" s="38" t="s">
        <v>7537</v>
      </c>
      <c r="G601" s="39">
        <v>16446.0</v>
      </c>
      <c r="H601" s="40"/>
      <c r="I601" s="42">
        <v>294.0</v>
      </c>
      <c r="J601" s="15"/>
      <c r="K601" s="15"/>
      <c r="L601" s="15" t="s">
        <v>119</v>
      </c>
      <c r="M601" s="38" t="s">
        <v>9045</v>
      </c>
      <c r="N601" s="38" t="s">
        <v>24</v>
      </c>
      <c r="O601" s="38" t="s">
        <v>60</v>
      </c>
    </row>
    <row r="602">
      <c r="A602" s="18" t="s">
        <v>7498</v>
      </c>
      <c r="B602" s="15" t="s">
        <v>9046</v>
      </c>
      <c r="C602" s="43">
        <v>45817.0</v>
      </c>
      <c r="D602" s="43">
        <v>45817.0</v>
      </c>
      <c r="E602" s="38" t="s">
        <v>9047</v>
      </c>
      <c r="F602" s="38" t="s">
        <v>7537</v>
      </c>
      <c r="G602" s="39">
        <v>16446.0</v>
      </c>
      <c r="H602" s="40"/>
      <c r="I602" s="42">
        <v>294.0</v>
      </c>
      <c r="J602" s="15"/>
      <c r="K602" s="15"/>
      <c r="L602" s="15" t="s">
        <v>539</v>
      </c>
      <c r="M602" s="15"/>
      <c r="N602" s="38" t="s">
        <v>24</v>
      </c>
      <c r="O602" s="38" t="s">
        <v>60</v>
      </c>
    </row>
    <row r="603">
      <c r="A603" s="18" t="s">
        <v>7498</v>
      </c>
      <c r="B603" s="15" t="s">
        <v>9048</v>
      </c>
      <c r="C603" s="37">
        <v>45818.0</v>
      </c>
      <c r="D603" s="37">
        <v>45818.0</v>
      </c>
      <c r="E603" s="38" t="s">
        <v>9049</v>
      </c>
      <c r="F603" s="38" t="s">
        <v>7544</v>
      </c>
      <c r="G603" s="39">
        <v>16446.0</v>
      </c>
      <c r="H603" s="40"/>
      <c r="I603" s="42">
        <v>970.0</v>
      </c>
      <c r="J603" s="15"/>
      <c r="K603" s="15"/>
      <c r="L603" s="15" t="s">
        <v>539</v>
      </c>
      <c r="M603" s="15"/>
      <c r="N603" s="38" t="s">
        <v>24</v>
      </c>
      <c r="O603" s="38" t="s">
        <v>60</v>
      </c>
    </row>
    <row r="604">
      <c r="A604" s="18" t="s">
        <v>7498</v>
      </c>
      <c r="B604" s="15" t="s">
        <v>9050</v>
      </c>
      <c r="C604" s="37">
        <v>45818.0</v>
      </c>
      <c r="D604" s="37">
        <v>45818.0</v>
      </c>
      <c r="E604" s="38" t="s">
        <v>9051</v>
      </c>
      <c r="F604" s="38" t="s">
        <v>9052</v>
      </c>
      <c r="G604" s="39">
        <v>99922.0</v>
      </c>
      <c r="H604" s="45">
        <v>4667.0</v>
      </c>
      <c r="I604" s="40"/>
      <c r="J604" s="15"/>
      <c r="K604" s="15" t="s">
        <v>8948</v>
      </c>
      <c r="L604" s="15" t="s">
        <v>127</v>
      </c>
      <c r="M604" s="15"/>
      <c r="N604" s="15" t="s">
        <v>114</v>
      </c>
      <c r="O604" s="15" t="s">
        <v>169</v>
      </c>
    </row>
    <row r="605">
      <c r="A605" s="18" t="s">
        <v>7498</v>
      </c>
      <c r="B605" s="15" t="s">
        <v>9053</v>
      </c>
      <c r="C605" s="37">
        <v>45818.0</v>
      </c>
      <c r="D605" s="37">
        <v>45818.0</v>
      </c>
      <c r="E605" s="38" t="s">
        <v>9054</v>
      </c>
      <c r="F605" s="38" t="s">
        <v>7544</v>
      </c>
      <c r="G605" s="39">
        <v>16446.0</v>
      </c>
      <c r="H605" s="40"/>
      <c r="I605" s="42">
        <v>416.0</v>
      </c>
      <c r="J605" s="15"/>
      <c r="K605" s="15"/>
      <c r="L605" s="15" t="s">
        <v>539</v>
      </c>
      <c r="M605" s="15"/>
      <c r="N605" s="38" t="s">
        <v>24</v>
      </c>
      <c r="O605" s="38" t="s">
        <v>60</v>
      </c>
    </row>
    <row r="606">
      <c r="A606" s="18" t="s">
        <v>7498</v>
      </c>
      <c r="B606" s="15" t="s">
        <v>9055</v>
      </c>
      <c r="C606" s="37">
        <v>45818.0</v>
      </c>
      <c r="D606" s="37">
        <v>45818.0</v>
      </c>
      <c r="E606" s="38" t="s">
        <v>9056</v>
      </c>
      <c r="F606" s="38" t="s">
        <v>7544</v>
      </c>
      <c r="G606" s="39">
        <v>16446.0</v>
      </c>
      <c r="H606" s="40"/>
      <c r="I606" s="42">
        <v>330.0</v>
      </c>
      <c r="J606" s="15"/>
      <c r="K606" s="15"/>
      <c r="L606" s="15" t="s">
        <v>539</v>
      </c>
      <c r="M606" s="15"/>
      <c r="N606" s="38" t="s">
        <v>24</v>
      </c>
      <c r="O606" s="38" t="s">
        <v>60</v>
      </c>
    </row>
    <row r="607">
      <c r="A607" s="18" t="s">
        <v>7498</v>
      </c>
      <c r="B607" s="15" t="s">
        <v>9057</v>
      </c>
      <c r="C607" s="37">
        <v>45818.0</v>
      </c>
      <c r="D607" s="37">
        <v>45818.0</v>
      </c>
      <c r="E607" s="38" t="s">
        <v>9058</v>
      </c>
      <c r="F607" s="38" t="s">
        <v>7544</v>
      </c>
      <c r="G607" s="39">
        <v>16446.0</v>
      </c>
      <c r="H607" s="40"/>
      <c r="I607" s="42">
        <v>468.0</v>
      </c>
      <c r="J607" s="15"/>
      <c r="K607" s="15"/>
      <c r="L607" s="15" t="s">
        <v>127</v>
      </c>
      <c r="M607" s="38" t="s">
        <v>9059</v>
      </c>
      <c r="N607" s="38" t="s">
        <v>24</v>
      </c>
      <c r="O607" s="38" t="s">
        <v>60</v>
      </c>
    </row>
    <row r="608">
      <c r="A608" s="18" t="s">
        <v>7498</v>
      </c>
      <c r="B608" s="15" t="s">
        <v>9060</v>
      </c>
      <c r="C608" s="37">
        <v>45818.0</v>
      </c>
      <c r="D608" s="37">
        <v>45818.0</v>
      </c>
      <c r="E608" s="38" t="s">
        <v>9061</v>
      </c>
      <c r="F608" s="38" t="s">
        <v>7544</v>
      </c>
      <c r="G608" s="39">
        <v>16446.0</v>
      </c>
      <c r="H608" s="40"/>
      <c r="I608" s="42">
        <v>854.0</v>
      </c>
      <c r="J608" s="15"/>
      <c r="K608" s="15"/>
      <c r="L608" s="15" t="s">
        <v>539</v>
      </c>
      <c r="M608" s="15"/>
      <c r="N608" s="38" t="s">
        <v>24</v>
      </c>
      <c r="O608" s="38" t="s">
        <v>60</v>
      </c>
    </row>
    <row r="609">
      <c r="A609" s="18" t="s">
        <v>7498</v>
      </c>
      <c r="B609" s="15" t="s">
        <v>9062</v>
      </c>
      <c r="C609" s="37">
        <v>45819.0</v>
      </c>
      <c r="D609" s="37">
        <v>45819.0</v>
      </c>
      <c r="E609" s="38" t="s">
        <v>9063</v>
      </c>
      <c r="F609" s="38" t="s">
        <v>7557</v>
      </c>
      <c r="G609" s="39">
        <v>16446.0</v>
      </c>
      <c r="H609" s="40"/>
      <c r="I609" s="42">
        <v>242.0</v>
      </c>
      <c r="J609" s="15"/>
      <c r="K609" s="15"/>
      <c r="L609" s="15" t="s">
        <v>119</v>
      </c>
      <c r="M609" s="55" t="s">
        <v>9064</v>
      </c>
      <c r="N609" s="38" t="s">
        <v>24</v>
      </c>
      <c r="O609" s="38" t="s">
        <v>60</v>
      </c>
    </row>
    <row r="610">
      <c r="A610" s="18" t="s">
        <v>7498</v>
      </c>
      <c r="B610" s="59" t="s">
        <v>9065</v>
      </c>
      <c r="C610" s="60">
        <v>45819.0</v>
      </c>
      <c r="D610" s="60">
        <v>45819.0</v>
      </c>
      <c r="E610" s="61" t="s">
        <v>9066</v>
      </c>
      <c r="F610" s="61" t="s">
        <v>7557</v>
      </c>
      <c r="G610" s="62">
        <v>16446.0</v>
      </c>
      <c r="H610" s="63"/>
      <c r="I610" s="64">
        <v>350.0</v>
      </c>
      <c r="J610" s="65"/>
      <c r="K610" s="65">
        <v>-27.0</v>
      </c>
      <c r="L610" s="15" t="s">
        <v>127</v>
      </c>
      <c r="M610" s="61" t="s">
        <v>9067</v>
      </c>
      <c r="N610" s="38" t="s">
        <v>24</v>
      </c>
      <c r="O610" s="38" t="s">
        <v>60</v>
      </c>
    </row>
    <row r="611">
      <c r="A611" s="18" t="s">
        <v>7498</v>
      </c>
      <c r="B611" s="15" t="s">
        <v>9068</v>
      </c>
      <c r="C611" s="37">
        <v>45819.0</v>
      </c>
      <c r="D611" s="37">
        <v>45819.0</v>
      </c>
      <c r="E611" s="38" t="s">
        <v>9069</v>
      </c>
      <c r="F611" s="38" t="s">
        <v>7557</v>
      </c>
      <c r="G611" s="39">
        <v>16446.0</v>
      </c>
      <c r="H611" s="40"/>
      <c r="I611" s="45">
        <v>1426.0</v>
      </c>
      <c r="J611" s="15"/>
      <c r="K611" s="15"/>
      <c r="L611" s="15" t="s">
        <v>539</v>
      </c>
      <c r="M611" s="15"/>
      <c r="N611" s="38" t="s">
        <v>24</v>
      </c>
      <c r="O611" s="38" t="s">
        <v>60</v>
      </c>
    </row>
    <row r="612">
      <c r="A612" s="18" t="s">
        <v>7498</v>
      </c>
      <c r="B612" s="15" t="s">
        <v>9070</v>
      </c>
      <c r="C612" s="37">
        <v>45819.0</v>
      </c>
      <c r="D612" s="37">
        <v>45819.0</v>
      </c>
      <c r="E612" s="38" t="s">
        <v>9071</v>
      </c>
      <c r="F612" s="38" t="s">
        <v>7557</v>
      </c>
      <c r="G612" s="39">
        <v>16446.0</v>
      </c>
      <c r="H612" s="40"/>
      <c r="I612" s="42">
        <v>800.0</v>
      </c>
      <c r="J612" s="15"/>
      <c r="K612" s="15"/>
      <c r="L612" s="15" t="s">
        <v>539</v>
      </c>
      <c r="M612" s="15"/>
      <c r="N612" s="38" t="s">
        <v>24</v>
      </c>
      <c r="O612" s="38" t="s">
        <v>60</v>
      </c>
    </row>
    <row r="613">
      <c r="A613" s="18" t="s">
        <v>7498</v>
      </c>
      <c r="B613" s="15" t="s">
        <v>9072</v>
      </c>
      <c r="C613" s="37">
        <v>45819.0</v>
      </c>
      <c r="D613" s="37">
        <v>45819.0</v>
      </c>
      <c r="E613" s="38" t="s">
        <v>9073</v>
      </c>
      <c r="F613" s="38" t="s">
        <v>7557</v>
      </c>
      <c r="G613" s="39">
        <v>16446.0</v>
      </c>
      <c r="H613" s="40"/>
      <c r="I613" s="45">
        <v>1278.0</v>
      </c>
      <c r="J613" s="15"/>
      <c r="K613" s="15"/>
      <c r="L613" s="15" t="s">
        <v>539</v>
      </c>
      <c r="M613" s="15"/>
      <c r="N613" s="38" t="s">
        <v>24</v>
      </c>
      <c r="O613" s="38" t="s">
        <v>60</v>
      </c>
    </row>
    <row r="614">
      <c r="A614" s="18" t="s">
        <v>7498</v>
      </c>
      <c r="B614" s="15" t="s">
        <v>9074</v>
      </c>
      <c r="C614" s="37">
        <v>45819.0</v>
      </c>
      <c r="D614" s="37">
        <v>45819.0</v>
      </c>
      <c r="E614" s="38" t="s">
        <v>9075</v>
      </c>
      <c r="F614" s="38" t="s">
        <v>7557</v>
      </c>
      <c r="G614" s="39">
        <v>16446.0</v>
      </c>
      <c r="H614" s="40"/>
      <c r="I614" s="42">
        <v>793.0</v>
      </c>
      <c r="J614" s="15"/>
      <c r="K614" s="15"/>
      <c r="L614" s="15" t="s">
        <v>539</v>
      </c>
      <c r="M614" s="15"/>
      <c r="N614" s="38" t="s">
        <v>24</v>
      </c>
      <c r="O614" s="38" t="s">
        <v>60</v>
      </c>
    </row>
    <row r="615">
      <c r="A615" s="18" t="s">
        <v>7498</v>
      </c>
      <c r="B615" s="15" t="s">
        <v>9076</v>
      </c>
      <c r="C615" s="37">
        <v>45820.0</v>
      </c>
      <c r="D615" s="37">
        <v>45820.0</v>
      </c>
      <c r="E615" s="38" t="s">
        <v>9077</v>
      </c>
      <c r="F615" s="38" t="s">
        <v>7580</v>
      </c>
      <c r="G615" s="39">
        <v>16446.0</v>
      </c>
      <c r="H615" s="40"/>
      <c r="I615" s="42">
        <v>845.0</v>
      </c>
      <c r="J615" s="15"/>
      <c r="K615" s="15"/>
      <c r="L615" s="15" t="s">
        <v>127</v>
      </c>
      <c r="M615" s="38" t="s">
        <v>1804</v>
      </c>
      <c r="N615" s="38" t="s">
        <v>24</v>
      </c>
      <c r="O615" s="38" t="s">
        <v>60</v>
      </c>
    </row>
    <row r="616">
      <c r="A616" s="18" t="s">
        <v>7498</v>
      </c>
      <c r="B616" s="15" t="s">
        <v>9078</v>
      </c>
      <c r="C616" s="37">
        <v>45820.0</v>
      </c>
      <c r="D616" s="37">
        <v>45820.0</v>
      </c>
      <c r="E616" s="38" t="s">
        <v>9079</v>
      </c>
      <c r="F616" s="38" t="s">
        <v>7580</v>
      </c>
      <c r="G616" s="39">
        <v>16446.0</v>
      </c>
      <c r="H616" s="40"/>
      <c r="I616" s="42">
        <v>894.0</v>
      </c>
      <c r="J616" s="15"/>
      <c r="K616" s="15"/>
      <c r="L616" s="15" t="s">
        <v>539</v>
      </c>
      <c r="M616" s="15"/>
      <c r="N616" s="38" t="s">
        <v>24</v>
      </c>
      <c r="O616" s="38" t="s">
        <v>60</v>
      </c>
    </row>
    <row r="617">
      <c r="A617" s="18" t="s">
        <v>7498</v>
      </c>
      <c r="B617" s="59" t="s">
        <v>9080</v>
      </c>
      <c r="C617" s="60">
        <v>45820.0</v>
      </c>
      <c r="D617" s="60">
        <v>45820.0</v>
      </c>
      <c r="E617" s="61" t="s">
        <v>9081</v>
      </c>
      <c r="F617" s="61" t="s">
        <v>7580</v>
      </c>
      <c r="G617" s="62">
        <v>16446.0</v>
      </c>
      <c r="H617" s="63"/>
      <c r="I617" s="64">
        <v>600.0</v>
      </c>
      <c r="J617" s="59"/>
      <c r="K617" s="59" t="s">
        <v>9082</v>
      </c>
      <c r="L617" s="15" t="s">
        <v>127</v>
      </c>
      <c r="M617" s="61" t="s">
        <v>9083</v>
      </c>
      <c r="N617" s="38" t="s">
        <v>24</v>
      </c>
      <c r="O617" s="38" t="s">
        <v>60</v>
      </c>
    </row>
    <row r="618">
      <c r="A618" s="18" t="s">
        <v>7498</v>
      </c>
      <c r="B618" s="15" t="s">
        <v>9084</v>
      </c>
      <c r="C618" s="37">
        <v>45820.0</v>
      </c>
      <c r="D618" s="37">
        <v>45820.0</v>
      </c>
      <c r="E618" s="38" t="s">
        <v>9085</v>
      </c>
      <c r="F618" s="38" t="s">
        <v>7580</v>
      </c>
      <c r="G618" s="39">
        <v>16446.0</v>
      </c>
      <c r="H618" s="40"/>
      <c r="I618" s="42">
        <v>481.0</v>
      </c>
      <c r="J618" s="15"/>
      <c r="K618" s="15"/>
      <c r="L618" s="15" t="s">
        <v>539</v>
      </c>
      <c r="M618" s="15"/>
      <c r="N618" s="38" t="s">
        <v>24</v>
      </c>
      <c r="O618" s="38" t="s">
        <v>60</v>
      </c>
    </row>
    <row r="619">
      <c r="A619" s="18" t="s">
        <v>7498</v>
      </c>
      <c r="B619" s="15" t="s">
        <v>9086</v>
      </c>
      <c r="C619" s="37">
        <v>45821.0</v>
      </c>
      <c r="D619" s="37">
        <v>45821.0</v>
      </c>
      <c r="E619" s="38" t="s">
        <v>9087</v>
      </c>
      <c r="F619" s="38" t="s">
        <v>9088</v>
      </c>
      <c r="G619" s="39">
        <v>99922.0</v>
      </c>
      <c r="H619" s="45">
        <v>50419.0</v>
      </c>
      <c r="I619" s="40"/>
      <c r="J619" s="15"/>
      <c r="K619" s="15" t="s">
        <v>9089</v>
      </c>
      <c r="L619" s="15" t="s">
        <v>119</v>
      </c>
      <c r="M619" s="15"/>
      <c r="N619" s="15" t="s">
        <v>114</v>
      </c>
      <c r="O619" s="15" t="s">
        <v>7513</v>
      </c>
    </row>
    <row r="620">
      <c r="A620" s="18" t="s">
        <v>7498</v>
      </c>
      <c r="B620" s="15" t="s">
        <v>9090</v>
      </c>
      <c r="C620" s="37">
        <v>45821.0</v>
      </c>
      <c r="D620" s="37">
        <v>45821.0</v>
      </c>
      <c r="E620" s="38" t="s">
        <v>9091</v>
      </c>
      <c r="F620" s="38" t="s">
        <v>7508</v>
      </c>
      <c r="G620" s="39">
        <v>16446.0</v>
      </c>
      <c r="H620" s="40"/>
      <c r="I620" s="42">
        <v>208.0</v>
      </c>
      <c r="J620" s="15"/>
      <c r="K620" s="15"/>
      <c r="L620" s="15" t="s">
        <v>127</v>
      </c>
      <c r="M620" s="38" t="s">
        <v>9092</v>
      </c>
      <c r="N620" s="38" t="s">
        <v>24</v>
      </c>
      <c r="O620" s="38" t="s">
        <v>60</v>
      </c>
    </row>
    <row r="621">
      <c r="A621" s="18" t="s">
        <v>7498</v>
      </c>
      <c r="B621" s="15" t="s">
        <v>9093</v>
      </c>
      <c r="C621" s="37">
        <v>45821.0</v>
      </c>
      <c r="D621" s="37">
        <v>45821.0</v>
      </c>
      <c r="E621" s="38" t="s">
        <v>9094</v>
      </c>
      <c r="F621" s="38" t="s">
        <v>7857</v>
      </c>
      <c r="G621" s="39">
        <v>4430.0</v>
      </c>
      <c r="H621" s="40"/>
      <c r="I621" s="45">
        <v>1102.0</v>
      </c>
      <c r="J621" s="15"/>
      <c r="K621" s="15"/>
      <c r="L621" s="15" t="s">
        <v>539</v>
      </c>
      <c r="M621" s="15"/>
      <c r="N621" s="38" t="s">
        <v>24</v>
      </c>
      <c r="O621" s="38" t="s">
        <v>60</v>
      </c>
    </row>
    <row r="622">
      <c r="A622" s="18" t="s">
        <v>7498</v>
      </c>
      <c r="B622" s="15" t="s">
        <v>9095</v>
      </c>
      <c r="C622" s="37">
        <v>45821.0</v>
      </c>
      <c r="D622" s="37">
        <v>45821.0</v>
      </c>
      <c r="E622" s="38" t="s">
        <v>9096</v>
      </c>
      <c r="F622" s="38" t="s">
        <v>7857</v>
      </c>
      <c r="G622" s="39">
        <v>4430.0</v>
      </c>
      <c r="H622" s="40"/>
      <c r="I622" s="42">
        <v>634.0</v>
      </c>
      <c r="J622" s="15"/>
      <c r="K622" s="15"/>
      <c r="L622" s="15" t="s">
        <v>539</v>
      </c>
      <c r="M622" s="15"/>
      <c r="N622" s="38" t="s">
        <v>24</v>
      </c>
      <c r="O622" s="38" t="s">
        <v>60</v>
      </c>
    </row>
    <row r="623">
      <c r="A623" s="18" t="s">
        <v>7498</v>
      </c>
      <c r="B623" s="15" t="s">
        <v>9097</v>
      </c>
      <c r="C623" s="37">
        <v>45821.0</v>
      </c>
      <c r="D623" s="37">
        <v>45821.0</v>
      </c>
      <c r="E623" s="38" t="s">
        <v>9098</v>
      </c>
      <c r="F623" s="38" t="s">
        <v>9099</v>
      </c>
      <c r="G623" s="39">
        <v>99922.0</v>
      </c>
      <c r="H623" s="45">
        <v>7000.0</v>
      </c>
      <c r="I623" s="40"/>
      <c r="J623" s="15"/>
      <c r="K623" s="15" t="s">
        <v>9100</v>
      </c>
      <c r="L623" s="15" t="s">
        <v>113</v>
      </c>
      <c r="M623" s="15"/>
      <c r="N623" s="15" t="s">
        <v>114</v>
      </c>
      <c r="O623" s="15" t="s">
        <v>169</v>
      </c>
    </row>
    <row r="624">
      <c r="A624" s="18" t="s">
        <v>7498</v>
      </c>
      <c r="B624" s="15" t="s">
        <v>9101</v>
      </c>
      <c r="C624" s="37">
        <v>45821.0</v>
      </c>
      <c r="D624" s="37">
        <v>45821.0</v>
      </c>
      <c r="E624" s="38" t="s">
        <v>9102</v>
      </c>
      <c r="F624" s="38" t="s">
        <v>7508</v>
      </c>
      <c r="G624" s="39">
        <v>16446.0</v>
      </c>
      <c r="H624" s="40"/>
      <c r="I624" s="42">
        <v>118.0</v>
      </c>
      <c r="J624" s="15"/>
      <c r="K624" s="15"/>
      <c r="L624" s="15" t="s">
        <v>539</v>
      </c>
      <c r="M624" s="15"/>
      <c r="N624" s="38" t="s">
        <v>24</v>
      </c>
      <c r="O624" s="38" t="s">
        <v>60</v>
      </c>
    </row>
    <row r="625">
      <c r="A625" s="18" t="s">
        <v>7498</v>
      </c>
      <c r="B625" s="15" t="s">
        <v>9103</v>
      </c>
      <c r="C625" s="37">
        <v>45821.0</v>
      </c>
      <c r="D625" s="37">
        <v>45821.0</v>
      </c>
      <c r="E625" s="38" t="s">
        <v>9104</v>
      </c>
      <c r="F625" s="38" t="s">
        <v>7508</v>
      </c>
      <c r="G625" s="39">
        <v>16446.0</v>
      </c>
      <c r="H625" s="40"/>
      <c r="I625" s="45">
        <v>5000.0</v>
      </c>
      <c r="J625" s="15"/>
      <c r="K625" s="15"/>
      <c r="L625" s="15" t="s">
        <v>539</v>
      </c>
      <c r="M625" s="15"/>
      <c r="N625" s="38" t="s">
        <v>24</v>
      </c>
      <c r="O625" s="38" t="s">
        <v>60</v>
      </c>
    </row>
    <row r="626">
      <c r="A626" s="18" t="s">
        <v>7498</v>
      </c>
      <c r="B626" s="15" t="s">
        <v>9105</v>
      </c>
      <c r="C626" s="37">
        <v>45821.0</v>
      </c>
      <c r="D626" s="37">
        <v>45821.0</v>
      </c>
      <c r="E626" s="38" t="s">
        <v>9106</v>
      </c>
      <c r="F626" s="38" t="s">
        <v>7508</v>
      </c>
      <c r="G626" s="39">
        <v>16446.0</v>
      </c>
      <c r="H626" s="40"/>
      <c r="I626" s="45">
        <v>1455.0</v>
      </c>
      <c r="J626" s="15"/>
      <c r="K626" s="15"/>
      <c r="L626" s="15" t="s">
        <v>539</v>
      </c>
      <c r="M626" s="15"/>
      <c r="N626" s="38" t="s">
        <v>24</v>
      </c>
      <c r="O626" s="38" t="s">
        <v>60</v>
      </c>
    </row>
    <row r="627">
      <c r="A627" s="18" t="s">
        <v>7498</v>
      </c>
      <c r="B627" s="15" t="s">
        <v>9107</v>
      </c>
      <c r="C627" s="37">
        <v>45821.0</v>
      </c>
      <c r="D627" s="37">
        <v>45821.0</v>
      </c>
      <c r="E627" s="38" t="s">
        <v>9108</v>
      </c>
      <c r="F627" s="38" t="s">
        <v>7508</v>
      </c>
      <c r="G627" s="39">
        <v>16446.0</v>
      </c>
      <c r="H627" s="40"/>
      <c r="I627" s="42">
        <v>620.0</v>
      </c>
      <c r="J627" s="15"/>
      <c r="K627" s="15"/>
      <c r="L627" s="15" t="s">
        <v>539</v>
      </c>
      <c r="M627" s="15"/>
      <c r="N627" s="38" t="s">
        <v>24</v>
      </c>
      <c r="O627" s="38" t="s">
        <v>60</v>
      </c>
    </row>
    <row r="628">
      <c r="A628" s="18" t="s">
        <v>7498</v>
      </c>
      <c r="B628" s="15" t="s">
        <v>9109</v>
      </c>
      <c r="C628" s="37">
        <v>45822.0</v>
      </c>
      <c r="D628" s="37">
        <v>45822.0</v>
      </c>
      <c r="E628" s="38" t="s">
        <v>9110</v>
      </c>
      <c r="F628" s="38" t="s">
        <v>7534</v>
      </c>
      <c r="G628" s="39">
        <v>16446.0</v>
      </c>
      <c r="H628" s="40"/>
      <c r="I628" s="42">
        <v>500.0</v>
      </c>
      <c r="J628" s="15"/>
      <c r="K628" s="15"/>
      <c r="L628" s="15" t="s">
        <v>119</v>
      </c>
      <c r="M628" s="18" t="s">
        <v>9111</v>
      </c>
      <c r="N628" s="38" t="s">
        <v>24</v>
      </c>
      <c r="O628" s="38" t="s">
        <v>60</v>
      </c>
    </row>
    <row r="629">
      <c r="A629" s="18" t="s">
        <v>7498</v>
      </c>
      <c r="B629" s="15" t="s">
        <v>9112</v>
      </c>
      <c r="C629" s="37">
        <v>45822.0</v>
      </c>
      <c r="D629" s="37">
        <v>45822.0</v>
      </c>
      <c r="E629" s="38" t="s">
        <v>9113</v>
      </c>
      <c r="F629" s="38" t="s">
        <v>7534</v>
      </c>
      <c r="G629" s="39">
        <v>16446.0</v>
      </c>
      <c r="H629" s="40"/>
      <c r="I629" s="42">
        <v>405.0</v>
      </c>
      <c r="J629" s="15"/>
      <c r="K629" s="15"/>
      <c r="L629" s="15" t="s">
        <v>539</v>
      </c>
      <c r="M629" s="15"/>
      <c r="N629" s="38" t="s">
        <v>24</v>
      </c>
      <c r="O629" s="38" t="s">
        <v>60</v>
      </c>
    </row>
    <row r="630">
      <c r="A630" s="18" t="s">
        <v>7498</v>
      </c>
      <c r="B630" s="15" t="s">
        <v>9114</v>
      </c>
      <c r="C630" s="37">
        <v>45822.0</v>
      </c>
      <c r="D630" s="37">
        <v>45822.0</v>
      </c>
      <c r="E630" s="38" t="s">
        <v>9115</v>
      </c>
      <c r="F630" s="38" t="s">
        <v>7534</v>
      </c>
      <c r="G630" s="39">
        <v>16446.0</v>
      </c>
      <c r="H630" s="40"/>
      <c r="I630" s="45">
        <v>2312.0</v>
      </c>
      <c r="J630" s="15"/>
      <c r="K630" s="15"/>
      <c r="L630" s="15" t="s">
        <v>127</v>
      </c>
      <c r="M630" s="38" t="s">
        <v>9116</v>
      </c>
      <c r="N630" s="38" t="s">
        <v>24</v>
      </c>
      <c r="O630" s="38" t="s">
        <v>60</v>
      </c>
    </row>
    <row r="631">
      <c r="A631" s="18" t="s">
        <v>7498</v>
      </c>
      <c r="B631" s="15" t="s">
        <v>9117</v>
      </c>
      <c r="C631" s="37">
        <v>45822.0</v>
      </c>
      <c r="D631" s="37">
        <v>45822.0</v>
      </c>
      <c r="E631" s="38" t="s">
        <v>9118</v>
      </c>
      <c r="F631" s="38" t="s">
        <v>7534</v>
      </c>
      <c r="G631" s="39">
        <v>16446.0</v>
      </c>
      <c r="H631" s="40"/>
      <c r="I631" s="42">
        <v>715.0</v>
      </c>
      <c r="J631" s="15"/>
      <c r="K631" s="15"/>
      <c r="L631" s="15" t="s">
        <v>127</v>
      </c>
      <c r="M631" s="38" t="s">
        <v>9119</v>
      </c>
      <c r="N631" s="38" t="s">
        <v>24</v>
      </c>
      <c r="O631" s="38" t="s">
        <v>60</v>
      </c>
    </row>
    <row r="632">
      <c r="A632" s="18" t="s">
        <v>7498</v>
      </c>
      <c r="B632" s="59" t="s">
        <v>9120</v>
      </c>
      <c r="C632" s="60">
        <v>45822.0</v>
      </c>
      <c r="D632" s="60">
        <v>45822.0</v>
      </c>
      <c r="E632" s="61" t="s">
        <v>9121</v>
      </c>
      <c r="F632" s="61" t="s">
        <v>7534</v>
      </c>
      <c r="G632" s="62">
        <v>16446.0</v>
      </c>
      <c r="H632" s="63"/>
      <c r="I632" s="64">
        <v>600.0</v>
      </c>
      <c r="J632" s="59"/>
      <c r="K632" s="59" t="s">
        <v>9122</v>
      </c>
      <c r="L632" s="15" t="s">
        <v>127</v>
      </c>
      <c r="M632" s="61" t="s">
        <v>9123</v>
      </c>
      <c r="N632" s="38" t="s">
        <v>24</v>
      </c>
      <c r="O632" s="38" t="s">
        <v>60</v>
      </c>
    </row>
    <row r="633">
      <c r="A633" s="18" t="s">
        <v>7498</v>
      </c>
      <c r="B633" s="15" t="s">
        <v>9124</v>
      </c>
      <c r="C633" s="37">
        <v>45822.0</v>
      </c>
      <c r="D633" s="37">
        <v>45822.0</v>
      </c>
      <c r="E633" s="38" t="s">
        <v>9125</v>
      </c>
      <c r="F633" s="38" t="s">
        <v>7534</v>
      </c>
      <c r="G633" s="39">
        <v>16446.0</v>
      </c>
      <c r="H633" s="40"/>
      <c r="I633" s="42">
        <v>130.0</v>
      </c>
      <c r="J633" s="15"/>
      <c r="K633" s="15"/>
      <c r="L633" s="15" t="s">
        <v>127</v>
      </c>
      <c r="M633" s="38" t="s">
        <v>9126</v>
      </c>
      <c r="N633" s="38" t="s">
        <v>24</v>
      </c>
      <c r="O633" s="38" t="s">
        <v>60</v>
      </c>
    </row>
    <row r="634">
      <c r="A634" s="18" t="s">
        <v>7498</v>
      </c>
      <c r="B634" s="15" t="s">
        <v>9127</v>
      </c>
      <c r="C634" s="37">
        <v>45822.0</v>
      </c>
      <c r="D634" s="37">
        <v>45822.0</v>
      </c>
      <c r="E634" s="38" t="s">
        <v>9128</v>
      </c>
      <c r="F634" s="38" t="s">
        <v>7534</v>
      </c>
      <c r="G634" s="39">
        <v>16446.0</v>
      </c>
      <c r="H634" s="40"/>
      <c r="I634" s="42">
        <v>225.0</v>
      </c>
      <c r="J634" s="15"/>
      <c r="K634" s="15"/>
      <c r="L634" s="15" t="s">
        <v>127</v>
      </c>
      <c r="M634" s="38" t="s">
        <v>9129</v>
      </c>
      <c r="N634" s="38" t="s">
        <v>24</v>
      </c>
      <c r="O634" s="38" t="s">
        <v>60</v>
      </c>
    </row>
    <row r="635">
      <c r="A635" s="18" t="s">
        <v>7498</v>
      </c>
      <c r="B635" s="15" t="s">
        <v>9130</v>
      </c>
      <c r="C635" s="37">
        <v>45822.0</v>
      </c>
      <c r="D635" s="37">
        <v>45822.0</v>
      </c>
      <c r="E635" s="38" t="s">
        <v>9131</v>
      </c>
      <c r="F635" s="38" t="s">
        <v>9132</v>
      </c>
      <c r="G635" s="39">
        <v>99922.0</v>
      </c>
      <c r="H635" s="45">
        <v>7000.0</v>
      </c>
      <c r="I635" s="40"/>
      <c r="J635" s="15"/>
      <c r="K635" s="15" t="s">
        <v>3149</v>
      </c>
      <c r="L635" s="15" t="s">
        <v>113</v>
      </c>
      <c r="M635" s="15"/>
      <c r="N635" s="15" t="s">
        <v>114</v>
      </c>
      <c r="O635" s="15" t="s">
        <v>169</v>
      </c>
    </row>
    <row r="636">
      <c r="A636" s="18" t="s">
        <v>7498</v>
      </c>
      <c r="B636" s="15" t="s">
        <v>9133</v>
      </c>
      <c r="C636" s="37">
        <v>45823.0</v>
      </c>
      <c r="D636" s="37">
        <v>45823.0</v>
      </c>
      <c r="E636" s="38" t="s">
        <v>9134</v>
      </c>
      <c r="F636" s="38" t="s">
        <v>7567</v>
      </c>
      <c r="G636" s="39">
        <v>16446.0</v>
      </c>
      <c r="H636" s="40"/>
      <c r="I636" s="42">
        <v>450.0</v>
      </c>
      <c r="J636" s="15"/>
      <c r="K636" s="15"/>
      <c r="L636" s="15" t="s">
        <v>539</v>
      </c>
      <c r="M636" s="15"/>
      <c r="N636" s="38" t="s">
        <v>24</v>
      </c>
      <c r="O636" s="38" t="s">
        <v>60</v>
      </c>
    </row>
    <row r="637">
      <c r="A637" s="18" t="s">
        <v>7498</v>
      </c>
      <c r="B637" s="15" t="s">
        <v>9135</v>
      </c>
      <c r="C637" s="37">
        <v>45823.0</v>
      </c>
      <c r="D637" s="37">
        <v>45823.0</v>
      </c>
      <c r="E637" s="38" t="s">
        <v>9136</v>
      </c>
      <c r="F637" s="38" t="s">
        <v>7567</v>
      </c>
      <c r="G637" s="39">
        <v>16446.0</v>
      </c>
      <c r="H637" s="40"/>
      <c r="I637" s="45">
        <v>1160.0</v>
      </c>
      <c r="J637" s="15"/>
      <c r="K637" s="15"/>
      <c r="L637" s="15" t="s">
        <v>539</v>
      </c>
      <c r="M637" s="15"/>
      <c r="N637" s="38" t="s">
        <v>24</v>
      </c>
      <c r="O637" s="38" t="s">
        <v>60</v>
      </c>
    </row>
    <row r="638">
      <c r="A638" s="18" t="s">
        <v>7498</v>
      </c>
      <c r="B638" s="15" t="s">
        <v>9137</v>
      </c>
      <c r="C638" s="37">
        <v>45823.0</v>
      </c>
      <c r="D638" s="37">
        <v>45823.0</v>
      </c>
      <c r="E638" s="38" t="s">
        <v>9138</v>
      </c>
      <c r="F638" s="38" t="s">
        <v>7567</v>
      </c>
      <c r="G638" s="39">
        <v>16446.0</v>
      </c>
      <c r="H638" s="40"/>
      <c r="I638" s="45">
        <v>2000.0</v>
      </c>
      <c r="J638" s="15"/>
      <c r="K638" s="15"/>
      <c r="L638" s="15" t="s">
        <v>539</v>
      </c>
      <c r="M638" s="15"/>
      <c r="N638" s="38" t="s">
        <v>24</v>
      </c>
      <c r="O638" s="38" t="s">
        <v>60</v>
      </c>
    </row>
    <row r="639">
      <c r="A639" s="18" t="s">
        <v>7498</v>
      </c>
      <c r="B639" s="15" t="s">
        <v>9139</v>
      </c>
      <c r="C639" s="37">
        <v>45823.0</v>
      </c>
      <c r="D639" s="37">
        <v>45823.0</v>
      </c>
      <c r="E639" s="38" t="s">
        <v>9140</v>
      </c>
      <c r="F639" s="38" t="s">
        <v>7567</v>
      </c>
      <c r="G639" s="39">
        <v>16446.0</v>
      </c>
      <c r="H639" s="40"/>
      <c r="I639" s="42">
        <v>300.0</v>
      </c>
      <c r="J639" s="15"/>
      <c r="K639" s="15"/>
      <c r="L639" s="15" t="s">
        <v>127</v>
      </c>
      <c r="M639" s="38" t="s">
        <v>9141</v>
      </c>
      <c r="N639" s="38" t="s">
        <v>24</v>
      </c>
      <c r="O639" s="38" t="s">
        <v>60</v>
      </c>
    </row>
    <row r="640">
      <c r="A640" s="18" t="s">
        <v>7498</v>
      </c>
      <c r="B640" s="15" t="s">
        <v>9142</v>
      </c>
      <c r="C640" s="37">
        <v>45823.0</v>
      </c>
      <c r="D640" s="37">
        <v>45823.0</v>
      </c>
      <c r="E640" s="38" t="s">
        <v>9143</v>
      </c>
      <c r="F640" s="38" t="s">
        <v>7567</v>
      </c>
      <c r="G640" s="39">
        <v>16446.0</v>
      </c>
      <c r="H640" s="40"/>
      <c r="I640" s="42">
        <v>306.0</v>
      </c>
      <c r="J640" s="15"/>
      <c r="K640" s="15"/>
      <c r="L640" s="15" t="s">
        <v>539</v>
      </c>
      <c r="M640" s="15"/>
      <c r="N640" s="38" t="s">
        <v>24</v>
      </c>
      <c r="O640" s="38" t="s">
        <v>60</v>
      </c>
    </row>
    <row r="641">
      <c r="A641" s="18" t="s">
        <v>7498</v>
      </c>
      <c r="B641" s="15" t="s">
        <v>9144</v>
      </c>
      <c r="C641" s="37">
        <v>45823.0</v>
      </c>
      <c r="D641" s="37">
        <v>45823.0</v>
      </c>
      <c r="E641" s="38" t="s">
        <v>9145</v>
      </c>
      <c r="F641" s="38" t="s">
        <v>7567</v>
      </c>
      <c r="G641" s="39">
        <v>16446.0</v>
      </c>
      <c r="H641" s="40"/>
      <c r="I641" s="42">
        <v>780.0</v>
      </c>
      <c r="J641" s="15"/>
      <c r="K641" s="15"/>
      <c r="L641" s="15" t="s">
        <v>127</v>
      </c>
      <c r="M641" s="38" t="s">
        <v>9146</v>
      </c>
      <c r="N641" s="38" t="s">
        <v>24</v>
      </c>
      <c r="O641" s="38" t="s">
        <v>60</v>
      </c>
    </row>
    <row r="642">
      <c r="A642" s="18" t="s">
        <v>7498</v>
      </c>
      <c r="B642" s="15" t="s">
        <v>9147</v>
      </c>
      <c r="C642" s="37">
        <v>45823.0</v>
      </c>
      <c r="D642" s="37">
        <v>45823.0</v>
      </c>
      <c r="E642" s="38" t="s">
        <v>9148</v>
      </c>
      <c r="F642" s="38" t="s">
        <v>7567</v>
      </c>
      <c r="G642" s="39">
        <v>16446.0</v>
      </c>
      <c r="H642" s="40"/>
      <c r="I642" s="45">
        <v>1050.0</v>
      </c>
      <c r="J642" s="15"/>
      <c r="K642" s="15"/>
      <c r="L642" s="15" t="s">
        <v>119</v>
      </c>
      <c r="M642" s="18" t="s">
        <v>9149</v>
      </c>
      <c r="N642" s="38" t="s">
        <v>24</v>
      </c>
      <c r="O642" s="38" t="s">
        <v>60</v>
      </c>
    </row>
    <row r="643">
      <c r="A643" s="18" t="s">
        <v>7498</v>
      </c>
      <c r="B643" s="15" t="s">
        <v>9150</v>
      </c>
      <c r="C643" s="37">
        <v>45823.0</v>
      </c>
      <c r="D643" s="37">
        <v>45823.0</v>
      </c>
      <c r="E643" s="38" t="s">
        <v>9151</v>
      </c>
      <c r="F643" s="38" t="s">
        <v>7567</v>
      </c>
      <c r="G643" s="39">
        <v>16446.0</v>
      </c>
      <c r="H643" s="40"/>
      <c r="I643" s="42">
        <v>445.0</v>
      </c>
      <c r="J643" s="15"/>
      <c r="K643" s="15"/>
      <c r="L643" s="15" t="s">
        <v>119</v>
      </c>
      <c r="M643" s="18" t="s">
        <v>9152</v>
      </c>
      <c r="N643" s="38" t="s">
        <v>24</v>
      </c>
      <c r="O643" s="38" t="s">
        <v>60</v>
      </c>
    </row>
    <row r="644">
      <c r="A644" s="18" t="s">
        <v>7498</v>
      </c>
      <c r="B644" s="15" t="s">
        <v>9153</v>
      </c>
      <c r="C644" s="37">
        <v>45823.0</v>
      </c>
      <c r="D644" s="37">
        <v>45823.0</v>
      </c>
      <c r="E644" s="38" t="s">
        <v>9154</v>
      </c>
      <c r="F644" s="38" t="s">
        <v>7567</v>
      </c>
      <c r="G644" s="39">
        <v>16446.0</v>
      </c>
      <c r="H644" s="40"/>
      <c r="I644" s="42">
        <v>503.0</v>
      </c>
      <c r="J644" s="15"/>
      <c r="K644" s="15"/>
      <c r="L644" s="15" t="s">
        <v>539</v>
      </c>
      <c r="M644" s="15"/>
      <c r="N644" s="38" t="s">
        <v>24</v>
      </c>
      <c r="O644" s="38" t="s">
        <v>60</v>
      </c>
    </row>
    <row r="645">
      <c r="A645" s="18" t="s">
        <v>7498</v>
      </c>
      <c r="B645" s="15" t="s">
        <v>9155</v>
      </c>
      <c r="C645" s="37">
        <v>45823.0</v>
      </c>
      <c r="D645" s="37">
        <v>45823.0</v>
      </c>
      <c r="E645" s="38" t="s">
        <v>9156</v>
      </c>
      <c r="F645" s="38" t="s">
        <v>9157</v>
      </c>
      <c r="G645" s="39">
        <v>99922.0</v>
      </c>
      <c r="H645" s="45">
        <v>3330.0</v>
      </c>
      <c r="I645" s="40"/>
      <c r="J645" s="15"/>
      <c r="K645" s="15" t="s">
        <v>9089</v>
      </c>
      <c r="L645" s="15" t="s">
        <v>119</v>
      </c>
      <c r="M645" s="15"/>
      <c r="N645" s="15" t="s">
        <v>114</v>
      </c>
      <c r="O645" s="15" t="s">
        <v>7513</v>
      </c>
    </row>
    <row r="646">
      <c r="A646" s="18" t="s">
        <v>7498</v>
      </c>
      <c r="B646" s="15" t="s">
        <v>9158</v>
      </c>
      <c r="C646" s="37">
        <v>45823.0</v>
      </c>
      <c r="D646" s="37">
        <v>45823.0</v>
      </c>
      <c r="E646" s="38" t="s">
        <v>9159</v>
      </c>
      <c r="F646" s="38" t="s">
        <v>7567</v>
      </c>
      <c r="G646" s="39">
        <v>16446.0</v>
      </c>
      <c r="H646" s="40"/>
      <c r="I646" s="42">
        <v>480.0</v>
      </c>
      <c r="J646" s="15"/>
      <c r="K646" s="15"/>
      <c r="L646" s="15" t="s">
        <v>127</v>
      </c>
      <c r="M646" s="38" t="s">
        <v>1719</v>
      </c>
      <c r="N646" s="38" t="s">
        <v>24</v>
      </c>
      <c r="O646" s="38" t="s">
        <v>60</v>
      </c>
    </row>
    <row r="647">
      <c r="A647" s="18" t="s">
        <v>7498</v>
      </c>
      <c r="B647" s="15" t="s">
        <v>9160</v>
      </c>
      <c r="C647" s="37">
        <v>45823.0</v>
      </c>
      <c r="D647" s="37">
        <v>45823.0</v>
      </c>
      <c r="E647" s="38" t="s">
        <v>9161</v>
      </c>
      <c r="F647" s="38" t="s">
        <v>7815</v>
      </c>
      <c r="G647" s="39">
        <v>16209.0</v>
      </c>
      <c r="H647" s="40"/>
      <c r="I647" s="42">
        <v>105500.0</v>
      </c>
      <c r="J647" s="15"/>
      <c r="K647" s="15" t="s">
        <v>25</v>
      </c>
      <c r="L647" s="18" t="s">
        <v>23</v>
      </c>
      <c r="M647" s="15"/>
      <c r="N647" s="38" t="s">
        <v>24</v>
      </c>
      <c r="O647" s="38" t="s">
        <v>60</v>
      </c>
    </row>
    <row r="648">
      <c r="A648" s="18" t="s">
        <v>7498</v>
      </c>
      <c r="B648" s="15" t="s">
        <v>9162</v>
      </c>
      <c r="C648" s="37">
        <v>45824.0</v>
      </c>
      <c r="D648" s="37">
        <v>45824.0</v>
      </c>
      <c r="E648" s="38" t="s">
        <v>9163</v>
      </c>
      <c r="F648" s="38" t="s">
        <v>7815</v>
      </c>
      <c r="G648" s="39">
        <v>16209.0</v>
      </c>
      <c r="H648" s="40"/>
      <c r="I648" s="45">
        <v>11500.0</v>
      </c>
      <c r="J648" s="15"/>
      <c r="K648" s="15" t="s">
        <v>25</v>
      </c>
      <c r="L648" s="18" t="s">
        <v>23</v>
      </c>
      <c r="M648" s="15"/>
      <c r="N648" s="38" t="s">
        <v>24</v>
      </c>
      <c r="O648" s="38" t="s">
        <v>60</v>
      </c>
    </row>
    <row r="649">
      <c r="A649" s="18" t="s">
        <v>7498</v>
      </c>
      <c r="B649" s="15" t="s">
        <v>9164</v>
      </c>
      <c r="C649" s="37">
        <v>45824.0</v>
      </c>
      <c r="D649" s="37">
        <v>45824.0</v>
      </c>
      <c r="E649" s="38" t="s">
        <v>9165</v>
      </c>
      <c r="F649" s="38" t="s">
        <v>7815</v>
      </c>
      <c r="G649" s="39">
        <v>16209.0</v>
      </c>
      <c r="H649" s="40"/>
      <c r="I649" s="42">
        <v>183000.0</v>
      </c>
      <c r="J649" s="15"/>
      <c r="K649" s="15" t="s">
        <v>25</v>
      </c>
      <c r="L649" s="18" t="s">
        <v>23</v>
      </c>
      <c r="M649" s="15"/>
      <c r="N649" s="38" t="s">
        <v>24</v>
      </c>
      <c r="O649" s="38" t="s">
        <v>60</v>
      </c>
    </row>
    <row r="650">
      <c r="A650" s="18" t="s">
        <v>7498</v>
      </c>
      <c r="B650" s="15" t="s">
        <v>9166</v>
      </c>
      <c r="C650" s="37">
        <v>45824.0</v>
      </c>
      <c r="D650" s="37">
        <v>45824.0</v>
      </c>
      <c r="E650" s="38" t="s">
        <v>9167</v>
      </c>
      <c r="F650" s="38" t="s">
        <v>9168</v>
      </c>
      <c r="G650" s="39">
        <v>99922.0</v>
      </c>
      <c r="H650" s="45">
        <v>5242.0</v>
      </c>
      <c r="I650" s="40"/>
      <c r="J650" s="15"/>
      <c r="K650" s="15" t="s">
        <v>9169</v>
      </c>
      <c r="L650" s="15" t="s">
        <v>113</v>
      </c>
      <c r="M650" s="15"/>
      <c r="N650" s="15" t="s">
        <v>114</v>
      </c>
      <c r="O650" s="15" t="s">
        <v>220</v>
      </c>
    </row>
    <row r="651">
      <c r="A651" s="18" t="s">
        <v>7498</v>
      </c>
      <c r="B651" s="15" t="s">
        <v>9170</v>
      </c>
      <c r="C651" s="37">
        <v>45824.0</v>
      </c>
      <c r="D651" s="37">
        <v>45824.0</v>
      </c>
      <c r="E651" s="38" t="s">
        <v>9171</v>
      </c>
      <c r="F651" s="38" t="s">
        <v>7537</v>
      </c>
      <c r="G651" s="39">
        <v>16446.0</v>
      </c>
      <c r="H651" s="40"/>
      <c r="I651" s="45">
        <v>2000.0</v>
      </c>
      <c r="J651" s="15"/>
      <c r="K651" s="15"/>
      <c r="L651" s="15" t="s">
        <v>119</v>
      </c>
      <c r="M651" s="15"/>
      <c r="N651" s="38" t="s">
        <v>24</v>
      </c>
      <c r="O651" s="38" t="s">
        <v>60</v>
      </c>
    </row>
    <row r="652">
      <c r="A652" s="18" t="s">
        <v>7498</v>
      </c>
      <c r="B652" s="15" t="s">
        <v>9172</v>
      </c>
      <c r="C652" s="37">
        <v>45824.0</v>
      </c>
      <c r="D652" s="37">
        <v>45824.0</v>
      </c>
      <c r="E652" s="38" t="s">
        <v>9173</v>
      </c>
      <c r="F652" s="38" t="s">
        <v>7537</v>
      </c>
      <c r="G652" s="39">
        <v>16446.0</v>
      </c>
      <c r="H652" s="40"/>
      <c r="I652" s="45">
        <v>7000.0</v>
      </c>
      <c r="J652" s="15"/>
      <c r="K652" s="15"/>
      <c r="L652" s="15" t="s">
        <v>119</v>
      </c>
      <c r="M652" s="15"/>
      <c r="N652" s="38" t="s">
        <v>24</v>
      </c>
      <c r="O652" s="38" t="s">
        <v>60</v>
      </c>
    </row>
    <row r="653">
      <c r="A653" s="18" t="s">
        <v>7498</v>
      </c>
      <c r="B653" s="59" t="s">
        <v>9174</v>
      </c>
      <c r="C653" s="60">
        <v>45824.0</v>
      </c>
      <c r="D653" s="60">
        <v>45824.0</v>
      </c>
      <c r="E653" s="61" t="s">
        <v>9175</v>
      </c>
      <c r="F653" s="61" t="s">
        <v>7537</v>
      </c>
      <c r="G653" s="62">
        <v>16446.0</v>
      </c>
      <c r="H653" s="63"/>
      <c r="I653" s="64">
        <v>236.0</v>
      </c>
      <c r="J653" s="65"/>
      <c r="K653" s="65">
        <v>-59.0</v>
      </c>
      <c r="L653" s="15" t="s">
        <v>127</v>
      </c>
      <c r="M653" s="61" t="s">
        <v>9176</v>
      </c>
      <c r="N653" s="38" t="s">
        <v>24</v>
      </c>
      <c r="O653" s="38" t="s">
        <v>60</v>
      </c>
    </row>
    <row r="654">
      <c r="A654" s="18" t="s">
        <v>7498</v>
      </c>
      <c r="B654" s="15" t="s">
        <v>9177</v>
      </c>
      <c r="C654" s="37">
        <v>45824.0</v>
      </c>
      <c r="D654" s="37">
        <v>45824.0</v>
      </c>
      <c r="E654" s="38" t="s">
        <v>9178</v>
      </c>
      <c r="F654" s="38" t="s">
        <v>7537</v>
      </c>
      <c r="G654" s="39">
        <v>16446.0</v>
      </c>
      <c r="H654" s="40"/>
      <c r="I654" s="42">
        <v>394.0</v>
      </c>
      <c r="J654" s="15"/>
      <c r="K654" s="15"/>
      <c r="L654" s="15" t="s">
        <v>119</v>
      </c>
      <c r="M654" s="18" t="s">
        <v>9179</v>
      </c>
      <c r="N654" s="38" t="s">
        <v>24</v>
      </c>
      <c r="O654" s="38" t="s">
        <v>60</v>
      </c>
    </row>
    <row r="655">
      <c r="A655" s="18" t="s">
        <v>7498</v>
      </c>
      <c r="B655" s="15" t="s">
        <v>9180</v>
      </c>
      <c r="C655" s="37">
        <v>45824.0</v>
      </c>
      <c r="D655" s="37">
        <v>45824.0</v>
      </c>
      <c r="E655" s="38" t="s">
        <v>9181</v>
      </c>
      <c r="F655" s="38" t="s">
        <v>7537</v>
      </c>
      <c r="G655" s="39">
        <v>16446.0</v>
      </c>
      <c r="H655" s="40"/>
      <c r="I655" s="42">
        <v>218.0</v>
      </c>
      <c r="J655" s="15"/>
      <c r="K655" s="15"/>
      <c r="L655" s="15" t="s">
        <v>539</v>
      </c>
      <c r="M655" s="15"/>
      <c r="N655" s="38" t="s">
        <v>24</v>
      </c>
      <c r="O655" s="38" t="s">
        <v>60</v>
      </c>
    </row>
    <row r="656">
      <c r="A656" s="18" t="s">
        <v>7498</v>
      </c>
      <c r="B656" s="15" t="s">
        <v>9182</v>
      </c>
      <c r="C656" s="37">
        <v>45824.0</v>
      </c>
      <c r="D656" s="37">
        <v>45824.0</v>
      </c>
      <c r="E656" s="38" t="s">
        <v>9183</v>
      </c>
      <c r="F656" s="38" t="s">
        <v>7537</v>
      </c>
      <c r="G656" s="39">
        <v>16446.0</v>
      </c>
      <c r="H656" s="40"/>
      <c r="I656" s="42">
        <v>775.0</v>
      </c>
      <c r="J656" s="15"/>
      <c r="K656" s="15"/>
      <c r="L656" s="15" t="s">
        <v>539</v>
      </c>
      <c r="M656" s="15"/>
      <c r="N656" s="38" t="s">
        <v>24</v>
      </c>
      <c r="O656" s="38" t="s">
        <v>60</v>
      </c>
    </row>
    <row r="657">
      <c r="A657" s="18" t="s">
        <v>7498</v>
      </c>
      <c r="B657" s="15" t="s">
        <v>9184</v>
      </c>
      <c r="C657" s="37">
        <v>45825.0</v>
      </c>
      <c r="D657" s="37">
        <v>45825.0</v>
      </c>
      <c r="E657" s="38" t="s">
        <v>9185</v>
      </c>
      <c r="F657" s="38" t="s">
        <v>7544</v>
      </c>
      <c r="G657" s="39">
        <v>16446.0</v>
      </c>
      <c r="H657" s="40"/>
      <c r="I657" s="42">
        <v>661.0</v>
      </c>
      <c r="J657" s="15"/>
      <c r="K657" s="15"/>
      <c r="L657" s="15" t="s">
        <v>539</v>
      </c>
      <c r="M657" s="15"/>
      <c r="N657" s="38" t="s">
        <v>24</v>
      </c>
      <c r="O657" s="38" t="s">
        <v>60</v>
      </c>
    </row>
    <row r="658">
      <c r="A658" s="18" t="s">
        <v>7498</v>
      </c>
      <c r="B658" s="15" t="s">
        <v>9186</v>
      </c>
      <c r="C658" s="37">
        <v>45825.0</v>
      </c>
      <c r="D658" s="37">
        <v>45825.0</v>
      </c>
      <c r="E658" s="38" t="s">
        <v>9187</v>
      </c>
      <c r="F658" s="38" t="s">
        <v>7544</v>
      </c>
      <c r="G658" s="39">
        <v>16446.0</v>
      </c>
      <c r="H658" s="40"/>
      <c r="I658" s="42">
        <v>370.0</v>
      </c>
      <c r="J658" s="15"/>
      <c r="K658" s="15"/>
      <c r="L658" s="15" t="s">
        <v>127</v>
      </c>
      <c r="M658" s="38" t="s">
        <v>9188</v>
      </c>
      <c r="N658" s="38" t="s">
        <v>24</v>
      </c>
      <c r="O658" s="38" t="s">
        <v>60</v>
      </c>
    </row>
    <row r="659">
      <c r="A659" s="18" t="s">
        <v>7498</v>
      </c>
      <c r="B659" s="15" t="s">
        <v>9189</v>
      </c>
      <c r="C659" s="37">
        <v>45826.0</v>
      </c>
      <c r="D659" s="37">
        <v>45826.0</v>
      </c>
      <c r="E659" s="38" t="s">
        <v>9190</v>
      </c>
      <c r="F659" s="38" t="s">
        <v>7557</v>
      </c>
      <c r="G659" s="39">
        <v>16446.0</v>
      </c>
      <c r="H659" s="40"/>
      <c r="I659" s="42">
        <v>218.0</v>
      </c>
      <c r="J659" s="15"/>
      <c r="K659" s="15"/>
      <c r="L659" s="15" t="s">
        <v>127</v>
      </c>
      <c r="M659" s="38" t="s">
        <v>9191</v>
      </c>
      <c r="N659" s="38" t="s">
        <v>24</v>
      </c>
      <c r="O659" s="38" t="s">
        <v>60</v>
      </c>
    </row>
    <row r="660">
      <c r="A660" s="18" t="s">
        <v>7498</v>
      </c>
      <c r="B660" s="15" t="s">
        <v>9192</v>
      </c>
      <c r="C660" s="37">
        <v>45826.0</v>
      </c>
      <c r="D660" s="37">
        <v>45826.0</v>
      </c>
      <c r="E660" s="38" t="s">
        <v>9193</v>
      </c>
      <c r="F660" s="38" t="s">
        <v>9194</v>
      </c>
      <c r="G660" s="39">
        <v>99922.0</v>
      </c>
      <c r="H660" s="45">
        <v>1425.0</v>
      </c>
      <c r="I660" s="40"/>
      <c r="J660" s="15"/>
      <c r="K660" s="15" t="s">
        <v>9195</v>
      </c>
      <c r="L660" s="15" t="s">
        <v>127</v>
      </c>
      <c r="M660" s="15"/>
      <c r="N660" s="15" t="s">
        <v>114</v>
      </c>
      <c r="O660" s="15" t="s">
        <v>2883</v>
      </c>
    </row>
    <row r="661">
      <c r="A661" s="18" t="s">
        <v>7498</v>
      </c>
      <c r="B661" s="15" t="s">
        <v>9196</v>
      </c>
      <c r="C661" s="37">
        <v>45826.0</v>
      </c>
      <c r="D661" s="37">
        <v>45826.0</v>
      </c>
      <c r="E661" s="38" t="s">
        <v>9197</v>
      </c>
      <c r="F661" s="38" t="s">
        <v>9198</v>
      </c>
      <c r="G661" s="39">
        <v>99922.0</v>
      </c>
      <c r="H661" s="42">
        <v>301.0</v>
      </c>
      <c r="I661" s="40"/>
      <c r="J661" s="15"/>
      <c r="K661" s="15" t="s">
        <v>9195</v>
      </c>
      <c r="L661" s="15" t="s">
        <v>113</v>
      </c>
      <c r="M661" s="15"/>
      <c r="N661" s="15" t="s">
        <v>114</v>
      </c>
      <c r="O661" s="15" t="s">
        <v>2883</v>
      </c>
    </row>
    <row r="662">
      <c r="A662" s="18" t="s">
        <v>7498</v>
      </c>
      <c r="B662" s="15" t="s">
        <v>9199</v>
      </c>
      <c r="C662" s="37">
        <v>45826.0</v>
      </c>
      <c r="D662" s="37">
        <v>45826.0</v>
      </c>
      <c r="E662" s="38" t="s">
        <v>9200</v>
      </c>
      <c r="F662" s="38" t="s">
        <v>9201</v>
      </c>
      <c r="G662" s="39">
        <v>99922.0</v>
      </c>
      <c r="H662" s="42">
        <v>630.0</v>
      </c>
      <c r="I662" s="40"/>
      <c r="J662" s="15"/>
      <c r="K662" s="15" t="s">
        <v>9195</v>
      </c>
      <c r="L662" s="15" t="s">
        <v>119</v>
      </c>
      <c r="M662" s="15"/>
      <c r="N662" s="15" t="s">
        <v>114</v>
      </c>
      <c r="O662" s="15" t="s">
        <v>2883</v>
      </c>
    </row>
    <row r="663">
      <c r="A663" s="18" t="s">
        <v>7498</v>
      </c>
      <c r="B663" s="15" t="s">
        <v>9202</v>
      </c>
      <c r="C663" s="37">
        <v>45826.0</v>
      </c>
      <c r="D663" s="37">
        <v>45826.0</v>
      </c>
      <c r="E663" s="38" t="s">
        <v>9203</v>
      </c>
      <c r="F663" s="38" t="s">
        <v>9204</v>
      </c>
      <c r="G663" s="39">
        <v>99922.0</v>
      </c>
      <c r="H663" s="42">
        <v>173.0</v>
      </c>
      <c r="I663" s="40"/>
      <c r="J663" s="15"/>
      <c r="K663" s="15" t="s">
        <v>9195</v>
      </c>
      <c r="L663" s="15" t="s">
        <v>113</v>
      </c>
      <c r="M663" s="15"/>
      <c r="N663" s="15" t="s">
        <v>114</v>
      </c>
      <c r="O663" s="15" t="s">
        <v>2883</v>
      </c>
    </row>
    <row r="664">
      <c r="A664" s="18" t="s">
        <v>7498</v>
      </c>
      <c r="B664" s="15" t="s">
        <v>9205</v>
      </c>
      <c r="C664" s="37">
        <v>45826.0</v>
      </c>
      <c r="D664" s="37">
        <v>45826.0</v>
      </c>
      <c r="E664" s="38" t="s">
        <v>9206</v>
      </c>
      <c r="F664" s="38" t="s">
        <v>7557</v>
      </c>
      <c r="G664" s="39">
        <v>16446.0</v>
      </c>
      <c r="H664" s="40"/>
      <c r="I664" s="42">
        <v>520.0</v>
      </c>
      <c r="J664" s="15"/>
      <c r="K664" s="15"/>
      <c r="L664" s="15" t="s">
        <v>539</v>
      </c>
      <c r="M664" s="15"/>
      <c r="N664" s="38" t="s">
        <v>24</v>
      </c>
      <c r="O664" s="38" t="s">
        <v>60</v>
      </c>
    </row>
    <row r="665">
      <c r="A665" s="18" t="s">
        <v>7498</v>
      </c>
      <c r="B665" s="15" t="s">
        <v>9207</v>
      </c>
      <c r="C665" s="37">
        <v>45826.0</v>
      </c>
      <c r="D665" s="37">
        <v>45826.0</v>
      </c>
      <c r="E665" s="38" t="s">
        <v>9208</v>
      </c>
      <c r="F665" s="38" t="s">
        <v>7557</v>
      </c>
      <c r="G665" s="39">
        <v>16446.0</v>
      </c>
      <c r="H665" s="40"/>
      <c r="I665" s="45">
        <v>1250.0</v>
      </c>
      <c r="J665" s="15"/>
      <c r="K665" s="15"/>
      <c r="L665" s="15" t="s">
        <v>539</v>
      </c>
      <c r="M665" s="15"/>
      <c r="N665" s="38" t="s">
        <v>24</v>
      </c>
      <c r="O665" s="38" t="s">
        <v>60</v>
      </c>
    </row>
    <row r="666">
      <c r="A666" s="18" t="s">
        <v>7498</v>
      </c>
      <c r="B666" s="15" t="s">
        <v>9209</v>
      </c>
      <c r="C666" s="37">
        <v>45826.0</v>
      </c>
      <c r="D666" s="37">
        <v>45826.0</v>
      </c>
      <c r="E666" s="38" t="s">
        <v>9210</v>
      </c>
      <c r="F666" s="38" t="s">
        <v>7557</v>
      </c>
      <c r="G666" s="39">
        <v>16446.0</v>
      </c>
      <c r="H666" s="40"/>
      <c r="I666" s="42">
        <v>30.0</v>
      </c>
      <c r="J666" s="15"/>
      <c r="K666" s="15"/>
      <c r="L666" s="15" t="s">
        <v>539</v>
      </c>
      <c r="M666" s="15"/>
      <c r="N666" s="38" t="s">
        <v>24</v>
      </c>
      <c r="O666" s="38" t="s">
        <v>60</v>
      </c>
    </row>
    <row r="667">
      <c r="A667" s="18" t="s">
        <v>7498</v>
      </c>
      <c r="B667" s="15" t="s">
        <v>9211</v>
      </c>
      <c r="C667" s="37">
        <v>45826.0</v>
      </c>
      <c r="D667" s="37">
        <v>45826.0</v>
      </c>
      <c r="E667" s="38" t="s">
        <v>9212</v>
      </c>
      <c r="F667" s="38" t="s">
        <v>7557</v>
      </c>
      <c r="G667" s="39">
        <v>16446.0</v>
      </c>
      <c r="H667" s="40"/>
      <c r="I667" s="42">
        <v>351.0</v>
      </c>
      <c r="J667" s="15"/>
      <c r="K667" s="15"/>
      <c r="L667" s="15" t="s">
        <v>127</v>
      </c>
      <c r="M667" s="38" t="s">
        <v>9213</v>
      </c>
      <c r="N667" s="38" t="s">
        <v>24</v>
      </c>
      <c r="O667" s="38" t="s">
        <v>60</v>
      </c>
    </row>
    <row r="668">
      <c r="A668" s="18" t="s">
        <v>7498</v>
      </c>
      <c r="B668" s="15" t="s">
        <v>9214</v>
      </c>
      <c r="C668" s="37">
        <v>45826.0</v>
      </c>
      <c r="D668" s="37">
        <v>45826.0</v>
      </c>
      <c r="E668" s="38" t="s">
        <v>9215</v>
      </c>
      <c r="F668" s="38" t="s">
        <v>7557</v>
      </c>
      <c r="G668" s="39">
        <v>16446.0</v>
      </c>
      <c r="H668" s="40"/>
      <c r="I668" s="45">
        <v>2000.0</v>
      </c>
      <c r="J668" s="15"/>
      <c r="K668" s="15"/>
      <c r="L668" s="15" t="s">
        <v>539</v>
      </c>
      <c r="M668" s="15"/>
      <c r="N668" s="38" t="s">
        <v>24</v>
      </c>
      <c r="O668" s="38" t="s">
        <v>60</v>
      </c>
    </row>
    <row r="669">
      <c r="A669" s="18" t="s">
        <v>7498</v>
      </c>
      <c r="B669" s="15" t="s">
        <v>9216</v>
      </c>
      <c r="C669" s="37">
        <v>45826.0</v>
      </c>
      <c r="D669" s="37">
        <v>45826.0</v>
      </c>
      <c r="E669" s="38" t="s">
        <v>9217</v>
      </c>
      <c r="F669" s="38" t="s">
        <v>7557</v>
      </c>
      <c r="G669" s="39">
        <v>16446.0</v>
      </c>
      <c r="H669" s="40"/>
      <c r="I669" s="42">
        <v>640.0</v>
      </c>
      <c r="J669" s="15"/>
      <c r="K669" s="15"/>
      <c r="L669" s="15" t="s">
        <v>539</v>
      </c>
      <c r="M669" s="15"/>
      <c r="N669" s="38" t="s">
        <v>24</v>
      </c>
      <c r="O669" s="38" t="s">
        <v>60</v>
      </c>
    </row>
    <row r="670">
      <c r="A670" s="18" t="s">
        <v>7498</v>
      </c>
      <c r="B670" s="15" t="s">
        <v>9218</v>
      </c>
      <c r="C670" s="37">
        <v>45826.0</v>
      </c>
      <c r="D670" s="37">
        <v>45826.0</v>
      </c>
      <c r="E670" s="38" t="s">
        <v>9219</v>
      </c>
      <c r="F670" s="38" t="s">
        <v>9220</v>
      </c>
      <c r="G670" s="39">
        <v>99922.0</v>
      </c>
      <c r="H670" s="45">
        <v>22500.0</v>
      </c>
      <c r="I670" s="40"/>
      <c r="J670" s="15"/>
      <c r="K670" s="15" t="s">
        <v>9221</v>
      </c>
      <c r="L670" s="18" t="s">
        <v>23</v>
      </c>
      <c r="M670" s="15"/>
      <c r="N670" s="15" t="s">
        <v>114</v>
      </c>
      <c r="O670" s="15" t="s">
        <v>9222</v>
      </c>
    </row>
    <row r="671">
      <c r="A671" s="18" t="s">
        <v>7498</v>
      </c>
      <c r="B671" s="15" t="s">
        <v>9223</v>
      </c>
      <c r="C671" s="37">
        <v>45826.0</v>
      </c>
      <c r="D671" s="37">
        <v>45826.0</v>
      </c>
      <c r="E671" s="38" t="s">
        <v>9224</v>
      </c>
      <c r="F671" s="38" t="s">
        <v>7557</v>
      </c>
      <c r="G671" s="39">
        <v>16446.0</v>
      </c>
      <c r="H671" s="40"/>
      <c r="I671" s="42">
        <v>676.0</v>
      </c>
      <c r="J671" s="15"/>
      <c r="K671" s="15"/>
      <c r="L671" s="15" t="s">
        <v>539</v>
      </c>
      <c r="M671" s="15"/>
      <c r="N671" s="38" t="s">
        <v>24</v>
      </c>
      <c r="O671" s="38" t="s">
        <v>60</v>
      </c>
    </row>
    <row r="672">
      <c r="A672" s="18" t="s">
        <v>7498</v>
      </c>
      <c r="B672" s="15" t="s">
        <v>9225</v>
      </c>
      <c r="C672" s="37">
        <v>45826.0</v>
      </c>
      <c r="D672" s="37">
        <v>45826.0</v>
      </c>
      <c r="E672" s="38" t="s">
        <v>9226</v>
      </c>
      <c r="F672" s="38" t="s">
        <v>7557</v>
      </c>
      <c r="G672" s="39">
        <v>16446.0</v>
      </c>
      <c r="H672" s="40"/>
      <c r="I672" s="42">
        <v>120.0</v>
      </c>
      <c r="J672" s="15"/>
      <c r="K672" s="15"/>
      <c r="L672" s="15" t="s">
        <v>127</v>
      </c>
      <c r="M672" s="38" t="s">
        <v>9227</v>
      </c>
      <c r="N672" s="38" t="s">
        <v>24</v>
      </c>
      <c r="O672" s="38" t="s">
        <v>60</v>
      </c>
    </row>
    <row r="673">
      <c r="A673" s="18" t="s">
        <v>7498</v>
      </c>
      <c r="B673" s="15" t="s">
        <v>9228</v>
      </c>
      <c r="C673" s="37">
        <v>45826.0</v>
      </c>
      <c r="D673" s="37">
        <v>45826.0</v>
      </c>
      <c r="E673" s="38" t="s">
        <v>9229</v>
      </c>
      <c r="F673" s="38" t="s">
        <v>7557</v>
      </c>
      <c r="G673" s="39">
        <v>16446.0</v>
      </c>
      <c r="H673" s="40"/>
      <c r="I673" s="42">
        <v>798.0</v>
      </c>
      <c r="J673" s="15"/>
      <c r="K673" s="15"/>
      <c r="L673" s="15" t="s">
        <v>119</v>
      </c>
      <c r="M673" s="18" t="s">
        <v>9230</v>
      </c>
      <c r="N673" s="38" t="s">
        <v>24</v>
      </c>
      <c r="O673" s="38" t="s">
        <v>60</v>
      </c>
    </row>
    <row r="674">
      <c r="A674" s="18" t="s">
        <v>7498</v>
      </c>
      <c r="B674" s="15" t="s">
        <v>9231</v>
      </c>
      <c r="C674" s="37">
        <v>45826.0</v>
      </c>
      <c r="D674" s="37">
        <v>45826.0</v>
      </c>
      <c r="E674" s="38" t="s">
        <v>9232</v>
      </c>
      <c r="F674" s="38" t="s">
        <v>7557</v>
      </c>
      <c r="G674" s="39">
        <v>16446.0</v>
      </c>
      <c r="H674" s="40"/>
      <c r="I674" s="42">
        <v>350.0</v>
      </c>
      <c r="J674" s="15"/>
      <c r="K674" s="15"/>
      <c r="L674" s="15" t="s">
        <v>119</v>
      </c>
      <c r="M674" s="18" t="s">
        <v>9233</v>
      </c>
      <c r="N674" s="38" t="s">
        <v>24</v>
      </c>
      <c r="O674" s="38" t="s">
        <v>60</v>
      </c>
    </row>
    <row r="675">
      <c r="A675" s="18" t="s">
        <v>7498</v>
      </c>
      <c r="B675" s="15" t="s">
        <v>9234</v>
      </c>
      <c r="C675" s="37">
        <v>45826.0</v>
      </c>
      <c r="D675" s="37">
        <v>45826.0</v>
      </c>
      <c r="E675" s="38" t="s">
        <v>9235</v>
      </c>
      <c r="F675" s="38" t="s">
        <v>7557</v>
      </c>
      <c r="G675" s="39">
        <v>16446.0</v>
      </c>
      <c r="H675" s="40"/>
      <c r="I675" s="42">
        <v>490.0</v>
      </c>
      <c r="J675" s="15"/>
      <c r="K675" s="15"/>
      <c r="L675" s="15" t="s">
        <v>119</v>
      </c>
      <c r="M675" s="18" t="s">
        <v>9236</v>
      </c>
      <c r="N675" s="38" t="s">
        <v>24</v>
      </c>
      <c r="O675" s="38" t="s">
        <v>60</v>
      </c>
    </row>
    <row r="676">
      <c r="A676" s="18" t="s">
        <v>7498</v>
      </c>
      <c r="B676" s="15" t="s">
        <v>9237</v>
      </c>
      <c r="C676" s="37">
        <v>45826.0</v>
      </c>
      <c r="D676" s="37">
        <v>45826.0</v>
      </c>
      <c r="E676" s="38" t="s">
        <v>9238</v>
      </c>
      <c r="F676" s="38" t="s">
        <v>7557</v>
      </c>
      <c r="G676" s="39">
        <v>16446.0</v>
      </c>
      <c r="H676" s="40"/>
      <c r="I676" s="42">
        <v>592.0</v>
      </c>
      <c r="J676" s="15"/>
      <c r="K676" s="15"/>
      <c r="L676" s="15" t="s">
        <v>539</v>
      </c>
      <c r="M676" s="15"/>
      <c r="N676" s="38" t="s">
        <v>24</v>
      </c>
      <c r="O676" s="38" t="s">
        <v>60</v>
      </c>
    </row>
    <row r="677">
      <c r="A677" s="18" t="s">
        <v>7498</v>
      </c>
      <c r="B677" s="15" t="s">
        <v>9239</v>
      </c>
      <c r="C677" s="37">
        <v>45826.0</v>
      </c>
      <c r="D677" s="37">
        <v>45826.0</v>
      </c>
      <c r="E677" s="38" t="s">
        <v>9240</v>
      </c>
      <c r="F677" s="38" t="s">
        <v>7557</v>
      </c>
      <c r="G677" s="39">
        <v>16446.0</v>
      </c>
      <c r="H677" s="40"/>
      <c r="I677" s="42">
        <v>845.0</v>
      </c>
      <c r="J677" s="15"/>
      <c r="K677" s="15"/>
      <c r="L677" s="15" t="s">
        <v>539</v>
      </c>
      <c r="M677" s="15"/>
      <c r="N677" s="38" t="s">
        <v>24</v>
      </c>
      <c r="O677" s="38" t="s">
        <v>60</v>
      </c>
    </row>
    <row r="678">
      <c r="A678" s="18" t="s">
        <v>7498</v>
      </c>
      <c r="B678" s="15" t="s">
        <v>9241</v>
      </c>
      <c r="C678" s="37">
        <v>45826.0</v>
      </c>
      <c r="D678" s="37">
        <v>45826.0</v>
      </c>
      <c r="E678" s="38" t="s">
        <v>9242</v>
      </c>
      <c r="F678" s="38" t="s">
        <v>7557</v>
      </c>
      <c r="G678" s="39">
        <v>16446.0</v>
      </c>
      <c r="H678" s="40"/>
      <c r="I678" s="42">
        <v>450.0</v>
      </c>
      <c r="J678" s="15"/>
      <c r="K678" s="15"/>
      <c r="L678" s="15" t="s">
        <v>127</v>
      </c>
      <c r="M678" s="38" t="s">
        <v>9243</v>
      </c>
      <c r="N678" s="38" t="s">
        <v>24</v>
      </c>
      <c r="O678" s="38" t="s">
        <v>60</v>
      </c>
    </row>
    <row r="679">
      <c r="A679" s="18" t="s">
        <v>7498</v>
      </c>
      <c r="B679" s="15" t="s">
        <v>9244</v>
      </c>
      <c r="C679" s="37">
        <v>45827.0</v>
      </c>
      <c r="D679" s="37">
        <v>45827.0</v>
      </c>
      <c r="E679" s="38" t="s">
        <v>9245</v>
      </c>
      <c r="F679" s="38" t="s">
        <v>7580</v>
      </c>
      <c r="G679" s="39">
        <v>16446.0</v>
      </c>
      <c r="H679" s="40"/>
      <c r="I679" s="45">
        <v>1287.0</v>
      </c>
      <c r="J679" s="15"/>
      <c r="K679" s="15"/>
      <c r="L679" s="15" t="s">
        <v>127</v>
      </c>
      <c r="M679" s="38" t="s">
        <v>2047</v>
      </c>
      <c r="N679" s="38" t="s">
        <v>24</v>
      </c>
      <c r="O679" s="38" t="s">
        <v>60</v>
      </c>
    </row>
    <row r="680">
      <c r="A680" s="18" t="s">
        <v>7498</v>
      </c>
      <c r="B680" s="15" t="s">
        <v>9246</v>
      </c>
      <c r="C680" s="37">
        <v>45827.0</v>
      </c>
      <c r="D680" s="37">
        <v>45827.0</v>
      </c>
      <c r="E680" s="38" t="s">
        <v>9247</v>
      </c>
      <c r="F680" s="38" t="s">
        <v>7580</v>
      </c>
      <c r="G680" s="39">
        <v>16446.0</v>
      </c>
      <c r="H680" s="40"/>
      <c r="I680" s="42">
        <v>455.0</v>
      </c>
      <c r="J680" s="15"/>
      <c r="K680" s="15"/>
      <c r="L680" s="15" t="s">
        <v>127</v>
      </c>
      <c r="M680" s="38" t="s">
        <v>9248</v>
      </c>
      <c r="N680" s="38" t="s">
        <v>24</v>
      </c>
      <c r="O680" s="38" t="s">
        <v>60</v>
      </c>
    </row>
    <row r="681">
      <c r="A681" s="18" t="s">
        <v>7498</v>
      </c>
      <c r="B681" s="15" t="s">
        <v>9249</v>
      </c>
      <c r="C681" s="37">
        <v>45827.0</v>
      </c>
      <c r="D681" s="37">
        <v>45827.0</v>
      </c>
      <c r="E681" s="38" t="s">
        <v>9250</v>
      </c>
      <c r="F681" s="38" t="s">
        <v>7580</v>
      </c>
      <c r="G681" s="39">
        <v>16446.0</v>
      </c>
      <c r="H681" s="40"/>
      <c r="I681" s="42">
        <v>140.0</v>
      </c>
      <c r="J681" s="15"/>
      <c r="K681" s="15"/>
      <c r="L681" s="15" t="s">
        <v>119</v>
      </c>
      <c r="M681" s="18" t="s">
        <v>9251</v>
      </c>
      <c r="N681" s="38" t="s">
        <v>24</v>
      </c>
      <c r="O681" s="38" t="s">
        <v>60</v>
      </c>
    </row>
    <row r="682">
      <c r="A682" s="18" t="s">
        <v>7498</v>
      </c>
      <c r="B682" s="15" t="s">
        <v>9252</v>
      </c>
      <c r="C682" s="37">
        <v>45827.0</v>
      </c>
      <c r="D682" s="37">
        <v>45827.0</v>
      </c>
      <c r="E682" s="38" t="s">
        <v>9253</v>
      </c>
      <c r="F682" s="38" t="s">
        <v>7580</v>
      </c>
      <c r="G682" s="39">
        <v>16446.0</v>
      </c>
      <c r="H682" s="40"/>
      <c r="I682" s="45">
        <v>1224.0</v>
      </c>
      <c r="J682" s="15"/>
      <c r="K682" s="15"/>
      <c r="L682" s="15" t="s">
        <v>127</v>
      </c>
      <c r="M682" s="38" t="s">
        <v>9254</v>
      </c>
      <c r="N682" s="38" t="s">
        <v>24</v>
      </c>
      <c r="O682" s="38" t="s">
        <v>60</v>
      </c>
    </row>
    <row r="683">
      <c r="A683" s="18" t="s">
        <v>7498</v>
      </c>
      <c r="B683" s="15" t="s">
        <v>9255</v>
      </c>
      <c r="C683" s="37">
        <v>45827.0</v>
      </c>
      <c r="D683" s="37">
        <v>45827.0</v>
      </c>
      <c r="E683" s="38" t="s">
        <v>9256</v>
      </c>
      <c r="F683" s="38" t="s">
        <v>7580</v>
      </c>
      <c r="G683" s="39">
        <v>16446.0</v>
      </c>
      <c r="H683" s="40"/>
      <c r="I683" s="45">
        <v>1047.0</v>
      </c>
      <c r="J683" s="15"/>
      <c r="K683" s="15"/>
      <c r="L683" s="15" t="s">
        <v>539</v>
      </c>
      <c r="M683" s="15"/>
      <c r="N683" s="38" t="s">
        <v>24</v>
      </c>
      <c r="O683" s="38" t="s">
        <v>60</v>
      </c>
    </row>
    <row r="684">
      <c r="A684" s="18" t="s">
        <v>7498</v>
      </c>
      <c r="B684" s="15" t="s">
        <v>9257</v>
      </c>
      <c r="C684" s="37">
        <v>45827.0</v>
      </c>
      <c r="D684" s="37">
        <v>45827.0</v>
      </c>
      <c r="E684" s="38" t="s">
        <v>9258</v>
      </c>
      <c r="F684" s="38" t="s">
        <v>7580</v>
      </c>
      <c r="G684" s="39">
        <v>16446.0</v>
      </c>
      <c r="H684" s="40"/>
      <c r="I684" s="45">
        <v>1028.0</v>
      </c>
      <c r="J684" s="15"/>
      <c r="K684" s="15"/>
      <c r="L684" s="15" t="s">
        <v>539</v>
      </c>
      <c r="M684" s="15"/>
      <c r="N684" s="38" t="s">
        <v>24</v>
      </c>
      <c r="O684" s="38" t="s">
        <v>60</v>
      </c>
    </row>
    <row r="685">
      <c r="A685" s="18" t="s">
        <v>7498</v>
      </c>
      <c r="B685" s="15" t="s">
        <v>9259</v>
      </c>
      <c r="C685" s="37">
        <v>45827.0</v>
      </c>
      <c r="D685" s="37">
        <v>45827.0</v>
      </c>
      <c r="E685" s="38" t="s">
        <v>9260</v>
      </c>
      <c r="F685" s="38" t="s">
        <v>7580</v>
      </c>
      <c r="G685" s="39">
        <v>16446.0</v>
      </c>
      <c r="H685" s="40"/>
      <c r="I685" s="42">
        <v>514.0</v>
      </c>
      <c r="J685" s="15"/>
      <c r="K685" s="15"/>
      <c r="L685" s="15" t="s">
        <v>539</v>
      </c>
      <c r="M685" s="15"/>
      <c r="N685" s="38" t="s">
        <v>24</v>
      </c>
      <c r="O685" s="38" t="s">
        <v>60</v>
      </c>
    </row>
    <row r="686">
      <c r="A686" s="18" t="s">
        <v>7498</v>
      </c>
      <c r="B686" s="15" t="s">
        <v>9261</v>
      </c>
      <c r="C686" s="37">
        <v>45827.0</v>
      </c>
      <c r="D686" s="37">
        <v>45827.0</v>
      </c>
      <c r="E686" s="38" t="s">
        <v>8721</v>
      </c>
      <c r="F686" s="38" t="s">
        <v>9262</v>
      </c>
      <c r="G686" s="39">
        <v>99922.0</v>
      </c>
      <c r="H686" s="45">
        <v>7840.0</v>
      </c>
      <c r="I686" s="40"/>
      <c r="J686" s="15"/>
      <c r="K686" s="15" t="s">
        <v>9263</v>
      </c>
      <c r="L686" s="15" t="s">
        <v>119</v>
      </c>
      <c r="M686" s="15"/>
      <c r="N686" s="15" t="s">
        <v>114</v>
      </c>
      <c r="O686" s="15" t="s">
        <v>220</v>
      </c>
    </row>
    <row r="687">
      <c r="A687" s="18" t="s">
        <v>7498</v>
      </c>
      <c r="B687" s="15" t="s">
        <v>9264</v>
      </c>
      <c r="C687" s="37">
        <v>45827.0</v>
      </c>
      <c r="D687" s="37">
        <v>45827.0</v>
      </c>
      <c r="E687" s="38" t="s">
        <v>9265</v>
      </c>
      <c r="F687" s="38" t="s">
        <v>7580</v>
      </c>
      <c r="G687" s="39">
        <v>16446.0</v>
      </c>
      <c r="H687" s="40"/>
      <c r="I687" s="42">
        <v>757.0</v>
      </c>
      <c r="J687" s="15"/>
      <c r="K687" s="15"/>
      <c r="L687" s="15" t="s">
        <v>539</v>
      </c>
      <c r="M687" s="15"/>
      <c r="N687" s="38" t="s">
        <v>24</v>
      </c>
      <c r="O687" s="38" t="s">
        <v>60</v>
      </c>
    </row>
    <row r="688">
      <c r="A688" s="18" t="s">
        <v>7498</v>
      </c>
      <c r="B688" s="15" t="s">
        <v>9266</v>
      </c>
      <c r="C688" s="37">
        <v>45827.0</v>
      </c>
      <c r="D688" s="37">
        <v>45827.0</v>
      </c>
      <c r="E688" s="38" t="s">
        <v>9267</v>
      </c>
      <c r="F688" s="38" t="s">
        <v>7580</v>
      </c>
      <c r="G688" s="39">
        <v>16446.0</v>
      </c>
      <c r="H688" s="40"/>
      <c r="I688" s="42">
        <v>351.0</v>
      </c>
      <c r="J688" s="15"/>
      <c r="K688" s="15"/>
      <c r="L688" s="15" t="s">
        <v>127</v>
      </c>
      <c r="M688" s="38" t="s">
        <v>9268</v>
      </c>
      <c r="N688" s="38" t="s">
        <v>24</v>
      </c>
      <c r="O688" s="38" t="s">
        <v>60</v>
      </c>
    </row>
    <row r="689">
      <c r="A689" s="18" t="s">
        <v>7498</v>
      </c>
      <c r="B689" s="15" t="s">
        <v>9269</v>
      </c>
      <c r="C689" s="37">
        <v>45827.0</v>
      </c>
      <c r="D689" s="37">
        <v>45827.0</v>
      </c>
      <c r="E689" s="38" t="s">
        <v>9270</v>
      </c>
      <c r="F689" s="38" t="s">
        <v>7580</v>
      </c>
      <c r="G689" s="39">
        <v>16446.0</v>
      </c>
      <c r="H689" s="40"/>
      <c r="I689" s="42">
        <v>116.0</v>
      </c>
      <c r="J689" s="15"/>
      <c r="K689" s="15"/>
      <c r="L689" s="15" t="s">
        <v>539</v>
      </c>
      <c r="M689" s="15"/>
      <c r="N689" s="38" t="s">
        <v>24</v>
      </c>
      <c r="O689" s="38" t="s">
        <v>60</v>
      </c>
    </row>
    <row r="690">
      <c r="A690" s="18" t="s">
        <v>7498</v>
      </c>
      <c r="B690" s="15" t="s">
        <v>9271</v>
      </c>
      <c r="C690" s="37">
        <v>45827.0</v>
      </c>
      <c r="D690" s="37">
        <v>45827.0</v>
      </c>
      <c r="E690" s="38" t="s">
        <v>9272</v>
      </c>
      <c r="F690" s="38" t="s">
        <v>7580</v>
      </c>
      <c r="G690" s="39">
        <v>16446.0</v>
      </c>
      <c r="H690" s="40"/>
      <c r="I690" s="45">
        <v>1641.0</v>
      </c>
      <c r="J690" s="15"/>
      <c r="K690" s="15"/>
      <c r="L690" s="15" t="s">
        <v>539</v>
      </c>
      <c r="M690" s="15"/>
      <c r="N690" s="38" t="s">
        <v>24</v>
      </c>
      <c r="O690" s="38" t="s">
        <v>60</v>
      </c>
    </row>
    <row r="691">
      <c r="A691" s="18" t="s">
        <v>7498</v>
      </c>
      <c r="B691" s="15" t="s">
        <v>9273</v>
      </c>
      <c r="C691" s="37">
        <v>45827.0</v>
      </c>
      <c r="D691" s="37">
        <v>45827.0</v>
      </c>
      <c r="E691" s="38" t="s">
        <v>9274</v>
      </c>
      <c r="F691" s="38" t="s">
        <v>7580</v>
      </c>
      <c r="G691" s="39">
        <v>16446.0</v>
      </c>
      <c r="H691" s="40"/>
      <c r="I691" s="42">
        <v>299.0</v>
      </c>
      <c r="J691" s="15"/>
      <c r="K691" s="15"/>
      <c r="L691" s="15" t="s">
        <v>539</v>
      </c>
      <c r="M691" s="15"/>
      <c r="N691" s="38" t="s">
        <v>24</v>
      </c>
      <c r="O691" s="38" t="s">
        <v>60</v>
      </c>
    </row>
    <row r="692">
      <c r="A692" s="18" t="s">
        <v>7498</v>
      </c>
      <c r="B692" s="15" t="s">
        <v>9275</v>
      </c>
      <c r="C692" s="37">
        <v>45827.0</v>
      </c>
      <c r="D692" s="37">
        <v>45827.0</v>
      </c>
      <c r="E692" s="38" t="s">
        <v>9276</v>
      </c>
      <c r="F692" s="38" t="s">
        <v>7580</v>
      </c>
      <c r="G692" s="39">
        <v>16446.0</v>
      </c>
      <c r="H692" s="40"/>
      <c r="I692" s="42">
        <v>208.0</v>
      </c>
      <c r="J692" s="15"/>
      <c r="K692" s="15"/>
      <c r="L692" s="15" t="s">
        <v>539</v>
      </c>
      <c r="M692" s="15"/>
      <c r="N692" s="38" t="s">
        <v>24</v>
      </c>
      <c r="O692" s="38" t="s">
        <v>60</v>
      </c>
    </row>
    <row r="693">
      <c r="A693" s="18" t="s">
        <v>7498</v>
      </c>
      <c r="B693" s="15" t="s">
        <v>9277</v>
      </c>
      <c r="C693" s="37">
        <v>45828.0</v>
      </c>
      <c r="D693" s="37">
        <v>45828.0</v>
      </c>
      <c r="E693" s="38" t="s">
        <v>9278</v>
      </c>
      <c r="F693" s="38" t="s">
        <v>7666</v>
      </c>
      <c r="G693" s="39">
        <v>16446.0</v>
      </c>
      <c r="H693" s="45">
        <v>2000.0</v>
      </c>
      <c r="I693" s="40"/>
      <c r="J693" s="15"/>
      <c r="K693" s="15" t="s">
        <v>8839</v>
      </c>
      <c r="L693" s="15" t="s">
        <v>123</v>
      </c>
      <c r="M693" s="15"/>
      <c r="N693" s="15" t="s">
        <v>114</v>
      </c>
      <c r="O693" s="15" t="s">
        <v>169</v>
      </c>
    </row>
    <row r="694">
      <c r="A694" s="18" t="s">
        <v>7498</v>
      </c>
      <c r="B694" s="15" t="s">
        <v>9279</v>
      </c>
      <c r="C694" s="37">
        <v>45828.0</v>
      </c>
      <c r="D694" s="37">
        <v>45828.0</v>
      </c>
      <c r="E694" s="38" t="s">
        <v>9280</v>
      </c>
      <c r="F694" s="38" t="s">
        <v>7501</v>
      </c>
      <c r="G694" s="39">
        <v>4292.0</v>
      </c>
      <c r="H694" s="42">
        <v>922.21</v>
      </c>
      <c r="I694" s="40"/>
      <c r="J694" s="15"/>
      <c r="K694" s="15" t="s">
        <v>9281</v>
      </c>
      <c r="L694" s="15" t="s">
        <v>119</v>
      </c>
      <c r="M694" s="15"/>
      <c r="N694" s="15" t="s">
        <v>114</v>
      </c>
      <c r="O694" s="15" t="s">
        <v>275</v>
      </c>
    </row>
    <row r="695">
      <c r="A695" s="18" t="s">
        <v>7498</v>
      </c>
      <c r="B695" s="15" t="s">
        <v>9282</v>
      </c>
      <c r="C695" s="37">
        <v>45828.0</v>
      </c>
      <c r="D695" s="37">
        <v>45828.0</v>
      </c>
      <c r="E695" s="38" t="s">
        <v>9283</v>
      </c>
      <c r="F695" s="38" t="s">
        <v>7501</v>
      </c>
      <c r="G695" s="39">
        <v>4292.0</v>
      </c>
      <c r="H695" s="45">
        <v>1605.85</v>
      </c>
      <c r="I695" s="40"/>
      <c r="J695" s="15"/>
      <c r="K695" s="15" t="s">
        <v>9284</v>
      </c>
      <c r="L695" s="15" t="s">
        <v>127</v>
      </c>
      <c r="M695" s="15"/>
      <c r="N695" s="15" t="s">
        <v>114</v>
      </c>
      <c r="O695" s="15" t="s">
        <v>275</v>
      </c>
    </row>
    <row r="696">
      <c r="A696" s="18" t="s">
        <v>7498</v>
      </c>
      <c r="B696" s="15" t="s">
        <v>9285</v>
      </c>
      <c r="C696" s="37">
        <v>45828.0</v>
      </c>
      <c r="D696" s="37">
        <v>45828.0</v>
      </c>
      <c r="E696" s="38" t="s">
        <v>9286</v>
      </c>
      <c r="F696" s="38" t="s">
        <v>7508</v>
      </c>
      <c r="G696" s="39">
        <v>16446.0</v>
      </c>
      <c r="H696" s="40"/>
      <c r="I696" s="42">
        <v>299.0</v>
      </c>
      <c r="J696" s="15"/>
      <c r="K696" s="15"/>
      <c r="L696" s="15" t="s">
        <v>127</v>
      </c>
      <c r="M696" s="38" t="s">
        <v>9287</v>
      </c>
      <c r="N696" s="38" t="s">
        <v>24</v>
      </c>
      <c r="O696" s="38" t="s">
        <v>60</v>
      </c>
    </row>
    <row r="697">
      <c r="A697" s="18" t="s">
        <v>7498</v>
      </c>
      <c r="B697" s="15" t="s">
        <v>9288</v>
      </c>
      <c r="C697" s="37">
        <v>45828.0</v>
      </c>
      <c r="D697" s="37">
        <v>45828.0</v>
      </c>
      <c r="E697" s="38" t="s">
        <v>9289</v>
      </c>
      <c r="F697" s="38" t="s">
        <v>7508</v>
      </c>
      <c r="G697" s="39">
        <v>16446.0</v>
      </c>
      <c r="H697" s="40"/>
      <c r="I697" s="42">
        <v>263.0</v>
      </c>
      <c r="J697" s="15"/>
      <c r="K697" s="15"/>
      <c r="L697" s="15" t="s">
        <v>127</v>
      </c>
      <c r="M697" s="38" t="s">
        <v>9290</v>
      </c>
      <c r="N697" s="38" t="s">
        <v>24</v>
      </c>
      <c r="O697" s="38" t="s">
        <v>60</v>
      </c>
    </row>
    <row r="698">
      <c r="A698" s="18" t="s">
        <v>7498</v>
      </c>
      <c r="B698" s="15" t="s">
        <v>9291</v>
      </c>
      <c r="C698" s="37">
        <v>45828.0</v>
      </c>
      <c r="D698" s="37">
        <v>45828.0</v>
      </c>
      <c r="E698" s="38" t="s">
        <v>9292</v>
      </c>
      <c r="F698" s="38" t="s">
        <v>7508</v>
      </c>
      <c r="G698" s="39">
        <v>16446.0</v>
      </c>
      <c r="H698" s="40"/>
      <c r="I698" s="42">
        <v>712.0</v>
      </c>
      <c r="J698" s="15"/>
      <c r="K698" s="15"/>
      <c r="L698" s="15" t="s">
        <v>539</v>
      </c>
      <c r="M698" s="15"/>
      <c r="N698" s="38" t="s">
        <v>24</v>
      </c>
      <c r="O698" s="38" t="s">
        <v>60</v>
      </c>
    </row>
    <row r="699">
      <c r="A699" s="18" t="s">
        <v>7498</v>
      </c>
      <c r="B699" s="15" t="s">
        <v>9293</v>
      </c>
      <c r="C699" s="37">
        <v>45828.0</v>
      </c>
      <c r="D699" s="37">
        <v>45828.0</v>
      </c>
      <c r="E699" s="38" t="s">
        <v>9294</v>
      </c>
      <c r="F699" s="38" t="s">
        <v>7508</v>
      </c>
      <c r="G699" s="39">
        <v>16446.0</v>
      </c>
      <c r="H699" s="40"/>
      <c r="I699" s="42">
        <v>449.0</v>
      </c>
      <c r="J699" s="15"/>
      <c r="K699" s="15"/>
      <c r="L699" s="15" t="s">
        <v>539</v>
      </c>
      <c r="M699" s="15"/>
      <c r="N699" s="38" t="s">
        <v>24</v>
      </c>
      <c r="O699" s="38" t="s">
        <v>60</v>
      </c>
    </row>
    <row r="700">
      <c r="A700" s="18" t="s">
        <v>7498</v>
      </c>
      <c r="B700" s="15" t="s">
        <v>9295</v>
      </c>
      <c r="C700" s="37">
        <v>45828.0</v>
      </c>
      <c r="D700" s="37">
        <v>45828.0</v>
      </c>
      <c r="E700" s="38" t="s">
        <v>9296</v>
      </c>
      <c r="F700" s="38" t="s">
        <v>9297</v>
      </c>
      <c r="G700" s="39">
        <v>99922.0</v>
      </c>
      <c r="H700" s="45">
        <v>3000.0</v>
      </c>
      <c r="I700" s="40"/>
      <c r="J700" s="15"/>
      <c r="K700" s="15" t="s">
        <v>9298</v>
      </c>
      <c r="L700" s="15" t="s">
        <v>127</v>
      </c>
      <c r="M700" s="15"/>
      <c r="N700" s="15" t="s">
        <v>114</v>
      </c>
      <c r="O700" s="15" t="s">
        <v>169</v>
      </c>
    </row>
    <row r="701">
      <c r="A701" s="18" t="s">
        <v>7498</v>
      </c>
      <c r="B701" s="15" t="s">
        <v>9299</v>
      </c>
      <c r="C701" s="37">
        <v>45829.0</v>
      </c>
      <c r="D701" s="37">
        <v>45829.0</v>
      </c>
      <c r="E701" s="38" t="s">
        <v>9300</v>
      </c>
      <c r="F701" s="38" t="s">
        <v>7534</v>
      </c>
      <c r="G701" s="39">
        <v>16446.0</v>
      </c>
      <c r="H701" s="40"/>
      <c r="I701" s="42">
        <v>50.0</v>
      </c>
      <c r="J701" s="15"/>
      <c r="K701" s="15"/>
      <c r="L701" s="15" t="s">
        <v>539</v>
      </c>
      <c r="M701" s="15"/>
      <c r="N701" s="38" t="s">
        <v>24</v>
      </c>
      <c r="O701" s="38" t="s">
        <v>60</v>
      </c>
    </row>
    <row r="702">
      <c r="A702" s="18" t="s">
        <v>7498</v>
      </c>
      <c r="B702" s="15" t="s">
        <v>9301</v>
      </c>
      <c r="C702" s="37">
        <v>45829.0</v>
      </c>
      <c r="D702" s="37">
        <v>45829.0</v>
      </c>
      <c r="E702" s="38" t="s">
        <v>9302</v>
      </c>
      <c r="F702" s="38" t="s">
        <v>7534</v>
      </c>
      <c r="G702" s="39">
        <v>16446.0</v>
      </c>
      <c r="H702" s="40"/>
      <c r="I702" s="42">
        <v>975.0</v>
      </c>
      <c r="J702" s="15"/>
      <c r="K702" s="15"/>
      <c r="L702" s="15" t="s">
        <v>127</v>
      </c>
      <c r="M702" s="38" t="s">
        <v>9303</v>
      </c>
      <c r="N702" s="38" t="s">
        <v>24</v>
      </c>
      <c r="O702" s="38" t="s">
        <v>60</v>
      </c>
    </row>
    <row r="703">
      <c r="A703" s="18" t="s">
        <v>7498</v>
      </c>
      <c r="B703" s="15" t="s">
        <v>9304</v>
      </c>
      <c r="C703" s="37">
        <v>45830.0</v>
      </c>
      <c r="D703" s="37">
        <v>45830.0</v>
      </c>
      <c r="E703" s="38" t="s">
        <v>9305</v>
      </c>
      <c r="F703" s="38" t="s">
        <v>7567</v>
      </c>
      <c r="G703" s="39">
        <v>16446.0</v>
      </c>
      <c r="H703" s="40"/>
      <c r="I703" s="45">
        <v>2000.0</v>
      </c>
      <c r="J703" s="15"/>
      <c r="K703" s="15"/>
      <c r="L703" s="15" t="s">
        <v>539</v>
      </c>
      <c r="M703" s="15"/>
      <c r="N703" s="38" t="s">
        <v>24</v>
      </c>
      <c r="O703" s="38" t="s">
        <v>60</v>
      </c>
    </row>
    <row r="704">
      <c r="A704" s="18" t="s">
        <v>7498</v>
      </c>
      <c r="B704" s="15" t="s">
        <v>9306</v>
      </c>
      <c r="C704" s="37">
        <v>45830.0</v>
      </c>
      <c r="D704" s="37">
        <v>45830.0</v>
      </c>
      <c r="E704" s="38" t="s">
        <v>9307</v>
      </c>
      <c r="F704" s="38" t="s">
        <v>7567</v>
      </c>
      <c r="G704" s="39">
        <v>16446.0</v>
      </c>
      <c r="H704" s="40"/>
      <c r="I704" s="45">
        <v>2000.0</v>
      </c>
      <c r="J704" s="15"/>
      <c r="K704" s="15"/>
      <c r="L704" s="15" t="s">
        <v>539</v>
      </c>
      <c r="M704" s="15"/>
      <c r="N704" s="38" t="s">
        <v>24</v>
      </c>
      <c r="O704" s="38" t="s">
        <v>60</v>
      </c>
    </row>
    <row r="705">
      <c r="A705" s="18" t="s">
        <v>7498</v>
      </c>
      <c r="B705" s="15" t="s">
        <v>9308</v>
      </c>
      <c r="C705" s="37">
        <v>45830.0</v>
      </c>
      <c r="D705" s="37">
        <v>45830.0</v>
      </c>
      <c r="E705" s="38" t="s">
        <v>9309</v>
      </c>
      <c r="F705" s="38" t="s">
        <v>7567</v>
      </c>
      <c r="G705" s="39">
        <v>16446.0</v>
      </c>
      <c r="H705" s="40"/>
      <c r="I705" s="45">
        <v>2000.0</v>
      </c>
      <c r="J705" s="15"/>
      <c r="K705" s="15"/>
      <c r="L705" s="15" t="s">
        <v>539</v>
      </c>
      <c r="M705" s="15"/>
      <c r="N705" s="38" t="s">
        <v>24</v>
      </c>
      <c r="O705" s="38" t="s">
        <v>60</v>
      </c>
    </row>
    <row r="706">
      <c r="A706" s="18" t="s">
        <v>7498</v>
      </c>
      <c r="B706" s="15" t="s">
        <v>9310</v>
      </c>
      <c r="C706" s="37">
        <v>45830.0</v>
      </c>
      <c r="D706" s="37">
        <v>45830.0</v>
      </c>
      <c r="E706" s="38" t="s">
        <v>9311</v>
      </c>
      <c r="F706" s="38" t="s">
        <v>7567</v>
      </c>
      <c r="G706" s="39">
        <v>16446.0</v>
      </c>
      <c r="H706" s="40"/>
      <c r="I706" s="42">
        <v>148.5</v>
      </c>
      <c r="J706" s="15"/>
      <c r="K706" s="15"/>
      <c r="L706" s="15" t="s">
        <v>113</v>
      </c>
      <c r="M706" s="15" t="s">
        <v>9312</v>
      </c>
      <c r="N706" s="38" t="s">
        <v>24</v>
      </c>
      <c r="O706" s="38" t="s">
        <v>60</v>
      </c>
    </row>
    <row r="707">
      <c r="A707" s="18" t="s">
        <v>7498</v>
      </c>
      <c r="B707" s="15" t="s">
        <v>9313</v>
      </c>
      <c r="C707" s="37">
        <v>45830.0</v>
      </c>
      <c r="D707" s="37">
        <v>45830.0</v>
      </c>
      <c r="E707" s="38" t="s">
        <v>9314</v>
      </c>
      <c r="F707" s="38" t="s">
        <v>7567</v>
      </c>
      <c r="G707" s="39">
        <v>16446.0</v>
      </c>
      <c r="H707" s="40"/>
      <c r="I707" s="42">
        <v>877.0</v>
      </c>
      <c r="J707" s="15"/>
      <c r="K707" s="15"/>
      <c r="L707" s="15" t="s">
        <v>539</v>
      </c>
      <c r="M707" s="15"/>
      <c r="N707" s="38" t="s">
        <v>24</v>
      </c>
      <c r="O707" s="38" t="s">
        <v>60</v>
      </c>
    </row>
    <row r="708">
      <c r="A708" s="18" t="s">
        <v>7498</v>
      </c>
      <c r="B708" s="15" t="s">
        <v>9315</v>
      </c>
      <c r="C708" s="37">
        <v>45830.0</v>
      </c>
      <c r="D708" s="37">
        <v>45830.0</v>
      </c>
      <c r="E708" s="38" t="s">
        <v>9316</v>
      </c>
      <c r="F708" s="38" t="s">
        <v>7567</v>
      </c>
      <c r="G708" s="39">
        <v>16446.0</v>
      </c>
      <c r="H708" s="40"/>
      <c r="I708" s="42">
        <v>776.0</v>
      </c>
      <c r="J708" s="15"/>
      <c r="K708" s="15"/>
      <c r="L708" s="15" t="s">
        <v>539</v>
      </c>
      <c r="M708" s="15"/>
      <c r="N708" s="38" t="s">
        <v>24</v>
      </c>
      <c r="O708" s="38" t="s">
        <v>60</v>
      </c>
    </row>
    <row r="709">
      <c r="A709" s="18" t="s">
        <v>7498</v>
      </c>
      <c r="B709" s="15" t="s">
        <v>9317</v>
      </c>
      <c r="C709" s="37">
        <v>45830.0</v>
      </c>
      <c r="D709" s="37">
        <v>45830.0</v>
      </c>
      <c r="E709" s="38" t="s">
        <v>9318</v>
      </c>
      <c r="F709" s="38" t="s">
        <v>7567</v>
      </c>
      <c r="G709" s="39">
        <v>16446.0</v>
      </c>
      <c r="H709" s="40"/>
      <c r="I709" s="45">
        <v>2471.0</v>
      </c>
      <c r="J709" s="15"/>
      <c r="K709" s="15" t="s">
        <v>9319</v>
      </c>
      <c r="L709" s="15" t="s">
        <v>127</v>
      </c>
      <c r="M709" s="38" t="s">
        <v>9320</v>
      </c>
      <c r="N709" s="38" t="s">
        <v>24</v>
      </c>
      <c r="O709" s="38" t="s">
        <v>60</v>
      </c>
    </row>
    <row r="710">
      <c r="A710" s="18" t="s">
        <v>7498</v>
      </c>
      <c r="B710" s="15" t="s">
        <v>9321</v>
      </c>
      <c r="C710" s="37">
        <v>45830.0</v>
      </c>
      <c r="D710" s="37">
        <v>45830.0</v>
      </c>
      <c r="E710" s="38" t="s">
        <v>9322</v>
      </c>
      <c r="F710" s="38" t="s">
        <v>7567</v>
      </c>
      <c r="G710" s="39">
        <v>16446.0</v>
      </c>
      <c r="H710" s="40"/>
      <c r="I710" s="42">
        <v>560.0</v>
      </c>
      <c r="J710" s="15"/>
      <c r="K710" s="15"/>
      <c r="L710" s="15" t="s">
        <v>539</v>
      </c>
      <c r="M710" s="15"/>
      <c r="N710" s="38" t="s">
        <v>24</v>
      </c>
      <c r="O710" s="38" t="s">
        <v>60</v>
      </c>
    </row>
    <row r="711">
      <c r="A711" s="18" t="s">
        <v>7498</v>
      </c>
      <c r="B711" s="15" t="s">
        <v>9323</v>
      </c>
      <c r="C711" s="37">
        <v>45830.0</v>
      </c>
      <c r="D711" s="37">
        <v>45830.0</v>
      </c>
      <c r="E711" s="38" t="s">
        <v>9324</v>
      </c>
      <c r="F711" s="38" t="s">
        <v>7567</v>
      </c>
      <c r="G711" s="39">
        <v>16446.0</v>
      </c>
      <c r="H711" s="40"/>
      <c r="I711" s="42">
        <v>400.0</v>
      </c>
      <c r="J711" s="15"/>
      <c r="K711" s="15"/>
      <c r="L711" s="15" t="s">
        <v>127</v>
      </c>
      <c r="M711" s="38" t="s">
        <v>9325</v>
      </c>
      <c r="N711" s="38" t="s">
        <v>24</v>
      </c>
      <c r="O711" s="38" t="s">
        <v>60</v>
      </c>
    </row>
    <row r="712">
      <c r="A712" s="18" t="s">
        <v>7498</v>
      </c>
      <c r="B712" s="15" t="s">
        <v>9326</v>
      </c>
      <c r="C712" s="37">
        <v>45830.0</v>
      </c>
      <c r="D712" s="37">
        <v>45830.0</v>
      </c>
      <c r="E712" s="38" t="s">
        <v>9327</v>
      </c>
      <c r="F712" s="38" t="s">
        <v>7567</v>
      </c>
      <c r="G712" s="39">
        <v>16446.0</v>
      </c>
      <c r="H712" s="40"/>
      <c r="I712" s="42">
        <v>320.0</v>
      </c>
      <c r="J712" s="15"/>
      <c r="K712" s="15"/>
      <c r="L712" s="15" t="s">
        <v>127</v>
      </c>
      <c r="M712" s="38" t="s">
        <v>9328</v>
      </c>
      <c r="N712" s="38" t="s">
        <v>24</v>
      </c>
      <c r="O712" s="38" t="s">
        <v>60</v>
      </c>
    </row>
    <row r="713">
      <c r="A713" s="18" t="s">
        <v>7498</v>
      </c>
      <c r="B713" s="15" t="s">
        <v>9329</v>
      </c>
      <c r="C713" s="37">
        <v>45830.0</v>
      </c>
      <c r="D713" s="37">
        <v>45830.0</v>
      </c>
      <c r="E713" s="38" t="s">
        <v>9330</v>
      </c>
      <c r="F713" s="38" t="s">
        <v>7567</v>
      </c>
      <c r="G713" s="39">
        <v>16446.0</v>
      </c>
      <c r="H713" s="40"/>
      <c r="I713" s="42">
        <v>674.0</v>
      </c>
      <c r="J713" s="15"/>
      <c r="K713" s="15"/>
      <c r="L713" s="15" t="s">
        <v>539</v>
      </c>
      <c r="M713" s="15"/>
      <c r="N713" s="38" t="s">
        <v>24</v>
      </c>
      <c r="O713" s="38" t="s">
        <v>60</v>
      </c>
    </row>
    <row r="714">
      <c r="A714" s="18" t="s">
        <v>7498</v>
      </c>
      <c r="B714" s="15" t="s">
        <v>9331</v>
      </c>
      <c r="C714" s="37">
        <v>45830.0</v>
      </c>
      <c r="D714" s="37">
        <v>45830.0</v>
      </c>
      <c r="E714" s="38" t="s">
        <v>9332</v>
      </c>
      <c r="F714" s="38" t="s">
        <v>7567</v>
      </c>
      <c r="G714" s="39">
        <v>16446.0</v>
      </c>
      <c r="H714" s="40"/>
      <c r="I714" s="42">
        <v>634.0</v>
      </c>
      <c r="J714" s="15"/>
      <c r="K714" s="15"/>
      <c r="L714" s="15" t="s">
        <v>539</v>
      </c>
      <c r="M714" s="15"/>
      <c r="N714" s="38" t="s">
        <v>24</v>
      </c>
      <c r="O714" s="38" t="s">
        <v>60</v>
      </c>
    </row>
    <row r="715">
      <c r="A715" s="18" t="s">
        <v>7498</v>
      </c>
      <c r="B715" s="15" t="s">
        <v>9333</v>
      </c>
      <c r="C715" s="37">
        <v>45830.0</v>
      </c>
      <c r="D715" s="37">
        <v>45830.0</v>
      </c>
      <c r="E715" s="38" t="s">
        <v>9334</v>
      </c>
      <c r="F715" s="38" t="s">
        <v>7567</v>
      </c>
      <c r="G715" s="39">
        <v>16446.0</v>
      </c>
      <c r="H715" s="40"/>
      <c r="I715" s="42">
        <v>270.0</v>
      </c>
      <c r="J715" s="15"/>
      <c r="K715" s="15"/>
      <c r="L715" s="15" t="s">
        <v>127</v>
      </c>
      <c r="M715" s="38" t="s">
        <v>9335</v>
      </c>
      <c r="N715" s="38" t="s">
        <v>24</v>
      </c>
      <c r="O715" s="38" t="s">
        <v>60</v>
      </c>
    </row>
    <row r="716">
      <c r="A716" s="18" t="s">
        <v>7498</v>
      </c>
      <c r="B716" s="15" t="s">
        <v>9336</v>
      </c>
      <c r="C716" s="37">
        <v>45830.0</v>
      </c>
      <c r="D716" s="37">
        <v>45830.0</v>
      </c>
      <c r="E716" s="38" t="s">
        <v>9337</v>
      </c>
      <c r="F716" s="38" t="s">
        <v>7567</v>
      </c>
      <c r="G716" s="39">
        <v>16446.0</v>
      </c>
      <c r="H716" s="40"/>
      <c r="I716" s="42">
        <v>322.0</v>
      </c>
      <c r="J716" s="15"/>
      <c r="K716" s="15"/>
      <c r="L716" s="15" t="s">
        <v>539</v>
      </c>
      <c r="M716" s="15"/>
      <c r="N716" s="38" t="s">
        <v>24</v>
      </c>
      <c r="O716" s="38" t="s">
        <v>60</v>
      </c>
    </row>
    <row r="717">
      <c r="A717" s="18" t="s">
        <v>7498</v>
      </c>
      <c r="B717" s="15" t="s">
        <v>9338</v>
      </c>
      <c r="C717" s="37">
        <v>45830.0</v>
      </c>
      <c r="D717" s="37">
        <v>45830.0</v>
      </c>
      <c r="E717" s="38" t="s">
        <v>9339</v>
      </c>
      <c r="F717" s="38" t="s">
        <v>7567</v>
      </c>
      <c r="G717" s="39">
        <v>16446.0</v>
      </c>
      <c r="H717" s="40"/>
      <c r="I717" s="42">
        <v>798.0</v>
      </c>
      <c r="J717" s="15"/>
      <c r="K717" s="15"/>
      <c r="L717" s="15" t="s">
        <v>119</v>
      </c>
      <c r="M717" s="38" t="s">
        <v>9230</v>
      </c>
      <c r="N717" s="38" t="s">
        <v>24</v>
      </c>
      <c r="O717" s="38" t="s">
        <v>60</v>
      </c>
    </row>
    <row r="718">
      <c r="A718" s="18" t="s">
        <v>7498</v>
      </c>
      <c r="B718" s="15" t="s">
        <v>9340</v>
      </c>
      <c r="C718" s="37">
        <v>45830.0</v>
      </c>
      <c r="D718" s="37">
        <v>45830.0</v>
      </c>
      <c r="E718" s="38" t="s">
        <v>9341</v>
      </c>
      <c r="F718" s="38" t="s">
        <v>7567</v>
      </c>
      <c r="G718" s="39">
        <v>16446.0</v>
      </c>
      <c r="H718" s="40"/>
      <c r="I718" s="42">
        <v>824.0</v>
      </c>
      <c r="J718" s="15"/>
      <c r="K718" s="15"/>
      <c r="L718" s="15" t="s">
        <v>119</v>
      </c>
      <c r="M718" s="38" t="s">
        <v>9342</v>
      </c>
      <c r="N718" s="38" t="s">
        <v>24</v>
      </c>
      <c r="O718" s="38" t="s">
        <v>60</v>
      </c>
    </row>
    <row r="719">
      <c r="A719" s="18" t="s">
        <v>7498</v>
      </c>
      <c r="B719" s="15" t="s">
        <v>9343</v>
      </c>
      <c r="C719" s="37">
        <v>45831.0</v>
      </c>
      <c r="D719" s="37">
        <v>45831.0</v>
      </c>
      <c r="E719" s="38" t="s">
        <v>9344</v>
      </c>
      <c r="F719" s="38" t="s">
        <v>7537</v>
      </c>
      <c r="G719" s="39">
        <v>16446.0</v>
      </c>
      <c r="H719" s="40"/>
      <c r="I719" s="45">
        <v>2000.0</v>
      </c>
      <c r="J719" s="15"/>
      <c r="K719" s="15"/>
      <c r="L719" s="15" t="s">
        <v>127</v>
      </c>
      <c r="M719" s="38" t="s">
        <v>1909</v>
      </c>
      <c r="N719" s="38" t="s">
        <v>24</v>
      </c>
      <c r="O719" s="38" t="s">
        <v>60</v>
      </c>
    </row>
    <row r="720">
      <c r="A720" s="18" t="s">
        <v>7498</v>
      </c>
      <c r="B720" s="15" t="s">
        <v>9345</v>
      </c>
      <c r="C720" s="37">
        <v>45831.0</v>
      </c>
      <c r="D720" s="37">
        <v>45831.0</v>
      </c>
      <c r="E720" s="38" t="s">
        <v>9346</v>
      </c>
      <c r="F720" s="38" t="s">
        <v>7537</v>
      </c>
      <c r="G720" s="39">
        <v>16446.0</v>
      </c>
      <c r="H720" s="40"/>
      <c r="I720" s="42">
        <v>220.0</v>
      </c>
      <c r="J720" s="15"/>
      <c r="K720" s="15"/>
      <c r="L720" s="15" t="s">
        <v>127</v>
      </c>
      <c r="M720" s="38" t="s">
        <v>1909</v>
      </c>
      <c r="N720" s="38" t="s">
        <v>24</v>
      </c>
      <c r="O720" s="38" t="s">
        <v>60</v>
      </c>
    </row>
    <row r="721">
      <c r="A721" s="18" t="s">
        <v>7498</v>
      </c>
      <c r="B721" s="15" t="s">
        <v>9347</v>
      </c>
      <c r="C721" s="37">
        <v>45831.0</v>
      </c>
      <c r="D721" s="37">
        <v>45831.0</v>
      </c>
      <c r="E721" s="38" t="s">
        <v>9348</v>
      </c>
      <c r="F721" s="38" t="s">
        <v>7537</v>
      </c>
      <c r="G721" s="39">
        <v>16446.0</v>
      </c>
      <c r="H721" s="40"/>
      <c r="I721" s="42">
        <v>975.0</v>
      </c>
      <c r="J721" s="15"/>
      <c r="K721" s="15"/>
      <c r="L721" s="15" t="s">
        <v>127</v>
      </c>
      <c r="M721" s="38" t="s">
        <v>9349</v>
      </c>
      <c r="N721" s="38" t="s">
        <v>24</v>
      </c>
      <c r="O721" s="38" t="s">
        <v>60</v>
      </c>
    </row>
    <row r="722">
      <c r="A722" s="18" t="s">
        <v>7498</v>
      </c>
      <c r="B722" s="15" t="s">
        <v>9350</v>
      </c>
      <c r="C722" s="37">
        <v>45831.0</v>
      </c>
      <c r="D722" s="37">
        <v>45831.0</v>
      </c>
      <c r="E722" s="38" t="s">
        <v>9351</v>
      </c>
      <c r="F722" s="38" t="s">
        <v>7537</v>
      </c>
      <c r="G722" s="39">
        <v>16446.0</v>
      </c>
      <c r="H722" s="40"/>
      <c r="I722" s="42">
        <v>555.0</v>
      </c>
      <c r="J722" s="15"/>
      <c r="K722" s="15"/>
      <c r="L722" s="15" t="s">
        <v>127</v>
      </c>
      <c r="M722" s="38" t="s">
        <v>9352</v>
      </c>
      <c r="N722" s="38" t="s">
        <v>24</v>
      </c>
      <c r="O722" s="38" t="s">
        <v>60</v>
      </c>
    </row>
    <row r="723">
      <c r="A723" s="18" t="s">
        <v>7498</v>
      </c>
      <c r="B723" s="15" t="s">
        <v>9353</v>
      </c>
      <c r="C723" s="37">
        <v>45831.0</v>
      </c>
      <c r="D723" s="37">
        <v>45831.0</v>
      </c>
      <c r="E723" s="38" t="s">
        <v>9354</v>
      </c>
      <c r="F723" s="38" t="s">
        <v>7537</v>
      </c>
      <c r="G723" s="39">
        <v>16446.0</v>
      </c>
      <c r="H723" s="40"/>
      <c r="I723" s="42">
        <v>334.0</v>
      </c>
      <c r="J723" s="15"/>
      <c r="K723" s="15"/>
      <c r="L723" s="15" t="s">
        <v>539</v>
      </c>
      <c r="M723" s="15"/>
      <c r="N723" s="38" t="s">
        <v>24</v>
      </c>
      <c r="O723" s="38" t="s">
        <v>60</v>
      </c>
    </row>
    <row r="724">
      <c r="A724" s="18" t="s">
        <v>7498</v>
      </c>
      <c r="B724" s="15" t="s">
        <v>9355</v>
      </c>
      <c r="C724" s="37">
        <v>45831.0</v>
      </c>
      <c r="D724" s="37">
        <v>45831.0</v>
      </c>
      <c r="E724" s="38" t="s">
        <v>9356</v>
      </c>
      <c r="F724" s="38" t="s">
        <v>7537</v>
      </c>
      <c r="G724" s="39">
        <v>16446.0</v>
      </c>
      <c r="H724" s="40"/>
      <c r="I724" s="42">
        <v>426.0</v>
      </c>
      <c r="J724" s="15"/>
      <c r="K724" s="15"/>
      <c r="L724" s="15" t="s">
        <v>539</v>
      </c>
      <c r="M724" s="15"/>
      <c r="N724" s="38" t="s">
        <v>24</v>
      </c>
      <c r="O724" s="38" t="s">
        <v>60</v>
      </c>
    </row>
    <row r="725">
      <c r="A725" s="18" t="s">
        <v>7498</v>
      </c>
      <c r="B725" s="15" t="s">
        <v>9357</v>
      </c>
      <c r="C725" s="37">
        <v>45831.0</v>
      </c>
      <c r="D725" s="37">
        <v>45831.0</v>
      </c>
      <c r="E725" s="38" t="s">
        <v>9358</v>
      </c>
      <c r="F725" s="38" t="s">
        <v>7537</v>
      </c>
      <c r="G725" s="39">
        <v>16446.0</v>
      </c>
      <c r="H725" s="40"/>
      <c r="I725" s="42">
        <v>745.0</v>
      </c>
      <c r="J725" s="15"/>
      <c r="K725" s="15"/>
      <c r="L725" s="15" t="s">
        <v>539</v>
      </c>
      <c r="M725" s="15"/>
      <c r="N725" s="38" t="s">
        <v>24</v>
      </c>
      <c r="O725" s="38" t="s">
        <v>60</v>
      </c>
    </row>
    <row r="726">
      <c r="A726" s="18" t="s">
        <v>7498</v>
      </c>
      <c r="B726" s="15" t="s">
        <v>9359</v>
      </c>
      <c r="C726" s="37">
        <v>45831.0</v>
      </c>
      <c r="D726" s="37">
        <v>45831.0</v>
      </c>
      <c r="E726" s="38" t="s">
        <v>9360</v>
      </c>
      <c r="F726" s="38" t="s">
        <v>7537</v>
      </c>
      <c r="G726" s="39">
        <v>16446.0</v>
      </c>
      <c r="H726" s="40"/>
      <c r="I726" s="45">
        <v>1629.0</v>
      </c>
      <c r="J726" s="15"/>
      <c r="K726" s="15"/>
      <c r="L726" s="15" t="s">
        <v>127</v>
      </c>
      <c r="M726" s="38" t="s">
        <v>9352</v>
      </c>
      <c r="N726" s="38" t="s">
        <v>24</v>
      </c>
      <c r="O726" s="38" t="s">
        <v>60</v>
      </c>
    </row>
    <row r="727">
      <c r="A727" s="18" t="s">
        <v>7498</v>
      </c>
      <c r="B727" s="15" t="s">
        <v>9361</v>
      </c>
      <c r="C727" s="37">
        <v>45831.0</v>
      </c>
      <c r="D727" s="37">
        <v>45831.0</v>
      </c>
      <c r="E727" s="38" t="s">
        <v>9362</v>
      </c>
      <c r="F727" s="38" t="s">
        <v>7537</v>
      </c>
      <c r="G727" s="39">
        <v>16446.0</v>
      </c>
      <c r="H727" s="40"/>
      <c r="I727" s="42">
        <v>385.0</v>
      </c>
      <c r="J727" s="15"/>
      <c r="K727" s="15"/>
      <c r="L727" s="15" t="s">
        <v>127</v>
      </c>
      <c r="M727" s="38" t="s">
        <v>9363</v>
      </c>
      <c r="N727" s="38" t="s">
        <v>24</v>
      </c>
      <c r="O727" s="38" t="s">
        <v>60</v>
      </c>
    </row>
    <row r="728">
      <c r="A728" s="18" t="s">
        <v>7498</v>
      </c>
      <c r="B728" s="15" t="s">
        <v>9364</v>
      </c>
      <c r="C728" s="37">
        <v>45832.0</v>
      </c>
      <c r="D728" s="37">
        <v>45832.0</v>
      </c>
      <c r="E728" s="38" t="s">
        <v>9365</v>
      </c>
      <c r="F728" s="38" t="s">
        <v>7544</v>
      </c>
      <c r="G728" s="39">
        <v>16446.0</v>
      </c>
      <c r="H728" s="40"/>
      <c r="I728" s="42">
        <v>896.0</v>
      </c>
      <c r="J728" s="15"/>
      <c r="K728" s="15"/>
      <c r="L728" s="15" t="s">
        <v>127</v>
      </c>
      <c r="M728" s="15"/>
      <c r="N728" s="38" t="s">
        <v>24</v>
      </c>
      <c r="O728" s="38" t="s">
        <v>60</v>
      </c>
    </row>
    <row r="729">
      <c r="A729" s="18" t="s">
        <v>7498</v>
      </c>
      <c r="B729" s="15" t="s">
        <v>9366</v>
      </c>
      <c r="C729" s="37">
        <v>45832.0</v>
      </c>
      <c r="D729" s="37">
        <v>45832.0</v>
      </c>
      <c r="E729" s="38" t="s">
        <v>9367</v>
      </c>
      <c r="F729" s="38" t="s">
        <v>7544</v>
      </c>
      <c r="G729" s="39">
        <v>16446.0</v>
      </c>
      <c r="H729" s="40"/>
      <c r="I729" s="42">
        <v>750.0</v>
      </c>
      <c r="J729" s="15"/>
      <c r="K729" s="15"/>
      <c r="L729" s="15" t="s">
        <v>127</v>
      </c>
      <c r="M729" s="38" t="s">
        <v>9368</v>
      </c>
      <c r="N729" s="38" t="s">
        <v>24</v>
      </c>
      <c r="O729" s="38" t="s">
        <v>60</v>
      </c>
    </row>
    <row r="730">
      <c r="A730" s="18" t="s">
        <v>7498</v>
      </c>
      <c r="B730" s="15" t="s">
        <v>9369</v>
      </c>
      <c r="C730" s="37">
        <v>45832.0</v>
      </c>
      <c r="D730" s="37">
        <v>45832.0</v>
      </c>
      <c r="E730" s="38" t="s">
        <v>9370</v>
      </c>
      <c r="F730" s="38" t="s">
        <v>7544</v>
      </c>
      <c r="G730" s="39">
        <v>16446.0</v>
      </c>
      <c r="H730" s="40"/>
      <c r="I730" s="45">
        <v>1700.0</v>
      </c>
      <c r="J730" s="15"/>
      <c r="K730" s="15"/>
      <c r="L730" s="15" t="s">
        <v>127</v>
      </c>
      <c r="M730" s="38" t="s">
        <v>9371</v>
      </c>
      <c r="N730" s="38" t="s">
        <v>24</v>
      </c>
      <c r="O730" s="38" t="s">
        <v>60</v>
      </c>
    </row>
    <row r="731">
      <c r="A731" s="18" t="s">
        <v>7498</v>
      </c>
      <c r="B731" s="15" t="s">
        <v>9372</v>
      </c>
      <c r="C731" s="37">
        <v>45832.0</v>
      </c>
      <c r="D731" s="37">
        <v>45832.0</v>
      </c>
      <c r="E731" s="38" t="s">
        <v>9373</v>
      </c>
      <c r="F731" s="38" t="s">
        <v>7544</v>
      </c>
      <c r="G731" s="39">
        <v>16446.0</v>
      </c>
      <c r="H731" s="40"/>
      <c r="I731" s="42">
        <v>224.0</v>
      </c>
      <c r="J731" s="15"/>
      <c r="K731" s="15"/>
      <c r="L731" s="15" t="s">
        <v>119</v>
      </c>
      <c r="M731" s="15" t="s">
        <v>9374</v>
      </c>
      <c r="N731" s="38" t="s">
        <v>24</v>
      </c>
      <c r="O731" s="38" t="s">
        <v>60</v>
      </c>
    </row>
    <row r="732">
      <c r="A732" s="18" t="s">
        <v>7498</v>
      </c>
      <c r="B732" s="15" t="s">
        <v>9375</v>
      </c>
      <c r="C732" s="37">
        <v>45832.0</v>
      </c>
      <c r="D732" s="37">
        <v>45832.0</v>
      </c>
      <c r="E732" s="38" t="s">
        <v>9376</v>
      </c>
      <c r="F732" s="38" t="s">
        <v>7544</v>
      </c>
      <c r="G732" s="39">
        <v>16446.0</v>
      </c>
      <c r="H732" s="40"/>
      <c r="I732" s="42">
        <v>192.0</v>
      </c>
      <c r="J732" s="15"/>
      <c r="K732" s="15"/>
      <c r="L732" s="15" t="s">
        <v>539</v>
      </c>
      <c r="M732" s="15"/>
      <c r="N732" s="38" t="s">
        <v>24</v>
      </c>
      <c r="O732" s="38" t="s">
        <v>60</v>
      </c>
    </row>
    <row r="733">
      <c r="A733" s="18" t="s">
        <v>7498</v>
      </c>
      <c r="B733" s="15" t="s">
        <v>9377</v>
      </c>
      <c r="C733" s="37">
        <v>45832.0</v>
      </c>
      <c r="D733" s="37">
        <v>45832.0</v>
      </c>
      <c r="E733" s="38" t="s">
        <v>9378</v>
      </c>
      <c r="F733" s="38" t="s">
        <v>7544</v>
      </c>
      <c r="G733" s="39">
        <v>16446.0</v>
      </c>
      <c r="H733" s="40"/>
      <c r="I733" s="42">
        <v>198.0</v>
      </c>
      <c r="J733" s="15"/>
      <c r="K733" s="15"/>
      <c r="L733" s="15" t="s">
        <v>539</v>
      </c>
      <c r="M733" s="15"/>
      <c r="N733" s="38" t="s">
        <v>24</v>
      </c>
      <c r="O733" s="38" t="s">
        <v>60</v>
      </c>
    </row>
    <row r="734">
      <c r="A734" s="18" t="s">
        <v>7498</v>
      </c>
      <c r="B734" s="15" t="s">
        <v>9379</v>
      </c>
      <c r="C734" s="37">
        <v>45832.0</v>
      </c>
      <c r="D734" s="37">
        <v>45832.0</v>
      </c>
      <c r="E734" s="38" t="s">
        <v>9380</v>
      </c>
      <c r="F734" s="38" t="s">
        <v>7544</v>
      </c>
      <c r="G734" s="39">
        <v>16446.0</v>
      </c>
      <c r="H734" s="40"/>
      <c r="I734" s="45">
        <v>1470.0</v>
      </c>
      <c r="J734" s="15"/>
      <c r="K734" s="15"/>
      <c r="L734" s="15" t="s">
        <v>539</v>
      </c>
      <c r="M734" s="15"/>
      <c r="N734" s="38" t="s">
        <v>24</v>
      </c>
      <c r="O734" s="38" t="s">
        <v>60</v>
      </c>
    </row>
    <row r="735">
      <c r="A735" s="18" t="s">
        <v>7498</v>
      </c>
      <c r="B735" s="15" t="s">
        <v>9381</v>
      </c>
      <c r="C735" s="37">
        <v>45832.0</v>
      </c>
      <c r="D735" s="37">
        <v>45832.0</v>
      </c>
      <c r="E735" s="38" t="s">
        <v>9382</v>
      </c>
      <c r="F735" s="38" t="s">
        <v>7544</v>
      </c>
      <c r="G735" s="39">
        <v>16446.0</v>
      </c>
      <c r="H735" s="40"/>
      <c r="I735" s="45">
        <v>2000.0</v>
      </c>
      <c r="J735" s="15"/>
      <c r="K735" s="15"/>
      <c r="L735" s="15" t="s">
        <v>539</v>
      </c>
      <c r="M735" s="15"/>
      <c r="N735" s="38" t="s">
        <v>24</v>
      </c>
      <c r="O735" s="38" t="s">
        <v>60</v>
      </c>
    </row>
    <row r="736">
      <c r="A736" s="18" t="s">
        <v>7498</v>
      </c>
      <c r="B736" s="15" t="s">
        <v>9383</v>
      </c>
      <c r="C736" s="37">
        <v>45832.0</v>
      </c>
      <c r="D736" s="37">
        <v>45832.0</v>
      </c>
      <c r="E736" s="38" t="s">
        <v>9384</v>
      </c>
      <c r="F736" s="38" t="s">
        <v>7544</v>
      </c>
      <c r="G736" s="39">
        <v>16446.0</v>
      </c>
      <c r="H736" s="40"/>
      <c r="I736" s="42">
        <v>150.0</v>
      </c>
      <c r="J736" s="15"/>
      <c r="K736" s="15"/>
      <c r="L736" s="15" t="s">
        <v>539</v>
      </c>
      <c r="M736" s="15"/>
      <c r="N736" s="38" t="s">
        <v>24</v>
      </c>
      <c r="O736" s="38" t="s">
        <v>60</v>
      </c>
    </row>
    <row r="737">
      <c r="A737" s="18" t="s">
        <v>7498</v>
      </c>
      <c r="B737" s="15" t="s">
        <v>9385</v>
      </c>
      <c r="C737" s="37">
        <v>45832.0</v>
      </c>
      <c r="D737" s="37">
        <v>45832.0</v>
      </c>
      <c r="E737" s="38" t="s">
        <v>9386</v>
      </c>
      <c r="F737" s="38" t="s">
        <v>7544</v>
      </c>
      <c r="G737" s="39">
        <v>16446.0</v>
      </c>
      <c r="H737" s="40"/>
      <c r="I737" s="42">
        <v>247.0</v>
      </c>
      <c r="J737" s="15"/>
      <c r="K737" s="15"/>
      <c r="L737" s="15" t="s">
        <v>539</v>
      </c>
      <c r="M737" s="15"/>
      <c r="N737" s="38" t="s">
        <v>24</v>
      </c>
      <c r="O737" s="38" t="s">
        <v>60</v>
      </c>
    </row>
    <row r="738">
      <c r="A738" s="18" t="s">
        <v>7498</v>
      </c>
      <c r="B738" s="15" t="s">
        <v>9387</v>
      </c>
      <c r="C738" s="37">
        <v>45832.0</v>
      </c>
      <c r="D738" s="37">
        <v>45832.0</v>
      </c>
      <c r="E738" s="38" t="s">
        <v>9388</v>
      </c>
      <c r="F738" s="38" t="s">
        <v>7544</v>
      </c>
      <c r="G738" s="39">
        <v>16446.0</v>
      </c>
      <c r="H738" s="40"/>
      <c r="I738" s="42">
        <v>353.0</v>
      </c>
      <c r="J738" s="15"/>
      <c r="K738" s="15"/>
      <c r="L738" s="15" t="s">
        <v>539</v>
      </c>
      <c r="M738" s="15"/>
      <c r="N738" s="38" t="s">
        <v>24</v>
      </c>
      <c r="O738" s="38" t="s">
        <v>60</v>
      </c>
    </row>
    <row r="739">
      <c r="A739" s="18" t="s">
        <v>7498</v>
      </c>
      <c r="B739" s="15" t="s">
        <v>9389</v>
      </c>
      <c r="C739" s="37">
        <v>45832.0</v>
      </c>
      <c r="D739" s="37">
        <v>45832.0</v>
      </c>
      <c r="E739" s="38" t="s">
        <v>9390</v>
      </c>
      <c r="F739" s="38" t="s">
        <v>7544</v>
      </c>
      <c r="G739" s="39">
        <v>16446.0</v>
      </c>
      <c r="H739" s="40"/>
      <c r="I739" s="42">
        <v>156.0</v>
      </c>
      <c r="J739" s="15"/>
      <c r="K739" s="15"/>
      <c r="L739" s="15" t="s">
        <v>539</v>
      </c>
      <c r="M739" s="15"/>
      <c r="N739" s="38" t="s">
        <v>24</v>
      </c>
      <c r="O739" s="38" t="s">
        <v>60</v>
      </c>
    </row>
    <row r="740">
      <c r="A740" s="18" t="s">
        <v>7498</v>
      </c>
      <c r="B740" s="15" t="s">
        <v>9391</v>
      </c>
      <c r="C740" s="37">
        <v>45832.0</v>
      </c>
      <c r="D740" s="37">
        <v>45832.0</v>
      </c>
      <c r="E740" s="38" t="s">
        <v>9392</v>
      </c>
      <c r="F740" s="38" t="s">
        <v>7544</v>
      </c>
      <c r="G740" s="39">
        <v>16446.0</v>
      </c>
      <c r="H740" s="40"/>
      <c r="I740" s="42">
        <v>420.0</v>
      </c>
      <c r="J740" s="15"/>
      <c r="K740" s="15"/>
      <c r="L740" s="15" t="s">
        <v>539</v>
      </c>
      <c r="M740" s="15"/>
      <c r="N740" s="38" t="s">
        <v>24</v>
      </c>
      <c r="O740" s="38" t="s">
        <v>60</v>
      </c>
    </row>
    <row r="741">
      <c r="A741" s="18" t="s">
        <v>7498</v>
      </c>
      <c r="B741" s="15" t="s">
        <v>9393</v>
      </c>
      <c r="C741" s="37">
        <v>45832.0</v>
      </c>
      <c r="D741" s="37">
        <v>45832.0</v>
      </c>
      <c r="E741" s="38" t="s">
        <v>9394</v>
      </c>
      <c r="F741" s="38" t="s">
        <v>7544</v>
      </c>
      <c r="G741" s="39">
        <v>16446.0</v>
      </c>
      <c r="H741" s="40"/>
      <c r="I741" s="42">
        <v>495.0</v>
      </c>
      <c r="J741" s="15"/>
      <c r="K741" s="15"/>
      <c r="L741" s="15" t="s">
        <v>539</v>
      </c>
      <c r="M741" s="15"/>
      <c r="N741" s="38" t="s">
        <v>24</v>
      </c>
      <c r="O741" s="38" t="s">
        <v>60</v>
      </c>
    </row>
    <row r="742">
      <c r="A742" s="18" t="s">
        <v>7498</v>
      </c>
      <c r="B742" s="15" t="s">
        <v>9395</v>
      </c>
      <c r="C742" s="37">
        <v>45832.0</v>
      </c>
      <c r="D742" s="37">
        <v>45832.0</v>
      </c>
      <c r="E742" s="38" t="s">
        <v>9396</v>
      </c>
      <c r="F742" s="38" t="s">
        <v>7544</v>
      </c>
      <c r="G742" s="39">
        <v>16446.0</v>
      </c>
      <c r="H742" s="40"/>
      <c r="I742" s="42">
        <v>280.0</v>
      </c>
      <c r="J742" s="15"/>
      <c r="K742" s="15"/>
      <c r="L742" s="15" t="s">
        <v>539</v>
      </c>
      <c r="M742" s="15"/>
      <c r="N742" s="38" t="s">
        <v>24</v>
      </c>
      <c r="O742" s="38" t="s">
        <v>60</v>
      </c>
    </row>
    <row r="743">
      <c r="A743" s="18" t="s">
        <v>7498</v>
      </c>
      <c r="B743" s="15" t="s">
        <v>9397</v>
      </c>
      <c r="C743" s="37">
        <v>45833.0</v>
      </c>
      <c r="D743" s="37">
        <v>45833.0</v>
      </c>
      <c r="E743" s="38" t="s">
        <v>9398</v>
      </c>
      <c r="F743" s="38" t="s">
        <v>7557</v>
      </c>
      <c r="G743" s="39">
        <v>16446.0</v>
      </c>
      <c r="H743" s="40"/>
      <c r="I743" s="42">
        <v>752.0</v>
      </c>
      <c r="J743" s="15"/>
      <c r="K743" s="15"/>
      <c r="L743" s="15" t="s">
        <v>539</v>
      </c>
      <c r="M743" s="15"/>
      <c r="N743" s="38" t="s">
        <v>24</v>
      </c>
      <c r="O743" s="38" t="s">
        <v>60</v>
      </c>
    </row>
    <row r="744">
      <c r="A744" s="18" t="s">
        <v>7498</v>
      </c>
      <c r="B744" s="15" t="s">
        <v>9399</v>
      </c>
      <c r="C744" s="37">
        <v>45833.0</v>
      </c>
      <c r="D744" s="37">
        <v>45833.0</v>
      </c>
      <c r="E744" s="38" t="s">
        <v>9400</v>
      </c>
      <c r="F744" s="38" t="s">
        <v>7557</v>
      </c>
      <c r="G744" s="39">
        <v>16446.0</v>
      </c>
      <c r="H744" s="40"/>
      <c r="I744" s="42">
        <v>210.0</v>
      </c>
      <c r="J744" s="15"/>
      <c r="K744" s="15"/>
      <c r="L744" s="15" t="s">
        <v>539</v>
      </c>
      <c r="M744" s="15"/>
      <c r="N744" s="38" t="s">
        <v>24</v>
      </c>
      <c r="O744" s="38" t="s">
        <v>60</v>
      </c>
    </row>
    <row r="745">
      <c r="A745" s="18" t="s">
        <v>7498</v>
      </c>
      <c r="B745" s="15" t="s">
        <v>9401</v>
      </c>
      <c r="C745" s="37">
        <v>45833.0</v>
      </c>
      <c r="D745" s="37">
        <v>45833.0</v>
      </c>
      <c r="E745" s="38" t="s">
        <v>9402</v>
      </c>
      <c r="F745" s="38" t="s">
        <v>7557</v>
      </c>
      <c r="G745" s="39">
        <v>16446.0</v>
      </c>
      <c r="H745" s="40"/>
      <c r="I745" s="42">
        <v>334.0</v>
      </c>
      <c r="J745" s="15"/>
      <c r="K745" s="15"/>
      <c r="L745" s="15" t="s">
        <v>539</v>
      </c>
      <c r="M745" s="15"/>
      <c r="N745" s="38" t="s">
        <v>24</v>
      </c>
      <c r="O745" s="38" t="s">
        <v>60</v>
      </c>
    </row>
    <row r="746">
      <c r="A746" s="18" t="s">
        <v>7498</v>
      </c>
      <c r="B746" s="15" t="s">
        <v>9403</v>
      </c>
      <c r="C746" s="37">
        <v>45834.0</v>
      </c>
      <c r="D746" s="37">
        <v>45834.0</v>
      </c>
      <c r="E746" s="38" t="s">
        <v>9404</v>
      </c>
      <c r="F746" s="38" t="s">
        <v>9405</v>
      </c>
      <c r="G746" s="39">
        <v>4328.0</v>
      </c>
      <c r="H746" s="42" t="s">
        <v>21</v>
      </c>
      <c r="I746" s="40"/>
      <c r="J746" s="15"/>
      <c r="K746" s="15" t="s">
        <v>9406</v>
      </c>
      <c r="L746" s="18" t="s">
        <v>23</v>
      </c>
      <c r="M746" s="15"/>
      <c r="N746" s="15" t="s">
        <v>114</v>
      </c>
      <c r="O746" s="15" t="s">
        <v>731</v>
      </c>
    </row>
    <row r="747">
      <c r="A747" s="18" t="s">
        <v>7498</v>
      </c>
      <c r="B747" s="15" t="s">
        <v>9407</v>
      </c>
      <c r="C747" s="37">
        <v>45834.0</v>
      </c>
      <c r="D747" s="37">
        <v>45834.0</v>
      </c>
      <c r="E747" s="38" t="s">
        <v>9408</v>
      </c>
      <c r="F747" s="38" t="s">
        <v>7580</v>
      </c>
      <c r="G747" s="39">
        <v>16446.0</v>
      </c>
      <c r="H747" s="40"/>
      <c r="I747" s="42">
        <v>542.0</v>
      </c>
      <c r="J747" s="15"/>
      <c r="K747" s="15"/>
      <c r="L747" s="15" t="s">
        <v>539</v>
      </c>
      <c r="M747" s="15"/>
      <c r="N747" s="38" t="s">
        <v>24</v>
      </c>
      <c r="O747" s="38" t="s">
        <v>60</v>
      </c>
    </row>
    <row r="748">
      <c r="A748" s="18" t="s">
        <v>7498</v>
      </c>
      <c r="B748" s="15" t="s">
        <v>9409</v>
      </c>
      <c r="C748" s="37">
        <v>45834.0</v>
      </c>
      <c r="D748" s="37">
        <v>45834.0</v>
      </c>
      <c r="E748" s="38" t="s">
        <v>9410</v>
      </c>
      <c r="F748" s="38" t="s">
        <v>7580</v>
      </c>
      <c r="G748" s="39">
        <v>16446.0</v>
      </c>
      <c r="H748" s="40"/>
      <c r="I748" s="42">
        <v>449.0</v>
      </c>
      <c r="J748" s="15"/>
      <c r="K748" s="15"/>
      <c r="L748" s="15" t="s">
        <v>539</v>
      </c>
      <c r="M748" s="15"/>
      <c r="N748" s="38" t="s">
        <v>24</v>
      </c>
      <c r="O748" s="38" t="s">
        <v>60</v>
      </c>
    </row>
    <row r="749">
      <c r="A749" s="18" t="s">
        <v>7498</v>
      </c>
      <c r="B749" s="15" t="s">
        <v>9411</v>
      </c>
      <c r="C749" s="37">
        <v>45834.0</v>
      </c>
      <c r="D749" s="37">
        <v>45834.0</v>
      </c>
      <c r="E749" s="38" t="s">
        <v>9412</v>
      </c>
      <c r="F749" s="38" t="s">
        <v>7580</v>
      </c>
      <c r="G749" s="39">
        <v>16446.0</v>
      </c>
      <c r="H749" s="40"/>
      <c r="I749" s="42">
        <v>400.0</v>
      </c>
      <c r="J749" s="15"/>
      <c r="K749" s="15"/>
      <c r="L749" s="15" t="s">
        <v>539</v>
      </c>
      <c r="M749" s="15"/>
      <c r="N749" s="38" t="s">
        <v>24</v>
      </c>
      <c r="O749" s="38" t="s">
        <v>60</v>
      </c>
    </row>
    <row r="750">
      <c r="A750" s="18" t="s">
        <v>7498</v>
      </c>
      <c r="B750" s="15" t="s">
        <v>9413</v>
      </c>
      <c r="C750" s="37">
        <v>45834.0</v>
      </c>
      <c r="D750" s="37">
        <v>45834.0</v>
      </c>
      <c r="E750" s="38" t="s">
        <v>9414</v>
      </c>
      <c r="F750" s="38" t="s">
        <v>7580</v>
      </c>
      <c r="G750" s="39">
        <v>16446.0</v>
      </c>
      <c r="H750" s="40"/>
      <c r="I750" s="42">
        <v>546.0</v>
      </c>
      <c r="J750" s="15"/>
      <c r="K750" s="15"/>
      <c r="L750" s="15" t="s">
        <v>539</v>
      </c>
      <c r="M750" s="15"/>
      <c r="N750" s="38" t="s">
        <v>24</v>
      </c>
      <c r="O750" s="38" t="s">
        <v>60</v>
      </c>
    </row>
    <row r="751">
      <c r="A751" s="18" t="s">
        <v>7498</v>
      </c>
      <c r="B751" s="15" t="s">
        <v>9415</v>
      </c>
      <c r="C751" s="37">
        <v>45834.0</v>
      </c>
      <c r="D751" s="37">
        <v>45834.0</v>
      </c>
      <c r="E751" s="38" t="s">
        <v>9416</v>
      </c>
      <c r="F751" s="38" t="s">
        <v>7580</v>
      </c>
      <c r="G751" s="39">
        <v>16446.0</v>
      </c>
      <c r="H751" s="40"/>
      <c r="I751" s="45">
        <v>1579.0</v>
      </c>
      <c r="J751" s="15"/>
      <c r="K751" s="15"/>
      <c r="L751" s="15" t="s">
        <v>539</v>
      </c>
      <c r="M751" s="15"/>
      <c r="N751" s="38" t="s">
        <v>24</v>
      </c>
      <c r="O751" s="38" t="s">
        <v>60</v>
      </c>
    </row>
    <row r="752">
      <c r="A752" s="18" t="s">
        <v>7498</v>
      </c>
      <c r="B752" s="15" t="s">
        <v>9417</v>
      </c>
      <c r="C752" s="37">
        <v>45834.0</v>
      </c>
      <c r="D752" s="37">
        <v>45834.0</v>
      </c>
      <c r="E752" s="38" t="s">
        <v>9418</v>
      </c>
      <c r="F752" s="38" t="s">
        <v>7580</v>
      </c>
      <c r="G752" s="39">
        <v>16446.0</v>
      </c>
      <c r="H752" s="40"/>
      <c r="I752" s="42">
        <v>240.0</v>
      </c>
      <c r="J752" s="15"/>
      <c r="K752" s="15"/>
      <c r="L752" s="15" t="s">
        <v>539</v>
      </c>
      <c r="M752" s="15"/>
      <c r="N752" s="38" t="s">
        <v>24</v>
      </c>
      <c r="O752" s="38" t="s">
        <v>60</v>
      </c>
    </row>
    <row r="753">
      <c r="A753" s="18" t="s">
        <v>7498</v>
      </c>
      <c r="B753" s="15" t="s">
        <v>9419</v>
      </c>
      <c r="C753" s="37">
        <v>45834.0</v>
      </c>
      <c r="D753" s="37">
        <v>45834.0</v>
      </c>
      <c r="E753" s="38" t="s">
        <v>9420</v>
      </c>
      <c r="F753" s="38" t="s">
        <v>7580</v>
      </c>
      <c r="G753" s="39">
        <v>16446.0</v>
      </c>
      <c r="H753" s="40"/>
      <c r="I753" s="42">
        <v>450.0</v>
      </c>
      <c r="J753" s="15"/>
      <c r="K753" s="15"/>
      <c r="L753" s="15" t="s">
        <v>539</v>
      </c>
      <c r="M753" s="15"/>
      <c r="N753" s="38" t="s">
        <v>24</v>
      </c>
      <c r="O753" s="38" t="s">
        <v>60</v>
      </c>
    </row>
    <row r="754">
      <c r="A754" s="18" t="s">
        <v>7498</v>
      </c>
      <c r="B754" s="15" t="s">
        <v>9421</v>
      </c>
      <c r="C754" s="37">
        <v>45834.0</v>
      </c>
      <c r="D754" s="37">
        <v>45834.0</v>
      </c>
      <c r="E754" s="38" t="s">
        <v>9422</v>
      </c>
      <c r="F754" s="38" t="s">
        <v>7580</v>
      </c>
      <c r="G754" s="39">
        <v>16446.0</v>
      </c>
      <c r="H754" s="40"/>
      <c r="I754" s="42">
        <v>381.0</v>
      </c>
      <c r="J754" s="15"/>
      <c r="K754" s="15"/>
      <c r="L754" s="15" t="s">
        <v>539</v>
      </c>
      <c r="M754" s="15"/>
      <c r="N754" s="38" t="s">
        <v>24</v>
      </c>
      <c r="O754" s="38" t="s">
        <v>60</v>
      </c>
    </row>
    <row r="755">
      <c r="A755" s="18" t="s">
        <v>7498</v>
      </c>
      <c r="B755" s="15" t="s">
        <v>9423</v>
      </c>
      <c r="C755" s="37">
        <v>45834.0</v>
      </c>
      <c r="D755" s="37">
        <v>45834.0</v>
      </c>
      <c r="E755" s="38" t="s">
        <v>9424</v>
      </c>
      <c r="F755" s="38" t="s">
        <v>7580</v>
      </c>
      <c r="G755" s="39">
        <v>16446.0</v>
      </c>
      <c r="H755" s="40"/>
      <c r="I755" s="42">
        <v>336.0</v>
      </c>
      <c r="J755" s="15"/>
      <c r="K755" s="15"/>
      <c r="L755" s="15" t="s">
        <v>539</v>
      </c>
      <c r="M755" s="15"/>
      <c r="N755" s="38" t="s">
        <v>24</v>
      </c>
      <c r="O755" s="38" t="s">
        <v>60</v>
      </c>
    </row>
    <row r="756">
      <c r="A756" s="18" t="s">
        <v>7498</v>
      </c>
      <c r="B756" s="15" t="s">
        <v>9425</v>
      </c>
      <c r="C756" s="37">
        <v>45834.0</v>
      </c>
      <c r="D756" s="37">
        <v>45834.0</v>
      </c>
      <c r="E756" s="38" t="s">
        <v>9426</v>
      </c>
      <c r="F756" s="38" t="s">
        <v>7580</v>
      </c>
      <c r="G756" s="39">
        <v>16446.0</v>
      </c>
      <c r="H756" s="40"/>
      <c r="I756" s="42">
        <v>816.0</v>
      </c>
      <c r="J756" s="15"/>
      <c r="K756" s="15"/>
      <c r="L756" s="15" t="s">
        <v>539</v>
      </c>
      <c r="M756" s="15"/>
      <c r="N756" s="38" t="s">
        <v>24</v>
      </c>
      <c r="O756" s="38" t="s">
        <v>60</v>
      </c>
    </row>
    <row r="757">
      <c r="A757" s="18" t="s">
        <v>7498</v>
      </c>
      <c r="B757" s="15" t="s">
        <v>9427</v>
      </c>
      <c r="C757" s="37">
        <v>45835.0</v>
      </c>
      <c r="D757" s="37">
        <v>45835.0</v>
      </c>
      <c r="E757" s="38" t="s">
        <v>9428</v>
      </c>
      <c r="F757" s="38" t="s">
        <v>7501</v>
      </c>
      <c r="G757" s="39">
        <v>4292.0</v>
      </c>
      <c r="H757" s="45">
        <v>1082.84</v>
      </c>
      <c r="I757" s="40"/>
      <c r="J757" s="15"/>
      <c r="K757" s="15" t="s">
        <v>9429</v>
      </c>
      <c r="L757" s="15" t="s">
        <v>119</v>
      </c>
      <c r="M757" s="15"/>
      <c r="N757" s="15" t="s">
        <v>114</v>
      </c>
      <c r="O757" s="15" t="s">
        <v>275</v>
      </c>
    </row>
    <row r="758">
      <c r="A758" s="18" t="s">
        <v>7498</v>
      </c>
      <c r="B758" s="15" t="s">
        <v>9430</v>
      </c>
      <c r="C758" s="37">
        <v>45835.0</v>
      </c>
      <c r="D758" s="37">
        <v>45835.0</v>
      </c>
      <c r="E758" s="38" t="s">
        <v>9431</v>
      </c>
      <c r="F758" s="38" t="s">
        <v>7501</v>
      </c>
      <c r="G758" s="39">
        <v>4292.0</v>
      </c>
      <c r="H758" s="45">
        <v>1001.54</v>
      </c>
      <c r="I758" s="40"/>
      <c r="J758" s="15"/>
      <c r="K758" s="15" t="s">
        <v>9432</v>
      </c>
      <c r="L758" s="15" t="s">
        <v>127</v>
      </c>
      <c r="M758" s="15"/>
      <c r="N758" s="15" t="s">
        <v>114</v>
      </c>
      <c r="O758" s="15" t="s">
        <v>275</v>
      </c>
    </row>
    <row r="759">
      <c r="A759" s="18" t="s">
        <v>7498</v>
      </c>
      <c r="B759" s="15" t="s">
        <v>9433</v>
      </c>
      <c r="C759" s="37">
        <v>45835.0</v>
      </c>
      <c r="D759" s="37">
        <v>45835.0</v>
      </c>
      <c r="E759" s="38" t="s">
        <v>9434</v>
      </c>
      <c r="F759" s="38" t="s">
        <v>7508</v>
      </c>
      <c r="G759" s="39">
        <v>16446.0</v>
      </c>
      <c r="H759" s="40"/>
      <c r="I759" s="42">
        <v>617.0</v>
      </c>
      <c r="J759" s="15"/>
      <c r="K759" s="15"/>
      <c r="L759" s="15" t="s">
        <v>539</v>
      </c>
      <c r="M759" s="15"/>
      <c r="N759" s="38" t="s">
        <v>24</v>
      </c>
      <c r="O759" s="38" t="s">
        <v>60</v>
      </c>
    </row>
    <row r="760">
      <c r="A760" s="18" t="s">
        <v>7498</v>
      </c>
      <c r="B760" s="15" t="s">
        <v>9435</v>
      </c>
      <c r="C760" s="37">
        <v>45835.0</v>
      </c>
      <c r="D760" s="37">
        <v>45835.0</v>
      </c>
      <c r="E760" s="38" t="s">
        <v>9436</v>
      </c>
      <c r="F760" s="38" t="s">
        <v>7508</v>
      </c>
      <c r="G760" s="39">
        <v>16446.0</v>
      </c>
      <c r="H760" s="40"/>
      <c r="I760" s="45">
        <v>1400.0</v>
      </c>
      <c r="J760" s="15"/>
      <c r="K760" s="15"/>
      <c r="L760" s="15" t="s">
        <v>539</v>
      </c>
      <c r="M760" s="15"/>
      <c r="N760" s="38" t="s">
        <v>24</v>
      </c>
      <c r="O760" s="38" t="s">
        <v>60</v>
      </c>
    </row>
    <row r="761">
      <c r="A761" s="18" t="s">
        <v>7498</v>
      </c>
      <c r="B761" s="15" t="s">
        <v>9437</v>
      </c>
      <c r="C761" s="37">
        <v>45835.0</v>
      </c>
      <c r="D761" s="37">
        <v>45835.0</v>
      </c>
      <c r="E761" s="38" t="s">
        <v>9438</v>
      </c>
      <c r="F761" s="38" t="s">
        <v>7508</v>
      </c>
      <c r="G761" s="39">
        <v>16446.0</v>
      </c>
      <c r="H761" s="40"/>
      <c r="I761" s="42">
        <v>387.0</v>
      </c>
      <c r="J761" s="15"/>
      <c r="K761" s="15"/>
      <c r="L761" s="15" t="s">
        <v>539</v>
      </c>
      <c r="M761" s="15"/>
      <c r="N761" s="38" t="s">
        <v>24</v>
      </c>
      <c r="O761" s="38" t="s">
        <v>60</v>
      </c>
    </row>
    <row r="762">
      <c r="A762" s="18" t="s">
        <v>7498</v>
      </c>
      <c r="B762" s="15" t="s">
        <v>9439</v>
      </c>
      <c r="C762" s="37">
        <v>45835.0</v>
      </c>
      <c r="D762" s="37">
        <v>45835.0</v>
      </c>
      <c r="E762" s="38" t="s">
        <v>9440</v>
      </c>
      <c r="F762" s="38" t="s">
        <v>7508</v>
      </c>
      <c r="G762" s="39">
        <v>16446.0</v>
      </c>
      <c r="H762" s="40"/>
      <c r="I762" s="42">
        <v>100.0</v>
      </c>
      <c r="J762" s="15"/>
      <c r="K762" s="15"/>
      <c r="L762" s="15" t="s">
        <v>539</v>
      </c>
      <c r="M762" s="15"/>
      <c r="N762" s="38" t="s">
        <v>24</v>
      </c>
      <c r="O762" s="38" t="s">
        <v>60</v>
      </c>
    </row>
    <row r="763">
      <c r="A763" s="18" t="s">
        <v>7498</v>
      </c>
      <c r="B763" s="15" t="s">
        <v>9441</v>
      </c>
      <c r="C763" s="37">
        <v>45835.0</v>
      </c>
      <c r="D763" s="37">
        <v>45835.0</v>
      </c>
      <c r="E763" s="38" t="s">
        <v>9442</v>
      </c>
      <c r="F763" s="38" t="s">
        <v>7508</v>
      </c>
      <c r="G763" s="39">
        <v>16446.0</v>
      </c>
      <c r="H763" s="40"/>
      <c r="I763" s="42">
        <v>540.0</v>
      </c>
      <c r="J763" s="15"/>
      <c r="K763" s="15"/>
      <c r="L763" s="15" t="s">
        <v>539</v>
      </c>
      <c r="M763" s="15"/>
      <c r="N763" s="38" t="s">
        <v>24</v>
      </c>
      <c r="O763" s="38" t="s">
        <v>60</v>
      </c>
    </row>
    <row r="764">
      <c r="A764" s="18" t="s">
        <v>7498</v>
      </c>
      <c r="B764" s="15" t="s">
        <v>9443</v>
      </c>
      <c r="C764" s="37">
        <v>45835.0</v>
      </c>
      <c r="D764" s="37">
        <v>45835.0</v>
      </c>
      <c r="E764" s="38" t="s">
        <v>9444</v>
      </c>
      <c r="F764" s="38" t="s">
        <v>7508</v>
      </c>
      <c r="G764" s="39">
        <v>16446.0</v>
      </c>
      <c r="H764" s="40"/>
      <c r="I764" s="42">
        <v>221.0</v>
      </c>
      <c r="J764" s="15"/>
      <c r="K764" s="15"/>
      <c r="L764" s="15" t="s">
        <v>539</v>
      </c>
      <c r="M764" s="15"/>
      <c r="N764" s="38" t="s">
        <v>24</v>
      </c>
      <c r="O764" s="38" t="s">
        <v>60</v>
      </c>
    </row>
    <row r="765">
      <c r="A765" s="18" t="s">
        <v>7498</v>
      </c>
      <c r="B765" s="15" t="s">
        <v>9445</v>
      </c>
      <c r="C765" s="37">
        <v>45835.0</v>
      </c>
      <c r="D765" s="37">
        <v>45835.0</v>
      </c>
      <c r="E765" s="38" t="s">
        <v>9446</v>
      </c>
      <c r="F765" s="38" t="s">
        <v>7508</v>
      </c>
      <c r="G765" s="39">
        <v>16446.0</v>
      </c>
      <c r="H765" s="40"/>
      <c r="I765" s="42">
        <v>576.0</v>
      </c>
      <c r="J765" s="15"/>
      <c r="K765" s="15"/>
      <c r="L765" s="15" t="s">
        <v>539</v>
      </c>
      <c r="M765" s="15"/>
      <c r="N765" s="38" t="s">
        <v>24</v>
      </c>
      <c r="O765" s="38" t="s">
        <v>60</v>
      </c>
    </row>
    <row r="766">
      <c r="A766" s="18" t="s">
        <v>7498</v>
      </c>
      <c r="B766" s="15" t="s">
        <v>9447</v>
      </c>
      <c r="C766" s="37">
        <v>45836.0</v>
      </c>
      <c r="D766" s="37">
        <v>45836.0</v>
      </c>
      <c r="E766" s="38" t="s">
        <v>9448</v>
      </c>
      <c r="F766" s="38" t="s">
        <v>7534</v>
      </c>
      <c r="G766" s="39">
        <v>16446.0</v>
      </c>
      <c r="H766" s="40"/>
      <c r="I766" s="42">
        <v>653.0</v>
      </c>
      <c r="J766" s="15"/>
      <c r="K766" s="15"/>
      <c r="L766" s="15" t="s">
        <v>539</v>
      </c>
      <c r="M766" s="15"/>
      <c r="N766" s="38" t="s">
        <v>24</v>
      </c>
      <c r="O766" s="38" t="s">
        <v>60</v>
      </c>
    </row>
    <row r="767">
      <c r="A767" s="18" t="s">
        <v>7498</v>
      </c>
      <c r="B767" s="15" t="s">
        <v>9449</v>
      </c>
      <c r="C767" s="37">
        <v>45836.0</v>
      </c>
      <c r="D767" s="37">
        <v>45836.0</v>
      </c>
      <c r="E767" s="38" t="s">
        <v>9450</v>
      </c>
      <c r="F767" s="38" t="s">
        <v>7534</v>
      </c>
      <c r="G767" s="39">
        <v>16446.0</v>
      </c>
      <c r="H767" s="40"/>
      <c r="I767" s="42">
        <v>399.0</v>
      </c>
      <c r="J767" s="15"/>
      <c r="K767" s="15"/>
      <c r="L767" s="15" t="s">
        <v>539</v>
      </c>
      <c r="M767" s="15"/>
      <c r="N767" s="38" t="s">
        <v>24</v>
      </c>
      <c r="O767" s="38" t="s">
        <v>60</v>
      </c>
    </row>
    <row r="768">
      <c r="A768" s="18" t="s">
        <v>7498</v>
      </c>
      <c r="B768" s="15" t="s">
        <v>9451</v>
      </c>
      <c r="C768" s="37">
        <v>45836.0</v>
      </c>
      <c r="D768" s="37">
        <v>45836.0</v>
      </c>
      <c r="E768" s="38" t="s">
        <v>9452</v>
      </c>
      <c r="F768" s="38" t="s">
        <v>7534</v>
      </c>
      <c r="G768" s="39">
        <v>16446.0</v>
      </c>
      <c r="H768" s="40"/>
      <c r="I768" s="42">
        <v>364.0</v>
      </c>
      <c r="J768" s="15"/>
      <c r="K768" s="15"/>
      <c r="L768" s="15" t="s">
        <v>539</v>
      </c>
      <c r="M768" s="15"/>
      <c r="N768" s="38" t="s">
        <v>24</v>
      </c>
      <c r="O768" s="38" t="s">
        <v>60</v>
      </c>
    </row>
    <row r="769">
      <c r="A769" s="18" t="s">
        <v>7498</v>
      </c>
      <c r="B769" s="15" t="s">
        <v>9453</v>
      </c>
      <c r="C769" s="37">
        <v>45836.0</v>
      </c>
      <c r="D769" s="37">
        <v>45836.0</v>
      </c>
      <c r="E769" s="38" t="s">
        <v>9454</v>
      </c>
      <c r="F769" s="38" t="s">
        <v>7534</v>
      </c>
      <c r="G769" s="39">
        <v>16446.0</v>
      </c>
      <c r="H769" s="40"/>
      <c r="I769" s="45">
        <v>1400.0</v>
      </c>
      <c r="J769" s="15"/>
      <c r="K769" s="15"/>
      <c r="L769" s="15" t="s">
        <v>539</v>
      </c>
      <c r="M769" s="15"/>
      <c r="N769" s="38" t="s">
        <v>24</v>
      </c>
      <c r="O769" s="38" t="s">
        <v>60</v>
      </c>
    </row>
    <row r="770">
      <c r="A770" s="18" t="s">
        <v>7498</v>
      </c>
      <c r="B770" s="15" t="s">
        <v>9455</v>
      </c>
      <c r="C770" s="37">
        <v>45836.0</v>
      </c>
      <c r="D770" s="37">
        <v>45836.0</v>
      </c>
      <c r="E770" s="38" t="s">
        <v>9456</v>
      </c>
      <c r="F770" s="38" t="s">
        <v>7534</v>
      </c>
      <c r="G770" s="39">
        <v>16446.0</v>
      </c>
      <c r="H770" s="40"/>
      <c r="I770" s="42">
        <v>364.0</v>
      </c>
      <c r="J770" s="15"/>
      <c r="K770" s="15"/>
      <c r="L770" s="15" t="s">
        <v>539</v>
      </c>
      <c r="M770" s="15"/>
      <c r="N770" s="38" t="s">
        <v>24</v>
      </c>
      <c r="O770" s="38" t="s">
        <v>60</v>
      </c>
    </row>
    <row r="771">
      <c r="A771" s="18" t="s">
        <v>7498</v>
      </c>
      <c r="B771" s="15" t="s">
        <v>9457</v>
      </c>
      <c r="C771" s="37">
        <v>45836.0</v>
      </c>
      <c r="D771" s="37">
        <v>45836.0</v>
      </c>
      <c r="E771" s="38" t="s">
        <v>9458</v>
      </c>
      <c r="F771" s="38" t="s">
        <v>7534</v>
      </c>
      <c r="G771" s="39">
        <v>16446.0</v>
      </c>
      <c r="H771" s="40"/>
      <c r="I771" s="45">
        <v>1273.0</v>
      </c>
      <c r="J771" s="15"/>
      <c r="K771" s="15"/>
      <c r="L771" s="15" t="s">
        <v>539</v>
      </c>
      <c r="M771" s="15"/>
      <c r="N771" s="38" t="s">
        <v>24</v>
      </c>
      <c r="O771" s="38" t="s">
        <v>60</v>
      </c>
    </row>
    <row r="772">
      <c r="A772" s="18" t="s">
        <v>7498</v>
      </c>
      <c r="B772" s="15" t="s">
        <v>9459</v>
      </c>
      <c r="C772" s="37">
        <v>45836.0</v>
      </c>
      <c r="D772" s="37">
        <v>45836.0</v>
      </c>
      <c r="E772" s="38" t="s">
        <v>9460</v>
      </c>
      <c r="F772" s="38" t="s">
        <v>7534</v>
      </c>
      <c r="G772" s="39">
        <v>16446.0</v>
      </c>
      <c r="H772" s="40"/>
      <c r="I772" s="45">
        <v>5000.0</v>
      </c>
      <c r="J772" s="15"/>
      <c r="K772" s="15"/>
      <c r="L772" s="15" t="s">
        <v>539</v>
      </c>
      <c r="M772" s="15"/>
      <c r="N772" s="38" t="s">
        <v>24</v>
      </c>
      <c r="O772" s="38" t="s">
        <v>60</v>
      </c>
    </row>
    <row r="773">
      <c r="A773" s="18" t="s">
        <v>7498</v>
      </c>
      <c r="B773" s="15" t="s">
        <v>9461</v>
      </c>
      <c r="C773" s="37">
        <v>45837.0</v>
      </c>
      <c r="D773" s="37">
        <v>45837.0</v>
      </c>
      <c r="E773" s="38" t="s">
        <v>9462</v>
      </c>
      <c r="F773" s="38" t="s">
        <v>7567</v>
      </c>
      <c r="G773" s="39">
        <v>16446.0</v>
      </c>
      <c r="H773" s="40"/>
      <c r="I773" s="45">
        <v>3000.0</v>
      </c>
      <c r="J773" s="15"/>
      <c r="K773" s="15"/>
      <c r="L773" s="15" t="s">
        <v>539</v>
      </c>
      <c r="M773" s="15"/>
      <c r="N773" s="38" t="s">
        <v>24</v>
      </c>
      <c r="O773" s="38" t="s">
        <v>60</v>
      </c>
    </row>
    <row r="774">
      <c r="A774" s="18" t="s">
        <v>7498</v>
      </c>
      <c r="B774" s="15" t="s">
        <v>9463</v>
      </c>
      <c r="C774" s="37">
        <v>45837.0</v>
      </c>
      <c r="D774" s="37">
        <v>45837.0</v>
      </c>
      <c r="E774" s="38" t="s">
        <v>9464</v>
      </c>
      <c r="F774" s="38" t="s">
        <v>7567</v>
      </c>
      <c r="G774" s="39">
        <v>16446.0</v>
      </c>
      <c r="H774" s="40"/>
      <c r="I774" s="42">
        <v>356.0</v>
      </c>
      <c r="J774" s="15"/>
      <c r="K774" s="15"/>
      <c r="L774" s="15" t="s">
        <v>539</v>
      </c>
      <c r="M774" s="15"/>
      <c r="N774" s="38" t="s">
        <v>24</v>
      </c>
      <c r="O774" s="38" t="s">
        <v>60</v>
      </c>
    </row>
    <row r="775">
      <c r="A775" s="18" t="s">
        <v>7498</v>
      </c>
      <c r="B775" s="15" t="s">
        <v>9465</v>
      </c>
      <c r="C775" s="37">
        <v>45837.0</v>
      </c>
      <c r="D775" s="37">
        <v>45837.0</v>
      </c>
      <c r="E775" s="38" t="s">
        <v>9466</v>
      </c>
      <c r="F775" s="38" t="s">
        <v>7567</v>
      </c>
      <c r="G775" s="39">
        <v>16446.0</v>
      </c>
      <c r="H775" s="40"/>
      <c r="I775" s="42">
        <v>480.0</v>
      </c>
      <c r="J775" s="15"/>
      <c r="K775" s="15"/>
      <c r="L775" s="15" t="s">
        <v>539</v>
      </c>
      <c r="M775" s="15"/>
      <c r="N775" s="38" t="s">
        <v>24</v>
      </c>
      <c r="O775" s="38" t="s">
        <v>60</v>
      </c>
    </row>
    <row r="776">
      <c r="A776" s="18" t="s">
        <v>7498</v>
      </c>
      <c r="B776" s="15" t="s">
        <v>9467</v>
      </c>
      <c r="C776" s="37">
        <v>45837.0</v>
      </c>
      <c r="D776" s="37">
        <v>45837.0</v>
      </c>
      <c r="E776" s="38" t="s">
        <v>9468</v>
      </c>
      <c r="F776" s="38" t="s">
        <v>7567</v>
      </c>
      <c r="G776" s="39">
        <v>16446.0</v>
      </c>
      <c r="H776" s="40"/>
      <c r="I776" s="45">
        <v>1279.0</v>
      </c>
      <c r="J776" s="15"/>
      <c r="K776" s="15"/>
      <c r="L776" s="15" t="s">
        <v>539</v>
      </c>
      <c r="M776" s="15"/>
      <c r="N776" s="38" t="s">
        <v>24</v>
      </c>
      <c r="O776" s="38" t="s">
        <v>60</v>
      </c>
    </row>
    <row r="777">
      <c r="A777" s="18" t="s">
        <v>7498</v>
      </c>
      <c r="B777" s="15" t="s">
        <v>9469</v>
      </c>
      <c r="C777" s="37">
        <v>45837.0</v>
      </c>
      <c r="D777" s="37">
        <v>45837.0</v>
      </c>
      <c r="E777" s="38" t="s">
        <v>9470</v>
      </c>
      <c r="F777" s="38" t="s">
        <v>7567</v>
      </c>
      <c r="G777" s="39">
        <v>16446.0</v>
      </c>
      <c r="H777" s="40"/>
      <c r="I777" s="42">
        <v>480.0</v>
      </c>
      <c r="J777" s="15"/>
      <c r="K777" s="15"/>
      <c r="L777" s="15" t="s">
        <v>539</v>
      </c>
      <c r="M777" s="15"/>
      <c r="N777" s="38" t="s">
        <v>24</v>
      </c>
      <c r="O777" s="38" t="s">
        <v>60</v>
      </c>
    </row>
    <row r="778">
      <c r="A778" s="18" t="s">
        <v>7498</v>
      </c>
      <c r="B778" s="15" t="s">
        <v>9471</v>
      </c>
      <c r="C778" s="37">
        <v>45837.0</v>
      </c>
      <c r="D778" s="37">
        <v>45837.0</v>
      </c>
      <c r="E778" s="38" t="s">
        <v>9472</v>
      </c>
      <c r="F778" s="38" t="s">
        <v>7567</v>
      </c>
      <c r="G778" s="39">
        <v>16446.0</v>
      </c>
      <c r="H778" s="40"/>
      <c r="I778" s="45">
        <v>1868.0</v>
      </c>
      <c r="J778" s="15"/>
      <c r="K778" s="15"/>
      <c r="L778" s="15" t="s">
        <v>539</v>
      </c>
      <c r="M778" s="15"/>
      <c r="N778" s="38" t="s">
        <v>24</v>
      </c>
      <c r="O778" s="38" t="s">
        <v>60</v>
      </c>
    </row>
    <row r="779">
      <c r="A779" s="18" t="s">
        <v>7498</v>
      </c>
      <c r="B779" s="15" t="s">
        <v>9473</v>
      </c>
      <c r="C779" s="37">
        <v>45837.0</v>
      </c>
      <c r="D779" s="37">
        <v>45837.0</v>
      </c>
      <c r="E779" s="38" t="s">
        <v>9474</v>
      </c>
      <c r="F779" s="38" t="s">
        <v>7567</v>
      </c>
      <c r="G779" s="39">
        <v>16446.0</v>
      </c>
      <c r="H779" s="40"/>
      <c r="I779" s="42">
        <v>701.0</v>
      </c>
      <c r="J779" s="15"/>
      <c r="K779" s="15"/>
      <c r="L779" s="15" t="s">
        <v>539</v>
      </c>
      <c r="M779" s="15"/>
      <c r="N779" s="38" t="s">
        <v>24</v>
      </c>
      <c r="O779" s="38" t="s">
        <v>60</v>
      </c>
    </row>
    <row r="780">
      <c r="A780" s="18" t="s">
        <v>7498</v>
      </c>
      <c r="B780" s="15" t="s">
        <v>9475</v>
      </c>
      <c r="C780" s="37">
        <v>45837.0</v>
      </c>
      <c r="D780" s="37">
        <v>45837.0</v>
      </c>
      <c r="E780" s="38" t="s">
        <v>9476</v>
      </c>
      <c r="F780" s="38" t="s">
        <v>7567</v>
      </c>
      <c r="G780" s="39">
        <v>16446.0</v>
      </c>
      <c r="H780" s="40"/>
      <c r="I780" s="45">
        <v>4800.0</v>
      </c>
      <c r="J780" s="15"/>
      <c r="K780" s="15"/>
      <c r="L780" s="15" t="s">
        <v>539</v>
      </c>
      <c r="M780" s="15"/>
      <c r="N780" s="38" t="s">
        <v>24</v>
      </c>
      <c r="O780" s="38" t="s">
        <v>60</v>
      </c>
    </row>
    <row r="781">
      <c r="A781" s="18" t="s">
        <v>7498</v>
      </c>
      <c r="B781" s="15" t="s">
        <v>9477</v>
      </c>
      <c r="C781" s="37">
        <v>45837.0</v>
      </c>
      <c r="D781" s="37">
        <v>45837.0</v>
      </c>
      <c r="E781" s="38" t="s">
        <v>9478</v>
      </c>
      <c r="F781" s="38" t="s">
        <v>7567</v>
      </c>
      <c r="G781" s="39">
        <v>16446.0</v>
      </c>
      <c r="H781" s="40"/>
      <c r="I781" s="42">
        <v>676.0</v>
      </c>
      <c r="J781" s="15"/>
      <c r="K781" s="15"/>
      <c r="L781" s="15" t="s">
        <v>539</v>
      </c>
      <c r="M781" s="15"/>
      <c r="N781" s="38" t="s">
        <v>24</v>
      </c>
      <c r="O781" s="38" t="s">
        <v>60</v>
      </c>
    </row>
    <row r="782">
      <c r="A782" s="18" t="s">
        <v>7498</v>
      </c>
      <c r="B782" s="15" t="s">
        <v>9479</v>
      </c>
      <c r="C782" s="37">
        <v>45838.0</v>
      </c>
      <c r="D782" s="37">
        <v>45838.0</v>
      </c>
      <c r="E782" s="38" t="s">
        <v>9480</v>
      </c>
      <c r="F782" s="38" t="s">
        <v>7537</v>
      </c>
      <c r="G782" s="39">
        <v>16446.0</v>
      </c>
      <c r="H782" s="40"/>
      <c r="I782" s="42">
        <v>455.0</v>
      </c>
      <c r="J782" s="15"/>
      <c r="K782" s="15"/>
      <c r="L782" s="15" t="s">
        <v>539</v>
      </c>
      <c r="M782" s="15"/>
      <c r="N782" s="38" t="s">
        <v>24</v>
      </c>
      <c r="O782" s="38" t="s">
        <v>60</v>
      </c>
    </row>
    <row r="783">
      <c r="A783" s="18" t="s">
        <v>7498</v>
      </c>
      <c r="B783" s="15" t="s">
        <v>9481</v>
      </c>
      <c r="C783" s="37">
        <v>45838.0</v>
      </c>
      <c r="D783" s="37">
        <v>45838.0</v>
      </c>
      <c r="E783" s="38" t="s">
        <v>9482</v>
      </c>
      <c r="F783" s="38" t="s">
        <v>7537</v>
      </c>
      <c r="G783" s="39">
        <v>16446.0</v>
      </c>
      <c r="H783" s="40"/>
      <c r="I783" s="42">
        <v>398.0</v>
      </c>
      <c r="J783" s="15"/>
      <c r="K783" s="15"/>
      <c r="L783" s="15" t="s">
        <v>539</v>
      </c>
      <c r="M783" s="15"/>
      <c r="N783" s="38" t="s">
        <v>24</v>
      </c>
      <c r="O783" s="38" t="s">
        <v>60</v>
      </c>
    </row>
    <row r="784">
      <c r="A784" s="18" t="s">
        <v>7498</v>
      </c>
      <c r="B784" s="15" t="s">
        <v>9483</v>
      </c>
      <c r="C784" s="37">
        <v>45838.0</v>
      </c>
      <c r="D784" s="37">
        <v>45838.0</v>
      </c>
      <c r="E784" s="38" t="s">
        <v>9484</v>
      </c>
      <c r="F784" s="38" t="s">
        <v>7537</v>
      </c>
      <c r="G784" s="39">
        <v>16446.0</v>
      </c>
      <c r="H784" s="40"/>
      <c r="I784" s="42">
        <v>338.0</v>
      </c>
      <c r="J784" s="15"/>
      <c r="K784" s="15"/>
      <c r="L784" s="15" t="s">
        <v>539</v>
      </c>
      <c r="M784" s="15"/>
      <c r="N784" s="38" t="s">
        <v>24</v>
      </c>
      <c r="O784" s="38" t="s">
        <v>60</v>
      </c>
    </row>
    <row r="785">
      <c r="A785" s="18" t="s">
        <v>7498</v>
      </c>
      <c r="B785" s="15" t="s">
        <v>9485</v>
      </c>
      <c r="C785" s="37">
        <v>45838.0</v>
      </c>
      <c r="D785" s="37">
        <v>45838.0</v>
      </c>
      <c r="E785" s="38" t="s">
        <v>9486</v>
      </c>
      <c r="F785" s="38" t="s">
        <v>7537</v>
      </c>
      <c r="G785" s="39">
        <v>16446.0</v>
      </c>
      <c r="H785" s="40"/>
      <c r="I785" s="42">
        <v>629.0</v>
      </c>
      <c r="J785" s="15"/>
      <c r="K785" s="15"/>
      <c r="L785" s="15" t="s">
        <v>539</v>
      </c>
      <c r="M785" s="15"/>
      <c r="N785" s="38" t="s">
        <v>24</v>
      </c>
      <c r="O785" s="38" t="s">
        <v>60</v>
      </c>
    </row>
    <row r="786">
      <c r="A786" s="18" t="s">
        <v>7498</v>
      </c>
      <c r="B786" s="15" t="s">
        <v>9487</v>
      </c>
      <c r="C786" s="37">
        <v>45838.0</v>
      </c>
      <c r="D786" s="37">
        <v>45838.0</v>
      </c>
      <c r="E786" s="38" t="s">
        <v>9488</v>
      </c>
      <c r="F786" s="38" t="s">
        <v>7537</v>
      </c>
      <c r="G786" s="39">
        <v>16446.0</v>
      </c>
      <c r="H786" s="40"/>
      <c r="I786" s="42">
        <v>450.0</v>
      </c>
      <c r="J786" s="15"/>
      <c r="K786" s="15"/>
      <c r="L786" s="15" t="s">
        <v>539</v>
      </c>
      <c r="M786" s="15"/>
      <c r="N786" s="38" t="s">
        <v>24</v>
      </c>
      <c r="O786" s="38" t="s">
        <v>60</v>
      </c>
    </row>
    <row r="787">
      <c r="A787" s="18" t="s">
        <v>7498</v>
      </c>
      <c r="B787" s="15" t="s">
        <v>9489</v>
      </c>
      <c r="C787" s="37">
        <v>45838.0</v>
      </c>
      <c r="D787" s="37">
        <v>45838.0</v>
      </c>
      <c r="E787" s="38" t="s">
        <v>9490</v>
      </c>
      <c r="F787" s="38" t="s">
        <v>7537</v>
      </c>
      <c r="G787" s="39">
        <v>16446.0</v>
      </c>
      <c r="H787" s="40"/>
      <c r="I787" s="42">
        <v>895.0</v>
      </c>
      <c r="J787" s="15"/>
      <c r="K787" s="15"/>
      <c r="L787" s="15" t="s">
        <v>539</v>
      </c>
      <c r="M787" s="15"/>
      <c r="N787" s="38" t="s">
        <v>24</v>
      </c>
      <c r="O787" s="38" t="s">
        <v>60</v>
      </c>
    </row>
    <row r="788">
      <c r="A788" s="18" t="s">
        <v>7498</v>
      </c>
      <c r="B788" s="15" t="s">
        <v>9491</v>
      </c>
      <c r="C788" s="37">
        <v>45838.0</v>
      </c>
      <c r="D788" s="37">
        <v>45838.0</v>
      </c>
      <c r="E788" s="38" t="s">
        <v>9492</v>
      </c>
      <c r="F788" s="38" t="s">
        <v>7537</v>
      </c>
      <c r="G788" s="39">
        <v>16446.0</v>
      </c>
      <c r="H788" s="40"/>
      <c r="I788" s="42">
        <v>672.0</v>
      </c>
      <c r="J788" s="15"/>
      <c r="K788" s="15"/>
      <c r="L788" s="15" t="s">
        <v>539</v>
      </c>
      <c r="M788" s="15"/>
      <c r="N788" s="38" t="s">
        <v>24</v>
      </c>
      <c r="O788" s="38" t="s">
        <v>60</v>
      </c>
    </row>
    <row r="789">
      <c r="A789" s="18" t="s">
        <v>7498</v>
      </c>
      <c r="B789" s="15" t="s">
        <v>9493</v>
      </c>
      <c r="C789" s="37">
        <v>45838.0</v>
      </c>
      <c r="D789" s="37">
        <v>45838.0</v>
      </c>
      <c r="E789" s="38" t="s">
        <v>9494</v>
      </c>
      <c r="F789" s="38" t="s">
        <v>7537</v>
      </c>
      <c r="G789" s="39">
        <v>16446.0</v>
      </c>
      <c r="H789" s="40"/>
      <c r="I789" s="42">
        <v>500.0</v>
      </c>
      <c r="J789" s="15"/>
      <c r="K789" s="15"/>
      <c r="L789" s="15" t="s">
        <v>539</v>
      </c>
      <c r="M789" s="15"/>
      <c r="N789" s="38" t="s">
        <v>24</v>
      </c>
      <c r="O789" s="38" t="s">
        <v>60</v>
      </c>
    </row>
    <row r="790">
      <c r="A790" s="18" t="s">
        <v>7498</v>
      </c>
      <c r="B790" s="15" t="s">
        <v>9495</v>
      </c>
      <c r="C790" s="37">
        <v>45839.0</v>
      </c>
      <c r="D790" s="37">
        <v>45839.0</v>
      </c>
      <c r="E790" s="38" t="s">
        <v>7640</v>
      </c>
      <c r="F790" s="38" t="s">
        <v>9496</v>
      </c>
      <c r="G790" s="39">
        <v>99922.0</v>
      </c>
      <c r="H790" s="45">
        <v>14872.66</v>
      </c>
      <c r="I790" s="40"/>
      <c r="J790" s="39" t="s">
        <v>9497</v>
      </c>
      <c r="K790" s="15"/>
      <c r="L790" s="15" t="s">
        <v>127</v>
      </c>
      <c r="M790" s="15"/>
      <c r="N790" s="38" t="s">
        <v>114</v>
      </c>
      <c r="O790" s="38" t="s">
        <v>220</v>
      </c>
    </row>
    <row r="791">
      <c r="A791" s="18" t="s">
        <v>7498</v>
      </c>
      <c r="B791" s="15" t="s">
        <v>9498</v>
      </c>
      <c r="C791" s="37">
        <v>45839.0</v>
      </c>
      <c r="D791" s="43">
        <v>45839.0</v>
      </c>
      <c r="E791" s="38" t="s">
        <v>9499</v>
      </c>
      <c r="F791" s="38" t="s">
        <v>7544</v>
      </c>
      <c r="G791" s="39">
        <v>16446.0</v>
      </c>
      <c r="H791" s="40"/>
      <c r="I791" s="42">
        <v>126.72</v>
      </c>
      <c r="J791" s="39" t="s">
        <v>9500</v>
      </c>
      <c r="K791" s="15"/>
      <c r="L791" s="15" t="s">
        <v>123</v>
      </c>
      <c r="M791" s="15" t="s">
        <v>9501</v>
      </c>
      <c r="N791" s="15" t="s">
        <v>24</v>
      </c>
      <c r="O791" s="15" t="s">
        <v>60</v>
      </c>
    </row>
    <row r="792">
      <c r="A792" s="18" t="s">
        <v>7498</v>
      </c>
      <c r="B792" s="15" t="s">
        <v>9502</v>
      </c>
      <c r="C792" s="37">
        <v>45839.0</v>
      </c>
      <c r="D792" s="43">
        <v>45839.0</v>
      </c>
      <c r="E792" s="38" t="s">
        <v>9503</v>
      </c>
      <c r="F792" s="38" t="s">
        <v>8451</v>
      </c>
      <c r="G792" s="39">
        <v>16446.0</v>
      </c>
      <c r="H792" s="45">
        <v>12500.0</v>
      </c>
      <c r="I792" s="40"/>
      <c r="J792" s="39" t="s">
        <v>9504</v>
      </c>
      <c r="K792" s="15"/>
      <c r="L792" s="15" t="s">
        <v>123</v>
      </c>
      <c r="M792" s="15"/>
      <c r="N792" s="38" t="s">
        <v>114</v>
      </c>
      <c r="O792" s="15" t="s">
        <v>169</v>
      </c>
    </row>
    <row r="793">
      <c r="A793" s="18" t="s">
        <v>7498</v>
      </c>
      <c r="B793" s="15" t="s">
        <v>9505</v>
      </c>
      <c r="C793" s="37">
        <v>45839.0</v>
      </c>
      <c r="D793" s="43">
        <v>45839.0</v>
      </c>
      <c r="E793" s="38" t="s">
        <v>9506</v>
      </c>
      <c r="F793" s="38" t="s">
        <v>7544</v>
      </c>
      <c r="G793" s="39">
        <v>16446.0</v>
      </c>
      <c r="H793" s="40"/>
      <c r="I793" s="42">
        <v>109.0</v>
      </c>
      <c r="J793" s="39" t="s">
        <v>9507</v>
      </c>
      <c r="K793" s="15"/>
      <c r="L793" s="15" t="s">
        <v>539</v>
      </c>
      <c r="M793" s="15"/>
      <c r="N793" s="15" t="s">
        <v>24</v>
      </c>
      <c r="O793" s="15" t="s">
        <v>60</v>
      </c>
    </row>
    <row r="794">
      <c r="A794" s="18" t="s">
        <v>7498</v>
      </c>
      <c r="B794" s="15" t="s">
        <v>9508</v>
      </c>
      <c r="C794" s="37">
        <v>45839.0</v>
      </c>
      <c r="D794" s="43">
        <v>45839.0</v>
      </c>
      <c r="E794" s="38" t="s">
        <v>9509</v>
      </c>
      <c r="F794" s="38" t="s">
        <v>7544</v>
      </c>
      <c r="G794" s="39">
        <v>16446.0</v>
      </c>
      <c r="H794" s="40"/>
      <c r="I794" s="42">
        <v>399.0</v>
      </c>
      <c r="J794" s="39" t="s">
        <v>9510</v>
      </c>
      <c r="K794" s="15"/>
      <c r="L794" s="15" t="s">
        <v>113</v>
      </c>
      <c r="M794" s="15" t="s">
        <v>9511</v>
      </c>
      <c r="N794" s="15" t="s">
        <v>24</v>
      </c>
      <c r="O794" s="15" t="s">
        <v>60</v>
      </c>
    </row>
    <row r="795">
      <c r="A795" s="18" t="s">
        <v>7498</v>
      </c>
      <c r="B795" s="15" t="s">
        <v>9512</v>
      </c>
      <c r="C795" s="37">
        <v>45839.0</v>
      </c>
      <c r="D795" s="43">
        <v>45839.0</v>
      </c>
      <c r="E795" s="38" t="s">
        <v>9513</v>
      </c>
      <c r="F795" s="38" t="s">
        <v>7544</v>
      </c>
      <c r="G795" s="39">
        <v>16446.0</v>
      </c>
      <c r="H795" s="40"/>
      <c r="I795" s="42">
        <v>327.0</v>
      </c>
      <c r="J795" s="39" t="s">
        <v>9514</v>
      </c>
      <c r="K795" s="15"/>
      <c r="L795" s="15" t="s">
        <v>113</v>
      </c>
      <c r="M795" s="15" t="s">
        <v>9515</v>
      </c>
      <c r="N795" s="15" t="s">
        <v>24</v>
      </c>
      <c r="O795" s="15" t="s">
        <v>60</v>
      </c>
    </row>
    <row r="796">
      <c r="A796" s="18" t="s">
        <v>7498</v>
      </c>
      <c r="B796" s="15" t="s">
        <v>9516</v>
      </c>
      <c r="C796" s="43">
        <v>45840.0</v>
      </c>
      <c r="D796" s="43">
        <v>45840.0</v>
      </c>
      <c r="E796" s="38" t="s">
        <v>9517</v>
      </c>
      <c r="F796" s="38" t="s">
        <v>7557</v>
      </c>
      <c r="G796" s="39">
        <v>16446.0</v>
      </c>
      <c r="H796" s="40"/>
      <c r="I796" s="42">
        <v>445.0</v>
      </c>
      <c r="J796" s="39" t="s">
        <v>9518</v>
      </c>
      <c r="K796" s="15"/>
      <c r="L796" s="15" t="s">
        <v>127</v>
      </c>
      <c r="M796" s="15" t="s">
        <v>9519</v>
      </c>
      <c r="N796" s="15" t="s">
        <v>24</v>
      </c>
      <c r="O796" s="15" t="s">
        <v>60</v>
      </c>
    </row>
    <row r="797">
      <c r="A797" s="18" t="s">
        <v>7498</v>
      </c>
      <c r="B797" s="15" t="s">
        <v>9520</v>
      </c>
      <c r="C797" s="43">
        <v>45840.0</v>
      </c>
      <c r="D797" s="43">
        <v>45840.0</v>
      </c>
      <c r="E797" s="38" t="s">
        <v>9521</v>
      </c>
      <c r="F797" s="38" t="s">
        <v>7557</v>
      </c>
      <c r="G797" s="39">
        <v>16446.0</v>
      </c>
      <c r="H797" s="40"/>
      <c r="I797" s="42">
        <v>540.0</v>
      </c>
      <c r="J797" s="39" t="s">
        <v>9522</v>
      </c>
      <c r="K797" s="15"/>
      <c r="L797" s="15" t="s">
        <v>539</v>
      </c>
      <c r="M797" s="15"/>
      <c r="N797" s="15" t="s">
        <v>24</v>
      </c>
      <c r="O797" s="15" t="s">
        <v>60</v>
      </c>
    </row>
    <row r="798">
      <c r="A798" s="18" t="s">
        <v>7498</v>
      </c>
      <c r="B798" s="15" t="s">
        <v>9523</v>
      </c>
      <c r="C798" s="43">
        <v>45840.0</v>
      </c>
      <c r="D798" s="43">
        <v>45840.0</v>
      </c>
      <c r="E798" s="38" t="s">
        <v>9524</v>
      </c>
      <c r="F798" s="38" t="s">
        <v>7557</v>
      </c>
      <c r="G798" s="39">
        <v>16446.0</v>
      </c>
      <c r="H798" s="40"/>
      <c r="I798" s="42">
        <v>336.0</v>
      </c>
      <c r="J798" s="39" t="s">
        <v>9525</v>
      </c>
      <c r="K798" s="15"/>
      <c r="L798" s="15" t="s">
        <v>539</v>
      </c>
      <c r="M798" s="15"/>
      <c r="N798" s="15" t="s">
        <v>24</v>
      </c>
      <c r="O798" s="15" t="s">
        <v>60</v>
      </c>
    </row>
    <row r="799">
      <c r="A799" s="18" t="s">
        <v>7498</v>
      </c>
      <c r="B799" s="15" t="s">
        <v>9526</v>
      </c>
      <c r="C799" s="43">
        <v>45840.0</v>
      </c>
      <c r="D799" s="43">
        <v>45840.0</v>
      </c>
      <c r="E799" s="38" t="s">
        <v>9527</v>
      </c>
      <c r="F799" s="38" t="s">
        <v>7557</v>
      </c>
      <c r="G799" s="39">
        <v>16446.0</v>
      </c>
      <c r="H799" s="40"/>
      <c r="I799" s="42">
        <v>314.0</v>
      </c>
      <c r="J799" s="39" t="s">
        <v>9528</v>
      </c>
      <c r="K799" s="15"/>
      <c r="L799" s="15" t="s">
        <v>539</v>
      </c>
      <c r="M799" s="15"/>
      <c r="N799" s="15" t="s">
        <v>24</v>
      </c>
      <c r="O799" s="15" t="s">
        <v>60</v>
      </c>
    </row>
    <row r="800">
      <c r="A800" s="18" t="s">
        <v>7498</v>
      </c>
      <c r="B800" s="15" t="s">
        <v>9529</v>
      </c>
      <c r="C800" s="43">
        <v>45840.0</v>
      </c>
      <c r="D800" s="43">
        <v>45840.0</v>
      </c>
      <c r="E800" s="38" t="s">
        <v>9530</v>
      </c>
      <c r="F800" s="38" t="s">
        <v>7557</v>
      </c>
      <c r="G800" s="39">
        <v>16446.0</v>
      </c>
      <c r="H800" s="40"/>
      <c r="I800" s="42">
        <v>100.0</v>
      </c>
      <c r="J800" s="39" t="s">
        <v>9531</v>
      </c>
      <c r="K800" s="15"/>
      <c r="L800" s="15" t="s">
        <v>123</v>
      </c>
      <c r="M800" s="15" t="s">
        <v>9532</v>
      </c>
      <c r="N800" s="15" t="s">
        <v>24</v>
      </c>
      <c r="O800" s="15" t="s">
        <v>60</v>
      </c>
    </row>
    <row r="801">
      <c r="A801" s="18" t="s">
        <v>7498</v>
      </c>
      <c r="B801" s="15" t="s">
        <v>9533</v>
      </c>
      <c r="C801" s="43">
        <v>45840.0</v>
      </c>
      <c r="D801" s="43">
        <v>45840.0</v>
      </c>
      <c r="E801" s="38" t="s">
        <v>9534</v>
      </c>
      <c r="F801" s="38" t="s">
        <v>7557</v>
      </c>
      <c r="G801" s="39">
        <v>16446.0</v>
      </c>
      <c r="H801" s="40"/>
      <c r="I801" s="42">
        <v>620.0</v>
      </c>
      <c r="J801" s="39" t="s">
        <v>9535</v>
      </c>
      <c r="K801" s="15"/>
      <c r="L801" s="15" t="s">
        <v>127</v>
      </c>
      <c r="M801" s="15" t="s">
        <v>9536</v>
      </c>
      <c r="N801" s="15" t="s">
        <v>24</v>
      </c>
      <c r="O801" s="15" t="s">
        <v>60</v>
      </c>
    </row>
    <row r="802">
      <c r="A802" s="18" t="s">
        <v>7498</v>
      </c>
      <c r="B802" s="15" t="s">
        <v>9537</v>
      </c>
      <c r="C802" s="43">
        <v>45840.0</v>
      </c>
      <c r="D802" s="43">
        <v>45840.0</v>
      </c>
      <c r="E802" s="38" t="s">
        <v>9538</v>
      </c>
      <c r="F802" s="38" t="s">
        <v>7557</v>
      </c>
      <c r="G802" s="39">
        <v>16446.0</v>
      </c>
      <c r="H802" s="40"/>
      <c r="I802" s="42">
        <v>686.0</v>
      </c>
      <c r="J802" s="39" t="s">
        <v>9539</v>
      </c>
      <c r="K802" s="15"/>
      <c r="L802" s="15" t="s">
        <v>127</v>
      </c>
      <c r="M802" s="15" t="s">
        <v>2646</v>
      </c>
      <c r="N802" s="15" t="s">
        <v>24</v>
      </c>
      <c r="O802" s="15" t="s">
        <v>60</v>
      </c>
    </row>
    <row r="803">
      <c r="A803" s="18" t="s">
        <v>7498</v>
      </c>
      <c r="B803" s="15" t="s">
        <v>9540</v>
      </c>
      <c r="C803" s="43">
        <v>45840.0</v>
      </c>
      <c r="D803" s="43">
        <v>45840.0</v>
      </c>
      <c r="E803" s="38" t="s">
        <v>9541</v>
      </c>
      <c r="F803" s="38" t="s">
        <v>9542</v>
      </c>
      <c r="G803" s="39">
        <v>16446.0</v>
      </c>
      <c r="H803" s="45">
        <v>24057.0</v>
      </c>
      <c r="I803" s="40"/>
      <c r="J803" s="39" t="s">
        <v>9543</v>
      </c>
      <c r="K803" s="15"/>
      <c r="L803" s="18" t="s">
        <v>23</v>
      </c>
      <c r="M803" s="15"/>
      <c r="N803" s="38" t="s">
        <v>114</v>
      </c>
      <c r="O803" s="15" t="s">
        <v>169</v>
      </c>
    </row>
    <row r="804">
      <c r="A804" s="18" t="s">
        <v>7498</v>
      </c>
      <c r="B804" s="15" t="s">
        <v>9544</v>
      </c>
      <c r="C804" s="43">
        <v>45840.0</v>
      </c>
      <c r="D804" s="43">
        <v>45840.0</v>
      </c>
      <c r="E804" s="38" t="s">
        <v>9545</v>
      </c>
      <c r="F804" s="38" t="s">
        <v>9542</v>
      </c>
      <c r="G804" s="39">
        <v>16446.0</v>
      </c>
      <c r="H804" s="45">
        <v>20000.0</v>
      </c>
      <c r="I804" s="40"/>
      <c r="J804" s="39" t="s">
        <v>9546</v>
      </c>
      <c r="K804" s="15"/>
      <c r="L804" s="18" t="s">
        <v>23</v>
      </c>
      <c r="M804" s="15"/>
      <c r="N804" s="38" t="s">
        <v>114</v>
      </c>
      <c r="O804" s="15" t="s">
        <v>169</v>
      </c>
    </row>
    <row r="805">
      <c r="A805" s="18" t="s">
        <v>7498</v>
      </c>
      <c r="B805" s="15" t="s">
        <v>9547</v>
      </c>
      <c r="C805" s="43">
        <v>45840.0</v>
      </c>
      <c r="D805" s="43">
        <v>45840.0</v>
      </c>
      <c r="E805" s="38" t="s">
        <v>9548</v>
      </c>
      <c r="F805" s="38" t="s">
        <v>9542</v>
      </c>
      <c r="G805" s="39">
        <v>16446.0</v>
      </c>
      <c r="H805" s="45">
        <v>5001.0</v>
      </c>
      <c r="I805" s="40"/>
      <c r="J805" s="45">
        <v>96375.5</v>
      </c>
      <c r="K805" s="15"/>
      <c r="L805" s="18" t="s">
        <v>23</v>
      </c>
      <c r="M805" s="15"/>
      <c r="N805" s="38" t="s">
        <v>114</v>
      </c>
      <c r="O805" s="15" t="s">
        <v>169</v>
      </c>
    </row>
    <row r="806">
      <c r="A806" s="18" t="s">
        <v>7498</v>
      </c>
      <c r="B806" s="15" t="s">
        <v>9549</v>
      </c>
      <c r="C806" s="43">
        <v>45840.0</v>
      </c>
      <c r="D806" s="43">
        <v>45840.0</v>
      </c>
      <c r="E806" s="38" t="s">
        <v>9550</v>
      </c>
      <c r="F806" s="38" t="s">
        <v>7557</v>
      </c>
      <c r="G806" s="39">
        <v>16446.0</v>
      </c>
      <c r="H806" s="40"/>
      <c r="I806" s="42">
        <v>280.0</v>
      </c>
      <c r="J806" s="45">
        <v>96655.5</v>
      </c>
      <c r="K806" s="15"/>
      <c r="L806" s="15" t="s">
        <v>539</v>
      </c>
      <c r="M806" s="15"/>
      <c r="N806" s="15" t="s">
        <v>24</v>
      </c>
      <c r="O806" s="15" t="s">
        <v>60</v>
      </c>
    </row>
    <row r="807">
      <c r="A807" s="18" t="s">
        <v>7498</v>
      </c>
      <c r="B807" s="15" t="s">
        <v>9551</v>
      </c>
      <c r="C807" s="43">
        <v>45840.0</v>
      </c>
      <c r="D807" s="43">
        <v>45840.0</v>
      </c>
      <c r="E807" s="38" t="s">
        <v>9552</v>
      </c>
      <c r="F807" s="38" t="s">
        <v>9553</v>
      </c>
      <c r="G807" s="39">
        <v>99922.0</v>
      </c>
      <c r="H807" s="45">
        <v>15000.0</v>
      </c>
      <c r="I807" s="40"/>
      <c r="J807" s="45">
        <v>81655.5</v>
      </c>
      <c r="K807" s="15"/>
      <c r="L807" s="18" t="s">
        <v>23</v>
      </c>
      <c r="M807" s="15"/>
      <c r="N807" s="38" t="s">
        <v>114</v>
      </c>
      <c r="O807" s="15" t="s">
        <v>1481</v>
      </c>
    </row>
    <row r="808">
      <c r="A808" s="18" t="s">
        <v>7498</v>
      </c>
      <c r="B808" s="15" t="s">
        <v>9554</v>
      </c>
      <c r="C808" s="43">
        <v>45840.0</v>
      </c>
      <c r="D808" s="43">
        <v>45840.0</v>
      </c>
      <c r="E808" s="38" t="s">
        <v>9555</v>
      </c>
      <c r="F808" s="38" t="s">
        <v>7557</v>
      </c>
      <c r="G808" s="39">
        <v>16446.0</v>
      </c>
      <c r="H808" s="40"/>
      <c r="I808" s="42">
        <v>195.0</v>
      </c>
      <c r="J808" s="45">
        <v>81850.5</v>
      </c>
      <c r="K808" s="15"/>
      <c r="L808" s="15" t="s">
        <v>127</v>
      </c>
      <c r="M808" s="15" t="s">
        <v>9556</v>
      </c>
      <c r="N808" s="15" t="s">
        <v>24</v>
      </c>
      <c r="O808" s="15" t="s">
        <v>60</v>
      </c>
    </row>
    <row r="809">
      <c r="A809" s="18" t="s">
        <v>7498</v>
      </c>
      <c r="B809" s="15" t="s">
        <v>9557</v>
      </c>
      <c r="C809" s="43">
        <v>45841.0</v>
      </c>
      <c r="D809" s="43">
        <v>45841.0</v>
      </c>
      <c r="E809" s="38" t="s">
        <v>9558</v>
      </c>
      <c r="F809" s="38" t="s">
        <v>7580</v>
      </c>
      <c r="G809" s="39">
        <v>16446.0</v>
      </c>
      <c r="H809" s="40"/>
      <c r="I809" s="45">
        <v>2250.0</v>
      </c>
      <c r="J809" s="45">
        <v>84100.5</v>
      </c>
      <c r="K809" s="15"/>
      <c r="L809" s="15" t="s">
        <v>123</v>
      </c>
      <c r="M809" s="15" t="s">
        <v>9559</v>
      </c>
      <c r="N809" s="15" t="s">
        <v>24</v>
      </c>
      <c r="O809" s="15" t="s">
        <v>60</v>
      </c>
    </row>
    <row r="810">
      <c r="A810" s="18" t="s">
        <v>7498</v>
      </c>
      <c r="B810" s="15" t="s">
        <v>9560</v>
      </c>
      <c r="C810" s="43">
        <v>45841.0</v>
      </c>
      <c r="D810" s="43">
        <v>45841.0</v>
      </c>
      <c r="E810" s="38" t="s">
        <v>9561</v>
      </c>
      <c r="F810" s="38" t="s">
        <v>7580</v>
      </c>
      <c r="G810" s="39">
        <v>16446.0</v>
      </c>
      <c r="H810" s="40"/>
      <c r="I810" s="42">
        <v>300.0</v>
      </c>
      <c r="J810" s="45">
        <v>84400.5</v>
      </c>
      <c r="K810" s="15"/>
      <c r="L810" s="15" t="s">
        <v>127</v>
      </c>
      <c r="M810" s="15" t="s">
        <v>9562</v>
      </c>
      <c r="N810" s="15" t="s">
        <v>24</v>
      </c>
      <c r="O810" s="15" t="s">
        <v>60</v>
      </c>
    </row>
    <row r="811">
      <c r="A811" s="18" t="s">
        <v>7498</v>
      </c>
      <c r="B811" s="15" t="s">
        <v>9563</v>
      </c>
      <c r="C811" s="43">
        <v>45841.0</v>
      </c>
      <c r="D811" s="43">
        <v>45841.0</v>
      </c>
      <c r="E811" s="38" t="s">
        <v>9564</v>
      </c>
      <c r="F811" s="38" t="s">
        <v>7580</v>
      </c>
      <c r="G811" s="39">
        <v>16446.0</v>
      </c>
      <c r="H811" s="40"/>
      <c r="I811" s="42">
        <v>198.0</v>
      </c>
      <c r="J811" s="45">
        <v>84598.5</v>
      </c>
      <c r="K811" s="15"/>
      <c r="L811" s="15" t="s">
        <v>539</v>
      </c>
      <c r="M811" s="15"/>
      <c r="N811" s="15" t="s">
        <v>24</v>
      </c>
      <c r="O811" s="15" t="s">
        <v>60</v>
      </c>
    </row>
    <row r="812">
      <c r="A812" s="18" t="s">
        <v>7498</v>
      </c>
      <c r="B812" s="15" t="s">
        <v>9565</v>
      </c>
      <c r="C812" s="43">
        <v>45841.0</v>
      </c>
      <c r="D812" s="43">
        <v>45841.0</v>
      </c>
      <c r="E812" s="38" t="s">
        <v>9566</v>
      </c>
      <c r="F812" s="38" t="s">
        <v>7580</v>
      </c>
      <c r="G812" s="39">
        <v>16446.0</v>
      </c>
      <c r="H812" s="40"/>
      <c r="I812" s="42">
        <v>413.0</v>
      </c>
      <c r="J812" s="45">
        <v>85011.5</v>
      </c>
      <c r="K812" s="15"/>
      <c r="L812" s="15" t="s">
        <v>127</v>
      </c>
      <c r="M812" s="15" t="s">
        <v>9567</v>
      </c>
      <c r="N812" s="15" t="s">
        <v>24</v>
      </c>
      <c r="O812" s="15" t="s">
        <v>60</v>
      </c>
    </row>
    <row r="813">
      <c r="A813" s="18" t="s">
        <v>7498</v>
      </c>
      <c r="B813" s="15" t="s">
        <v>9568</v>
      </c>
      <c r="C813" s="43">
        <v>45841.0</v>
      </c>
      <c r="D813" s="43">
        <v>45841.0</v>
      </c>
      <c r="E813" s="38" t="s">
        <v>9569</v>
      </c>
      <c r="F813" s="38" t="s">
        <v>7580</v>
      </c>
      <c r="G813" s="39">
        <v>16446.0</v>
      </c>
      <c r="H813" s="40"/>
      <c r="I813" s="42">
        <v>352.0</v>
      </c>
      <c r="J813" s="45">
        <v>85363.5</v>
      </c>
      <c r="K813" s="15"/>
      <c r="L813" s="15" t="s">
        <v>127</v>
      </c>
      <c r="M813" s="15" t="s">
        <v>2344</v>
      </c>
      <c r="N813" s="15" t="s">
        <v>24</v>
      </c>
      <c r="O813" s="15" t="s">
        <v>60</v>
      </c>
    </row>
    <row r="814">
      <c r="A814" s="18" t="s">
        <v>7498</v>
      </c>
      <c r="B814" s="15" t="s">
        <v>9570</v>
      </c>
      <c r="C814" s="43">
        <v>45841.0</v>
      </c>
      <c r="D814" s="43">
        <v>45841.0</v>
      </c>
      <c r="E814" s="38" t="s">
        <v>9571</v>
      </c>
      <c r="F814" s="38" t="s">
        <v>7580</v>
      </c>
      <c r="G814" s="39">
        <v>16446.0</v>
      </c>
      <c r="H814" s="40"/>
      <c r="I814" s="42">
        <v>396.0</v>
      </c>
      <c r="J814" s="45">
        <v>85759.5</v>
      </c>
      <c r="K814" s="15"/>
      <c r="L814" s="15" t="s">
        <v>123</v>
      </c>
      <c r="M814" s="15" t="s">
        <v>9572</v>
      </c>
      <c r="N814" s="15" t="s">
        <v>24</v>
      </c>
      <c r="O814" s="15" t="s">
        <v>60</v>
      </c>
    </row>
    <row r="815">
      <c r="A815" s="18" t="s">
        <v>7498</v>
      </c>
      <c r="B815" s="15" t="s">
        <v>9573</v>
      </c>
      <c r="C815" s="43">
        <v>45841.0</v>
      </c>
      <c r="D815" s="43">
        <v>45841.0</v>
      </c>
      <c r="E815" s="38" t="s">
        <v>9574</v>
      </c>
      <c r="F815" s="38" t="s">
        <v>7580</v>
      </c>
      <c r="G815" s="39">
        <v>16446.0</v>
      </c>
      <c r="H815" s="40"/>
      <c r="I815" s="45">
        <v>1084.0</v>
      </c>
      <c r="J815" s="45">
        <v>86843.5</v>
      </c>
      <c r="K815" s="15"/>
      <c r="L815" s="15" t="s">
        <v>539</v>
      </c>
      <c r="M815" s="15"/>
      <c r="N815" s="15" t="s">
        <v>24</v>
      </c>
      <c r="O815" s="15" t="s">
        <v>60</v>
      </c>
    </row>
    <row r="816">
      <c r="A816" s="18" t="s">
        <v>7498</v>
      </c>
      <c r="B816" s="15" t="s">
        <v>9575</v>
      </c>
      <c r="C816" s="43">
        <v>45841.0</v>
      </c>
      <c r="D816" s="43">
        <v>45841.0</v>
      </c>
      <c r="E816" s="38" t="s">
        <v>9576</v>
      </c>
      <c r="F816" s="38" t="s">
        <v>7580</v>
      </c>
      <c r="G816" s="39">
        <v>16446.0</v>
      </c>
      <c r="H816" s="40"/>
      <c r="I816" s="42">
        <v>543.0</v>
      </c>
      <c r="J816" s="45">
        <v>87386.5</v>
      </c>
      <c r="K816" s="15"/>
      <c r="L816" s="15" t="s">
        <v>113</v>
      </c>
      <c r="M816" s="15" t="s">
        <v>9577</v>
      </c>
      <c r="N816" s="15" t="s">
        <v>24</v>
      </c>
      <c r="O816" s="15" t="s">
        <v>60</v>
      </c>
    </row>
    <row r="817">
      <c r="A817" s="18" t="s">
        <v>7498</v>
      </c>
      <c r="B817" s="15" t="s">
        <v>9578</v>
      </c>
      <c r="C817" s="43">
        <v>45841.0</v>
      </c>
      <c r="D817" s="43">
        <v>45841.0</v>
      </c>
      <c r="E817" s="38" t="s">
        <v>9579</v>
      </c>
      <c r="F817" s="38" t="s">
        <v>7580</v>
      </c>
      <c r="G817" s="39">
        <v>16446.0</v>
      </c>
      <c r="H817" s="40"/>
      <c r="I817" s="42">
        <v>897.0</v>
      </c>
      <c r="J817" s="45">
        <v>88283.5</v>
      </c>
      <c r="K817" s="15"/>
      <c r="L817" s="15" t="s">
        <v>123</v>
      </c>
      <c r="M817" s="15" t="s">
        <v>9580</v>
      </c>
      <c r="N817" s="15" t="s">
        <v>24</v>
      </c>
      <c r="O817" s="15" t="s">
        <v>60</v>
      </c>
    </row>
    <row r="818">
      <c r="A818" s="18" t="s">
        <v>7498</v>
      </c>
      <c r="B818" s="15" t="s">
        <v>9581</v>
      </c>
      <c r="C818" s="43">
        <v>45842.0</v>
      </c>
      <c r="D818" s="43">
        <v>45842.0</v>
      </c>
      <c r="E818" s="38" t="s">
        <v>9582</v>
      </c>
      <c r="F818" s="38" t="s">
        <v>7666</v>
      </c>
      <c r="G818" s="39">
        <v>16446.0</v>
      </c>
      <c r="H818" s="45">
        <v>1950.0</v>
      </c>
      <c r="I818" s="40"/>
      <c r="J818" s="45">
        <v>86333.5</v>
      </c>
      <c r="K818" s="15" t="s">
        <v>9583</v>
      </c>
      <c r="L818" s="18" t="s">
        <v>23</v>
      </c>
      <c r="M818" s="15"/>
      <c r="N818" s="38" t="s">
        <v>114</v>
      </c>
      <c r="O818" s="15" t="s">
        <v>385</v>
      </c>
    </row>
    <row r="819">
      <c r="A819" s="18" t="s">
        <v>7498</v>
      </c>
      <c r="B819" s="15" t="s">
        <v>9584</v>
      </c>
      <c r="C819" s="43">
        <v>45842.0</v>
      </c>
      <c r="D819" s="43">
        <v>45842.0</v>
      </c>
      <c r="E819" s="38" t="s">
        <v>9585</v>
      </c>
      <c r="F819" s="38" t="s">
        <v>7501</v>
      </c>
      <c r="G819" s="39">
        <v>4292.0</v>
      </c>
      <c r="H819" s="45">
        <v>1375.86</v>
      </c>
      <c r="I819" s="40"/>
      <c r="J819" s="45">
        <v>84957.64</v>
      </c>
      <c r="K819" s="15"/>
      <c r="L819" s="15" t="s">
        <v>119</v>
      </c>
      <c r="M819" s="15"/>
      <c r="N819" s="38" t="s">
        <v>114</v>
      </c>
      <c r="O819" s="15" t="s">
        <v>275</v>
      </c>
    </row>
    <row r="820">
      <c r="A820" s="18" t="s">
        <v>7498</v>
      </c>
      <c r="B820" s="15" t="s">
        <v>9586</v>
      </c>
      <c r="C820" s="43">
        <v>45842.0</v>
      </c>
      <c r="D820" s="43">
        <v>45842.0</v>
      </c>
      <c r="E820" s="38" t="s">
        <v>9587</v>
      </c>
      <c r="F820" s="38" t="s">
        <v>7508</v>
      </c>
      <c r="G820" s="39">
        <v>16446.0</v>
      </c>
      <c r="H820" s="40"/>
      <c r="I820" s="45">
        <v>1376.0</v>
      </c>
      <c r="J820" s="45">
        <v>86333.64</v>
      </c>
      <c r="K820" s="15"/>
      <c r="L820" s="15" t="s">
        <v>539</v>
      </c>
      <c r="M820" s="15"/>
      <c r="N820" s="15" t="s">
        <v>24</v>
      </c>
      <c r="O820" s="15" t="s">
        <v>60</v>
      </c>
    </row>
    <row r="821">
      <c r="A821" s="18" t="s">
        <v>7498</v>
      </c>
      <c r="B821" s="15" t="s">
        <v>9588</v>
      </c>
      <c r="C821" s="43">
        <v>45842.0</v>
      </c>
      <c r="D821" s="43">
        <v>45842.0</v>
      </c>
      <c r="E821" s="38" t="s">
        <v>9589</v>
      </c>
      <c r="F821" s="38" t="s">
        <v>7508</v>
      </c>
      <c r="G821" s="39">
        <v>16446.0</v>
      </c>
      <c r="H821" s="40"/>
      <c r="I821" s="42">
        <v>218.0</v>
      </c>
      <c r="J821" s="45">
        <v>86551.64</v>
      </c>
      <c r="K821" s="15"/>
      <c r="L821" s="15" t="s">
        <v>113</v>
      </c>
      <c r="M821" s="15" t="s">
        <v>9590</v>
      </c>
      <c r="N821" s="15" t="s">
        <v>24</v>
      </c>
      <c r="O821" s="15" t="s">
        <v>60</v>
      </c>
    </row>
    <row r="822">
      <c r="A822" s="18" t="s">
        <v>7498</v>
      </c>
      <c r="B822" s="15" t="s">
        <v>9591</v>
      </c>
      <c r="C822" s="43">
        <v>45842.0</v>
      </c>
      <c r="D822" s="43">
        <v>45842.0</v>
      </c>
      <c r="E822" s="38" t="s">
        <v>9592</v>
      </c>
      <c r="F822" s="38" t="s">
        <v>7508</v>
      </c>
      <c r="G822" s="39">
        <v>16446.0</v>
      </c>
      <c r="H822" s="40"/>
      <c r="I822" s="42">
        <v>648.0</v>
      </c>
      <c r="J822" s="45">
        <v>87199.64</v>
      </c>
      <c r="K822" s="15"/>
      <c r="L822" s="15" t="s">
        <v>127</v>
      </c>
      <c r="M822" s="15" t="s">
        <v>108</v>
      </c>
      <c r="N822" s="15" t="s">
        <v>24</v>
      </c>
      <c r="O822" s="15" t="s">
        <v>60</v>
      </c>
    </row>
    <row r="823">
      <c r="A823" s="18" t="s">
        <v>7498</v>
      </c>
      <c r="B823" s="15" t="s">
        <v>9593</v>
      </c>
      <c r="C823" s="43">
        <v>45842.0</v>
      </c>
      <c r="D823" s="43">
        <v>45842.0</v>
      </c>
      <c r="E823" s="38" t="s">
        <v>9594</v>
      </c>
      <c r="F823" s="38" t="s">
        <v>7508</v>
      </c>
      <c r="G823" s="39">
        <v>16446.0</v>
      </c>
      <c r="H823" s="40"/>
      <c r="I823" s="42">
        <v>505.0</v>
      </c>
      <c r="J823" s="45">
        <v>87704.64</v>
      </c>
      <c r="K823" s="15"/>
      <c r="L823" s="15" t="s">
        <v>539</v>
      </c>
      <c r="M823" s="15"/>
      <c r="N823" s="15" t="s">
        <v>24</v>
      </c>
      <c r="O823" s="15" t="s">
        <v>60</v>
      </c>
    </row>
    <row r="824">
      <c r="A824" s="18" t="s">
        <v>7498</v>
      </c>
      <c r="B824" s="15" t="s">
        <v>9595</v>
      </c>
      <c r="C824" s="43">
        <v>45845.0</v>
      </c>
      <c r="D824" s="43">
        <v>45845.0</v>
      </c>
      <c r="E824" s="38" t="s">
        <v>9596</v>
      </c>
      <c r="F824" s="38" t="s">
        <v>7857</v>
      </c>
      <c r="G824" s="39">
        <v>4430.0</v>
      </c>
      <c r="H824" s="40"/>
      <c r="I824" s="42">
        <v>838.0</v>
      </c>
      <c r="J824" s="45">
        <v>88542.64</v>
      </c>
      <c r="K824" s="15"/>
      <c r="L824" s="15" t="s">
        <v>127</v>
      </c>
      <c r="M824" s="15" t="s">
        <v>9597</v>
      </c>
      <c r="N824" s="15" t="s">
        <v>24</v>
      </c>
      <c r="O824" s="15" t="s">
        <v>60</v>
      </c>
    </row>
    <row r="825">
      <c r="A825" s="18" t="s">
        <v>7498</v>
      </c>
      <c r="B825" s="15" t="s">
        <v>9598</v>
      </c>
      <c r="C825" s="37">
        <v>45848.0</v>
      </c>
      <c r="D825" s="37">
        <v>45848.0</v>
      </c>
      <c r="E825" s="38" t="s">
        <v>9599</v>
      </c>
      <c r="F825" s="38" t="s">
        <v>9600</v>
      </c>
      <c r="G825" s="39">
        <v>16446.0</v>
      </c>
      <c r="H825" s="45">
        <v>17900.0</v>
      </c>
      <c r="I825" s="40"/>
      <c r="J825" s="45">
        <v>70642.64</v>
      </c>
      <c r="K825" s="15"/>
      <c r="L825" s="15" t="s">
        <v>119</v>
      </c>
      <c r="M825" s="15" t="s">
        <v>1229</v>
      </c>
      <c r="N825" s="38" t="s">
        <v>114</v>
      </c>
      <c r="O825" s="15" t="s">
        <v>169</v>
      </c>
    </row>
    <row r="826">
      <c r="A826" s="18" t="s">
        <v>7498</v>
      </c>
      <c r="B826" s="15" t="s">
        <v>9601</v>
      </c>
      <c r="C826" s="37">
        <v>45848.0</v>
      </c>
      <c r="D826" s="37">
        <v>45848.0</v>
      </c>
      <c r="E826" s="38" t="s">
        <v>9602</v>
      </c>
      <c r="F826" s="38" t="s">
        <v>9600</v>
      </c>
      <c r="G826" s="39">
        <v>16446.0</v>
      </c>
      <c r="H826" s="45">
        <v>18450.0</v>
      </c>
      <c r="I826" s="40"/>
      <c r="J826" s="45">
        <v>52192.64</v>
      </c>
      <c r="K826" s="15"/>
      <c r="L826" s="15" t="s">
        <v>119</v>
      </c>
      <c r="M826" s="15" t="s">
        <v>6089</v>
      </c>
      <c r="N826" s="38" t="s">
        <v>114</v>
      </c>
      <c r="O826" s="15" t="s">
        <v>169</v>
      </c>
    </row>
    <row r="827">
      <c r="A827" s="18" t="s">
        <v>7498</v>
      </c>
      <c r="B827" s="15" t="s">
        <v>9603</v>
      </c>
      <c r="C827" s="37">
        <v>45849.0</v>
      </c>
      <c r="D827" s="37">
        <v>45849.0</v>
      </c>
      <c r="E827" s="38" t="s">
        <v>7657</v>
      </c>
      <c r="F827" s="38" t="s">
        <v>9604</v>
      </c>
      <c r="G827" s="39">
        <v>99922.0</v>
      </c>
      <c r="H827" s="45">
        <v>21334.0</v>
      </c>
      <c r="I827" s="40"/>
      <c r="J827" s="45">
        <v>30858.64</v>
      </c>
      <c r="K827" s="15"/>
      <c r="L827" s="18" t="s">
        <v>23</v>
      </c>
      <c r="M827" s="15" t="s">
        <v>8497</v>
      </c>
      <c r="N827" s="38" t="s">
        <v>114</v>
      </c>
      <c r="O827" s="15" t="s">
        <v>169</v>
      </c>
    </row>
    <row r="828">
      <c r="A828" s="18" t="s">
        <v>7498</v>
      </c>
      <c r="B828" s="15" t="s">
        <v>9605</v>
      </c>
      <c r="C828" s="37">
        <v>45849.0</v>
      </c>
      <c r="D828" s="37">
        <v>45849.0</v>
      </c>
      <c r="E828" s="38" t="s">
        <v>9606</v>
      </c>
      <c r="F828" s="38" t="s">
        <v>7666</v>
      </c>
      <c r="G828" s="39">
        <v>16446.0</v>
      </c>
      <c r="H828" s="45">
        <v>15000.0</v>
      </c>
      <c r="I828" s="40"/>
      <c r="J828" s="45">
        <v>15858.64</v>
      </c>
      <c r="K828" s="15"/>
      <c r="L828" s="15" t="s">
        <v>127</v>
      </c>
      <c r="M828" s="15" t="s">
        <v>9607</v>
      </c>
      <c r="N828" s="38" t="s">
        <v>114</v>
      </c>
      <c r="O828" s="15" t="s">
        <v>169</v>
      </c>
    </row>
    <row r="829">
      <c r="A829" s="18" t="s">
        <v>7498</v>
      </c>
      <c r="B829" s="15" t="s">
        <v>9608</v>
      </c>
      <c r="C829" s="37">
        <v>45850.0</v>
      </c>
      <c r="D829" s="37">
        <v>45850.0</v>
      </c>
      <c r="E829" s="38" t="s">
        <v>9609</v>
      </c>
      <c r="F829" s="38" t="s">
        <v>9610</v>
      </c>
      <c r="G829" s="39">
        <v>16446.0</v>
      </c>
      <c r="H829" s="45">
        <v>13556.0</v>
      </c>
      <c r="I829" s="40"/>
      <c r="J829" s="45">
        <v>2302.64</v>
      </c>
      <c r="K829" s="15" t="s">
        <v>9611</v>
      </c>
      <c r="L829" s="18" t="s">
        <v>23</v>
      </c>
      <c r="M829" s="18" t="s">
        <v>9612</v>
      </c>
      <c r="N829" s="38" t="s">
        <v>114</v>
      </c>
      <c r="O829" s="15" t="s">
        <v>1481</v>
      </c>
    </row>
    <row r="830">
      <c r="A830" s="18" t="s">
        <v>7498</v>
      </c>
      <c r="B830" s="15" t="s">
        <v>9613</v>
      </c>
      <c r="C830" s="37">
        <v>45866.0</v>
      </c>
      <c r="D830" s="37">
        <v>45866.0</v>
      </c>
      <c r="E830" s="38" t="s">
        <v>9614</v>
      </c>
      <c r="F830" s="38" t="s">
        <v>9615</v>
      </c>
      <c r="G830" s="39">
        <v>99922.0</v>
      </c>
      <c r="H830" s="42">
        <v>10.0</v>
      </c>
      <c r="I830" s="40"/>
      <c r="J830" s="45">
        <v>2292.64</v>
      </c>
      <c r="K830" s="15" t="s">
        <v>9616</v>
      </c>
      <c r="L830" s="18" t="s">
        <v>23</v>
      </c>
      <c r="M830" s="18" t="s">
        <v>9617</v>
      </c>
      <c r="N830" s="38" t="s">
        <v>114</v>
      </c>
      <c r="O830" s="15" t="s">
        <v>731</v>
      </c>
    </row>
    <row r="831">
      <c r="A831" s="18" t="s">
        <v>7498</v>
      </c>
      <c r="B831" s="15" t="s">
        <v>9618</v>
      </c>
      <c r="C831" s="37">
        <v>45866.0</v>
      </c>
      <c r="D831" s="37">
        <v>45866.0</v>
      </c>
      <c r="E831" s="38" t="s">
        <v>9619</v>
      </c>
      <c r="F831" s="38" t="s">
        <v>9620</v>
      </c>
      <c r="G831" s="39">
        <v>99922.0</v>
      </c>
      <c r="H831" s="42">
        <v>10.0</v>
      </c>
      <c r="I831" s="40"/>
      <c r="J831" s="45">
        <v>2282.64</v>
      </c>
      <c r="K831" s="15" t="s">
        <v>9616</v>
      </c>
      <c r="L831" s="18" t="s">
        <v>23</v>
      </c>
      <c r="M831" s="18" t="s">
        <v>9617</v>
      </c>
      <c r="N831" s="38" t="s">
        <v>114</v>
      </c>
      <c r="O831" s="15" t="s">
        <v>731</v>
      </c>
    </row>
    <row r="832">
      <c r="A832" s="18" t="s">
        <v>7498</v>
      </c>
      <c r="B832" s="15" t="s">
        <v>9621</v>
      </c>
      <c r="C832" s="37">
        <v>45866.0</v>
      </c>
      <c r="D832" s="37">
        <v>45866.0</v>
      </c>
      <c r="E832" s="38" t="s">
        <v>9622</v>
      </c>
      <c r="F832" s="38" t="s">
        <v>9623</v>
      </c>
      <c r="G832" s="39">
        <v>99922.0</v>
      </c>
      <c r="H832" s="42">
        <v>10.0</v>
      </c>
      <c r="I832" s="40"/>
      <c r="J832" s="45">
        <v>2272.64</v>
      </c>
      <c r="K832" s="15" t="s">
        <v>9616</v>
      </c>
      <c r="L832" s="18" t="s">
        <v>23</v>
      </c>
      <c r="M832" s="18" t="s">
        <v>9617</v>
      </c>
      <c r="N832" s="38" t="s">
        <v>114</v>
      </c>
      <c r="O832" s="15" t="s">
        <v>731</v>
      </c>
    </row>
    <row r="833">
      <c r="A833" s="18" t="s">
        <v>7498</v>
      </c>
      <c r="B833" s="15" t="s">
        <v>9624</v>
      </c>
      <c r="C833" s="37">
        <v>45866.0</v>
      </c>
      <c r="D833" s="37">
        <v>45866.0</v>
      </c>
      <c r="E833" s="38" t="s">
        <v>9625</v>
      </c>
      <c r="F833" s="38" t="s">
        <v>9626</v>
      </c>
      <c r="G833" s="39">
        <v>99922.0</v>
      </c>
      <c r="H833" s="42">
        <v>10.0</v>
      </c>
      <c r="I833" s="40"/>
      <c r="J833" s="45">
        <v>2262.64</v>
      </c>
      <c r="K833" s="15" t="s">
        <v>9616</v>
      </c>
      <c r="L833" s="18" t="s">
        <v>23</v>
      </c>
      <c r="M833" s="18" t="s">
        <v>9617</v>
      </c>
      <c r="N833" s="38" t="s">
        <v>114</v>
      </c>
      <c r="O833" s="15" t="s">
        <v>731</v>
      </c>
    </row>
    <row r="834">
      <c r="A834" s="18" t="s">
        <v>7498</v>
      </c>
      <c r="B834" s="15" t="s">
        <v>9627</v>
      </c>
      <c r="C834" s="43">
        <v>45877.0</v>
      </c>
      <c r="D834" s="43">
        <v>45877.0</v>
      </c>
      <c r="E834" s="38" t="s">
        <v>9628</v>
      </c>
      <c r="F834" s="38" t="s">
        <v>7857</v>
      </c>
      <c r="G834" s="39">
        <v>4430.0</v>
      </c>
      <c r="H834" s="40"/>
      <c r="I834" s="45">
        <v>1433.0</v>
      </c>
      <c r="J834" s="45">
        <v>3695.64</v>
      </c>
      <c r="K834" s="15"/>
      <c r="L834" s="15" t="s">
        <v>127</v>
      </c>
      <c r="M834" s="15" t="s">
        <v>9629</v>
      </c>
      <c r="N834" s="15" t="s">
        <v>24</v>
      </c>
      <c r="O834" s="15" t="s">
        <v>60</v>
      </c>
    </row>
    <row r="835">
      <c r="A835" s="18" t="s">
        <v>7498</v>
      </c>
      <c r="B835" s="15" t="s">
        <v>9630</v>
      </c>
      <c r="C835" s="37">
        <v>45884.0</v>
      </c>
      <c r="D835" s="37">
        <v>45884.0</v>
      </c>
      <c r="E835" s="38" t="s">
        <v>9631</v>
      </c>
      <c r="F835" s="38" t="s">
        <v>7857</v>
      </c>
      <c r="G835" s="39">
        <v>4430.0</v>
      </c>
      <c r="H835" s="40"/>
      <c r="I835" s="42">
        <v>218.0</v>
      </c>
      <c r="J835" s="45">
        <v>3913.64</v>
      </c>
      <c r="K835" s="15"/>
      <c r="L835" s="15" t="s">
        <v>127</v>
      </c>
      <c r="M835" s="15" t="s">
        <v>9629</v>
      </c>
      <c r="N835" s="15" t="s">
        <v>24</v>
      </c>
      <c r="O835" s="15" t="s">
        <v>60</v>
      </c>
    </row>
    <row r="836">
      <c r="A836" s="18" t="s">
        <v>7498</v>
      </c>
      <c r="B836" s="18" t="s">
        <v>9632</v>
      </c>
      <c r="C836" s="66">
        <v>45912.0</v>
      </c>
      <c r="D836" s="66">
        <v>45912.0</v>
      </c>
      <c r="E836" s="67" t="s">
        <v>9633</v>
      </c>
      <c r="F836" s="67" t="s">
        <v>7857</v>
      </c>
      <c r="G836" s="68">
        <v>4430.0</v>
      </c>
      <c r="H836" s="69"/>
      <c r="I836" s="70">
        <v>446.0</v>
      </c>
      <c r="J836" s="71">
        <v>4359.64</v>
      </c>
      <c r="L836" s="2" t="s">
        <v>127</v>
      </c>
      <c r="M836" s="15" t="s">
        <v>9629</v>
      </c>
      <c r="N836" s="15" t="s">
        <v>24</v>
      </c>
      <c r="O836" s="15" t="s">
        <v>60</v>
      </c>
    </row>
    <row r="837">
      <c r="A837" s="18" t="s">
        <v>7498</v>
      </c>
      <c r="B837" s="18" t="s">
        <v>9634</v>
      </c>
      <c r="C837" s="66">
        <v>45924.0</v>
      </c>
      <c r="D837" s="66">
        <v>45924.0</v>
      </c>
      <c r="E837" s="67" t="s">
        <v>9635</v>
      </c>
      <c r="F837" s="67" t="s">
        <v>7557</v>
      </c>
      <c r="G837" s="68">
        <v>16446.0</v>
      </c>
      <c r="H837" s="69"/>
      <c r="I837" s="70">
        <v>624.0</v>
      </c>
      <c r="J837" s="71">
        <v>4983.64</v>
      </c>
      <c r="L837" s="2" t="s">
        <v>119</v>
      </c>
      <c r="M837" s="15" t="s">
        <v>9629</v>
      </c>
      <c r="N837" s="15" t="s">
        <v>24</v>
      </c>
      <c r="O837" s="15" t="s">
        <v>60</v>
      </c>
    </row>
    <row r="838">
      <c r="A838" s="18" t="s">
        <v>7498</v>
      </c>
      <c r="B838" s="18" t="s">
        <v>9636</v>
      </c>
      <c r="C838" s="66">
        <v>45924.0</v>
      </c>
      <c r="D838" s="66">
        <v>45924.0</v>
      </c>
      <c r="E838" s="67" t="s">
        <v>9637</v>
      </c>
      <c r="F838" s="67" t="s">
        <v>7557</v>
      </c>
      <c r="G838" s="68">
        <v>16446.0</v>
      </c>
      <c r="H838" s="69"/>
      <c r="I838" s="70">
        <v>203.0</v>
      </c>
      <c r="J838" s="71">
        <v>5186.64</v>
      </c>
      <c r="L838" s="2" t="s">
        <v>127</v>
      </c>
      <c r="M838" s="15" t="s">
        <v>9629</v>
      </c>
      <c r="N838" s="15" t="s">
        <v>24</v>
      </c>
      <c r="O838" s="15" t="s">
        <v>60</v>
      </c>
    </row>
    <row r="839">
      <c r="A839" s="18" t="s">
        <v>7498</v>
      </c>
      <c r="B839" s="18" t="s">
        <v>9638</v>
      </c>
      <c r="C839" s="66">
        <v>45930.0</v>
      </c>
      <c r="D839" s="66">
        <v>45930.0</v>
      </c>
      <c r="E839" s="67" t="s">
        <v>9639</v>
      </c>
      <c r="F839" s="67" t="s">
        <v>7501</v>
      </c>
      <c r="G839" s="68">
        <v>99999.0</v>
      </c>
      <c r="H839" s="70">
        <v>2360.0</v>
      </c>
      <c r="I839" s="69"/>
      <c r="J839" s="71">
        <v>2826.64</v>
      </c>
      <c r="L839" s="2" t="s">
        <v>23</v>
      </c>
      <c r="M839" s="2" t="s">
        <v>1363</v>
      </c>
      <c r="N839" s="2" t="s">
        <v>114</v>
      </c>
      <c r="O839" s="2" t="s">
        <v>1363</v>
      </c>
    </row>
    <row r="840">
      <c r="A840" s="18" t="s">
        <v>7498</v>
      </c>
      <c r="B840" s="18" t="s">
        <v>9640</v>
      </c>
      <c r="C840" s="66">
        <v>45954.0</v>
      </c>
      <c r="D840" s="66">
        <v>45954.0</v>
      </c>
      <c r="E840" s="67" t="s">
        <v>9641</v>
      </c>
      <c r="F840" s="67" t="s">
        <v>7857</v>
      </c>
      <c r="G840" s="68">
        <v>4430.0</v>
      </c>
      <c r="H840" s="69"/>
      <c r="I840" s="70">
        <v>772.0</v>
      </c>
      <c r="J840" s="71">
        <v>3598.64</v>
      </c>
      <c r="L840" s="2" t="s">
        <v>119</v>
      </c>
      <c r="M840" s="15" t="s">
        <v>9629</v>
      </c>
      <c r="N840" s="15" t="s">
        <v>24</v>
      </c>
      <c r="O840" s="15" t="s">
        <v>60</v>
      </c>
    </row>
    <row r="841">
      <c r="A841" s="18" t="s">
        <v>7498</v>
      </c>
      <c r="B841" s="18" t="s">
        <v>9642</v>
      </c>
      <c r="C841" s="66">
        <v>45954.0</v>
      </c>
      <c r="D841" s="66">
        <v>45954.0</v>
      </c>
      <c r="E841" s="67" t="s">
        <v>9643</v>
      </c>
      <c r="F841" s="67" t="s">
        <v>7857</v>
      </c>
      <c r="G841" s="68">
        <v>4430.0</v>
      </c>
      <c r="H841" s="69"/>
      <c r="I841" s="70">
        <v>762.0</v>
      </c>
      <c r="J841" s="71">
        <v>4360.64</v>
      </c>
      <c r="L841" s="2" t="s">
        <v>127</v>
      </c>
      <c r="M841" s="15" t="s">
        <v>9629</v>
      </c>
      <c r="N841" s="15" t="s">
        <v>24</v>
      </c>
      <c r="O841" s="15" t="s">
        <v>60</v>
      </c>
    </row>
    <row r="842">
      <c r="A842" s="18" t="s">
        <v>7498</v>
      </c>
      <c r="B842" s="18" t="s">
        <v>9644</v>
      </c>
      <c r="C842" s="66">
        <v>45961.0</v>
      </c>
      <c r="D842" s="66">
        <v>45961.0</v>
      </c>
      <c r="E842" s="67" t="s">
        <v>9645</v>
      </c>
      <c r="F842" s="67" t="s">
        <v>7857</v>
      </c>
      <c r="G842" s="68">
        <v>4430.0</v>
      </c>
      <c r="H842" s="69"/>
      <c r="I842" s="70">
        <v>988.0</v>
      </c>
      <c r="J842" s="71">
        <v>5348.64</v>
      </c>
      <c r="L842" s="2" t="s">
        <v>119</v>
      </c>
      <c r="M842" s="15" t="s">
        <v>9629</v>
      </c>
      <c r="N842" s="15" t="s">
        <v>24</v>
      </c>
      <c r="O842" s="15" t="s">
        <v>60</v>
      </c>
    </row>
    <row r="843">
      <c r="A843" s="18" t="s">
        <v>7498</v>
      </c>
      <c r="B843" s="18" t="s">
        <v>9646</v>
      </c>
      <c r="C843" s="66">
        <v>45961.0</v>
      </c>
      <c r="D843" s="66">
        <v>45961.0</v>
      </c>
      <c r="E843" s="67" t="s">
        <v>9647</v>
      </c>
      <c r="F843" s="67" t="s">
        <v>7857</v>
      </c>
      <c r="G843" s="68">
        <v>4430.0</v>
      </c>
      <c r="H843" s="69"/>
      <c r="I843" s="70">
        <v>7561.0</v>
      </c>
      <c r="J843" s="71">
        <v>12909.64</v>
      </c>
      <c r="L843" s="2" t="s">
        <v>127</v>
      </c>
      <c r="M843" s="15" t="s">
        <v>9629</v>
      </c>
      <c r="N843" s="15" t="s">
        <v>24</v>
      </c>
      <c r="O843" s="15" t="s">
        <v>60</v>
      </c>
    </row>
    <row r="844">
      <c r="A844" s="18" t="s">
        <v>7498</v>
      </c>
      <c r="B844" s="18" t="s">
        <v>9648</v>
      </c>
      <c r="C844" s="66">
        <v>45961.0</v>
      </c>
      <c r="D844" s="66">
        <v>45961.0</v>
      </c>
      <c r="E844" s="67" t="s">
        <v>9639</v>
      </c>
      <c r="F844" s="67" t="s">
        <v>7501</v>
      </c>
      <c r="G844" s="68">
        <v>99999.0</v>
      </c>
      <c r="H844" s="70">
        <v>2360.0</v>
      </c>
      <c r="I844" s="69"/>
      <c r="J844" s="71">
        <v>10549.64</v>
      </c>
      <c r="L844" s="2" t="s">
        <v>23</v>
      </c>
      <c r="M844" s="2" t="s">
        <v>1363</v>
      </c>
      <c r="N844" s="2" t="s">
        <v>114</v>
      </c>
      <c r="O844" s="2" t="s">
        <v>1363</v>
      </c>
    </row>
    <row r="845">
      <c r="A845" s="18" t="s">
        <v>7498</v>
      </c>
      <c r="B845" s="18" t="s">
        <v>9649</v>
      </c>
      <c r="C845" s="72">
        <v>45968.0</v>
      </c>
      <c r="D845" s="72">
        <v>45968.0</v>
      </c>
      <c r="E845" s="67" t="s">
        <v>9650</v>
      </c>
      <c r="F845" s="67" t="s">
        <v>7857</v>
      </c>
      <c r="G845" s="68">
        <v>4430.0</v>
      </c>
      <c r="H845" s="69"/>
      <c r="I845" s="70">
        <v>2439.0</v>
      </c>
      <c r="J845" s="71">
        <v>12988.64</v>
      </c>
      <c r="L845" s="2" t="s">
        <v>119</v>
      </c>
      <c r="M845" s="15" t="s">
        <v>9629</v>
      </c>
      <c r="N845" s="15" t="s">
        <v>24</v>
      </c>
      <c r="O845" s="15" t="s">
        <v>60</v>
      </c>
    </row>
    <row r="846">
      <c r="A846" s="18" t="s">
        <v>7498</v>
      </c>
      <c r="B846" s="18" t="s">
        <v>9651</v>
      </c>
      <c r="C846" s="72">
        <v>45968.0</v>
      </c>
      <c r="D846" s="72">
        <v>45968.0</v>
      </c>
      <c r="E846" s="67" t="s">
        <v>9652</v>
      </c>
      <c r="F846" s="67" t="s">
        <v>7857</v>
      </c>
      <c r="G846" s="68">
        <v>4430.0</v>
      </c>
      <c r="H846" s="69"/>
      <c r="I846" s="70">
        <v>7352.0</v>
      </c>
      <c r="J846" s="71">
        <v>20340.64</v>
      </c>
      <c r="L846" s="2" t="s">
        <v>127</v>
      </c>
      <c r="M846" s="15" t="s">
        <v>9629</v>
      </c>
      <c r="N846" s="15" t="s">
        <v>24</v>
      </c>
      <c r="O846" s="15" t="s">
        <v>60</v>
      </c>
    </row>
    <row r="847">
      <c r="A847" s="18" t="s">
        <v>7498</v>
      </c>
      <c r="B847" s="18" t="s">
        <v>9653</v>
      </c>
      <c r="C847" s="66">
        <v>45975.0</v>
      </c>
      <c r="D847" s="66">
        <v>45975.0</v>
      </c>
      <c r="E847" s="67" t="s">
        <v>9654</v>
      </c>
      <c r="F847" s="67" t="s">
        <v>7857</v>
      </c>
      <c r="G847" s="68">
        <v>4430.0</v>
      </c>
      <c r="H847" s="69"/>
      <c r="I847" s="70">
        <v>5397.0</v>
      </c>
      <c r="J847" s="71">
        <v>25737.64</v>
      </c>
      <c r="L847" s="2" t="s">
        <v>119</v>
      </c>
      <c r="M847" s="15" t="s">
        <v>9629</v>
      </c>
      <c r="N847" s="15" t="s">
        <v>24</v>
      </c>
      <c r="O847" s="15" t="s">
        <v>60</v>
      </c>
    </row>
    <row r="848">
      <c r="A848" s="18" t="s">
        <v>7498</v>
      </c>
      <c r="B848" s="18" t="s">
        <v>9655</v>
      </c>
      <c r="C848" s="66">
        <v>45982.0</v>
      </c>
      <c r="D848" s="66">
        <v>45982.0</v>
      </c>
      <c r="E848" s="67" t="s">
        <v>9656</v>
      </c>
      <c r="F848" s="67" t="s">
        <v>7857</v>
      </c>
      <c r="G848" s="68">
        <v>4430.0</v>
      </c>
      <c r="H848" s="69"/>
      <c r="I848" s="70">
        <v>2377.0</v>
      </c>
      <c r="J848" s="71">
        <v>28114.64</v>
      </c>
      <c r="L848" s="2" t="s">
        <v>127</v>
      </c>
      <c r="M848" s="15" t="s">
        <v>9629</v>
      </c>
      <c r="N848" s="15" t="s">
        <v>24</v>
      </c>
      <c r="O848" s="15" t="s">
        <v>60</v>
      </c>
    </row>
    <row r="849">
      <c r="A849" s="18" t="s">
        <v>7498</v>
      </c>
      <c r="B849" s="18" t="s">
        <v>9657</v>
      </c>
      <c r="C849" s="66">
        <v>45989.0</v>
      </c>
      <c r="D849" s="66">
        <v>45989.0</v>
      </c>
      <c r="E849" s="67" t="s">
        <v>9658</v>
      </c>
      <c r="F849" s="67" t="s">
        <v>7857</v>
      </c>
      <c r="G849" s="68">
        <v>4430.0</v>
      </c>
      <c r="H849" s="69"/>
      <c r="I849" s="70">
        <v>23538.0</v>
      </c>
      <c r="J849" s="71">
        <v>51652.64</v>
      </c>
      <c r="L849" s="2" t="s">
        <v>119</v>
      </c>
      <c r="M849" s="15" t="s">
        <v>9629</v>
      </c>
      <c r="N849" s="15" t="s">
        <v>24</v>
      </c>
      <c r="O849" s="15" t="s">
        <v>60</v>
      </c>
    </row>
    <row r="850">
      <c r="A850" s="18" t="s">
        <v>7498</v>
      </c>
      <c r="B850" s="18" t="s">
        <v>9659</v>
      </c>
      <c r="C850" s="66">
        <v>45989.0</v>
      </c>
      <c r="D850" s="66">
        <v>45989.0</v>
      </c>
      <c r="E850" s="67" t="s">
        <v>9660</v>
      </c>
      <c r="F850" s="67" t="s">
        <v>7857</v>
      </c>
      <c r="G850" s="68">
        <v>4430.0</v>
      </c>
      <c r="H850" s="69"/>
      <c r="I850" s="70">
        <v>62098.0</v>
      </c>
      <c r="J850" s="68" t="s">
        <v>9661</v>
      </c>
      <c r="L850" s="2" t="s">
        <v>127</v>
      </c>
      <c r="M850" s="15" t="s">
        <v>9629</v>
      </c>
      <c r="N850" s="15" t="s">
        <v>24</v>
      </c>
      <c r="O850" s="15" t="s">
        <v>60</v>
      </c>
    </row>
    <row r="851">
      <c r="A851" s="18" t="s">
        <v>7498</v>
      </c>
      <c r="B851" s="18" t="s">
        <v>9662</v>
      </c>
      <c r="C851" s="66">
        <v>45991.0</v>
      </c>
      <c r="D851" s="66">
        <v>45991.0</v>
      </c>
      <c r="E851" s="67" t="s">
        <v>9639</v>
      </c>
      <c r="F851" s="67" t="s">
        <v>7501</v>
      </c>
      <c r="G851" s="68">
        <v>99999.0</v>
      </c>
      <c r="H851" s="70">
        <v>2360.0</v>
      </c>
      <c r="I851" s="69"/>
      <c r="J851" s="68" t="s">
        <v>9663</v>
      </c>
      <c r="L851" s="2" t="s">
        <v>23</v>
      </c>
      <c r="M851" s="2" t="s">
        <v>1363</v>
      </c>
      <c r="N851" s="2" t="s">
        <v>114</v>
      </c>
      <c r="O851" s="2" t="s">
        <v>1363</v>
      </c>
    </row>
    <row r="852">
      <c r="A852" s="18" t="s">
        <v>7498</v>
      </c>
      <c r="B852" s="18" t="s">
        <v>9664</v>
      </c>
      <c r="C852" s="72">
        <v>45996.0</v>
      </c>
      <c r="D852" s="72">
        <v>45996.0</v>
      </c>
      <c r="E852" s="67" t="s">
        <v>9665</v>
      </c>
      <c r="F852" s="67" t="s">
        <v>7857</v>
      </c>
      <c r="G852" s="68">
        <v>4430.0</v>
      </c>
      <c r="H852" s="69"/>
      <c r="I852" s="70">
        <v>834.0</v>
      </c>
      <c r="J852" s="68" t="s">
        <v>9666</v>
      </c>
      <c r="L852" s="2" t="s">
        <v>119</v>
      </c>
      <c r="M852" s="15" t="s">
        <v>9629</v>
      </c>
      <c r="N852" s="15" t="s">
        <v>24</v>
      </c>
      <c r="O852" s="15" t="s">
        <v>60</v>
      </c>
    </row>
    <row r="853">
      <c r="A853" s="18" t="s">
        <v>7498</v>
      </c>
      <c r="B853" s="18" t="s">
        <v>9667</v>
      </c>
      <c r="C853" s="72">
        <v>45996.0</v>
      </c>
      <c r="D853" s="72">
        <v>45996.0</v>
      </c>
      <c r="E853" s="67" t="s">
        <v>9668</v>
      </c>
      <c r="F853" s="67" t="s">
        <v>7857</v>
      </c>
      <c r="G853" s="68">
        <v>4430.0</v>
      </c>
      <c r="H853" s="69"/>
      <c r="I853" s="70">
        <v>10710.0</v>
      </c>
      <c r="J853" s="68" t="s">
        <v>9669</v>
      </c>
      <c r="L853" s="2" t="s">
        <v>127</v>
      </c>
      <c r="M853" s="15" t="s">
        <v>9629</v>
      </c>
      <c r="N853" s="15" t="s">
        <v>24</v>
      </c>
      <c r="O853" s="15" t="s">
        <v>60</v>
      </c>
    </row>
    <row r="854">
      <c r="A854" s="18" t="s">
        <v>7498</v>
      </c>
      <c r="B854" s="18" t="s">
        <v>9670</v>
      </c>
      <c r="C854" s="72">
        <v>46000.0</v>
      </c>
      <c r="D854" s="72">
        <v>46000.0</v>
      </c>
      <c r="E854" s="67" t="s">
        <v>9671</v>
      </c>
      <c r="F854" s="67" t="s">
        <v>8451</v>
      </c>
      <c r="G854" s="68">
        <v>16446.0</v>
      </c>
      <c r="H854" s="70">
        <v>50000.0</v>
      </c>
      <c r="I854" s="69"/>
      <c r="J854" s="71">
        <v>72934.64</v>
      </c>
      <c r="L854" s="2" t="s">
        <v>23</v>
      </c>
      <c r="M854" s="2" t="s">
        <v>731</v>
      </c>
      <c r="N854" s="2" t="s">
        <v>731</v>
      </c>
      <c r="O854" s="2" t="s">
        <v>731</v>
      </c>
    </row>
    <row r="855">
      <c r="A855" s="18" t="s">
        <v>7498</v>
      </c>
      <c r="B855" s="18" t="s">
        <v>9672</v>
      </c>
      <c r="C855" s="66">
        <v>46001.0</v>
      </c>
      <c r="D855" s="66">
        <v>46001.0</v>
      </c>
      <c r="E855" s="67" t="s">
        <v>9673</v>
      </c>
      <c r="F855" s="67" t="s">
        <v>9542</v>
      </c>
      <c r="G855" s="68">
        <v>16446.0</v>
      </c>
      <c r="H855" s="70">
        <v>50000.0</v>
      </c>
      <c r="I855" s="69"/>
      <c r="J855" s="71">
        <v>22934.64</v>
      </c>
      <c r="L855" s="2" t="s">
        <v>23</v>
      </c>
      <c r="M855" s="2" t="s">
        <v>731</v>
      </c>
      <c r="N855" s="2" t="s">
        <v>731</v>
      </c>
      <c r="O855" s="2" t="s">
        <v>731</v>
      </c>
    </row>
    <row r="856">
      <c r="A856" s="18" t="s">
        <v>7498</v>
      </c>
      <c r="B856" s="18" t="s">
        <v>9674</v>
      </c>
      <c r="C856" s="66">
        <v>46003.0</v>
      </c>
      <c r="D856" s="66">
        <v>46003.0</v>
      </c>
      <c r="E856" s="67" t="s">
        <v>9675</v>
      </c>
      <c r="F856" s="67" t="s">
        <v>7857</v>
      </c>
      <c r="G856" s="68">
        <v>4430.0</v>
      </c>
      <c r="H856" s="69"/>
      <c r="I856" s="70">
        <v>6141.0</v>
      </c>
      <c r="J856" s="71">
        <v>29075.64</v>
      </c>
      <c r="L856" s="2" t="s">
        <v>119</v>
      </c>
      <c r="M856" s="15" t="s">
        <v>9629</v>
      </c>
      <c r="N856" s="15" t="s">
        <v>24</v>
      </c>
      <c r="O856" s="15" t="s">
        <v>60</v>
      </c>
    </row>
    <row r="857">
      <c r="A857" s="18" t="s">
        <v>7498</v>
      </c>
      <c r="B857" s="18" t="s">
        <v>9676</v>
      </c>
      <c r="C857" s="66">
        <v>46010.0</v>
      </c>
      <c r="D857" s="66">
        <v>46010.0</v>
      </c>
      <c r="E857" s="67" t="s">
        <v>9677</v>
      </c>
      <c r="F857" s="67" t="s">
        <v>7857</v>
      </c>
      <c r="G857" s="68">
        <v>4430.0</v>
      </c>
      <c r="H857" s="69"/>
      <c r="I857" s="70">
        <v>13450.0</v>
      </c>
      <c r="J857" s="71">
        <v>42525.64</v>
      </c>
      <c r="L857" s="2" t="s">
        <v>127</v>
      </c>
      <c r="M857" s="15" t="s">
        <v>9629</v>
      </c>
      <c r="N857" s="15" t="s">
        <v>24</v>
      </c>
      <c r="O857" s="15" t="s">
        <v>60</v>
      </c>
    </row>
    <row r="858">
      <c r="H858" s="73"/>
      <c r="I858" s="73"/>
    </row>
    <row r="859">
      <c r="H859" s="73"/>
      <c r="I859" s="73"/>
    </row>
    <row r="860">
      <c r="H860" s="73"/>
      <c r="I860" s="73"/>
    </row>
    <row r="861">
      <c r="H861" s="73"/>
      <c r="I861" s="73"/>
    </row>
    <row r="862">
      <c r="H862" s="73"/>
      <c r="I862" s="73"/>
    </row>
    <row r="863">
      <c r="H863" s="73"/>
      <c r="I863" s="73"/>
    </row>
    <row r="864">
      <c r="H864" s="73"/>
      <c r="I864" s="73"/>
    </row>
    <row r="865">
      <c r="H865" s="73"/>
      <c r="I865" s="73"/>
    </row>
    <row r="866">
      <c r="H866" s="73"/>
      <c r="I866" s="73"/>
    </row>
    <row r="867">
      <c r="H867" s="73"/>
      <c r="I867" s="73"/>
    </row>
    <row r="868">
      <c r="H868" s="73"/>
      <c r="I868" s="73"/>
    </row>
    <row r="869">
      <c r="H869" s="73"/>
      <c r="I869" s="73"/>
    </row>
    <row r="870">
      <c r="H870" s="73"/>
      <c r="I870" s="73"/>
    </row>
    <row r="871">
      <c r="H871" s="73"/>
      <c r="I871" s="73"/>
    </row>
    <row r="872">
      <c r="H872" s="73"/>
      <c r="I872" s="73"/>
    </row>
    <row r="873">
      <c r="H873" s="73"/>
      <c r="I873" s="73"/>
    </row>
    <row r="874">
      <c r="H874" s="73"/>
      <c r="I874" s="73"/>
    </row>
    <row r="875">
      <c r="H875" s="73"/>
      <c r="I875" s="73"/>
    </row>
    <row r="876">
      <c r="H876" s="73"/>
      <c r="I876" s="73"/>
    </row>
    <row r="877">
      <c r="H877" s="73"/>
      <c r="I877" s="73"/>
    </row>
    <row r="878">
      <c r="H878" s="73"/>
      <c r="I878" s="73"/>
    </row>
    <row r="879">
      <c r="H879" s="73"/>
      <c r="I879" s="73"/>
    </row>
    <row r="880">
      <c r="H880" s="73"/>
      <c r="I880" s="73"/>
    </row>
    <row r="881">
      <c r="H881" s="73"/>
      <c r="I881" s="73"/>
    </row>
    <row r="882">
      <c r="H882" s="73"/>
      <c r="I882" s="73"/>
    </row>
    <row r="883">
      <c r="H883" s="73"/>
      <c r="I883" s="73"/>
    </row>
    <row r="884">
      <c r="H884" s="73"/>
      <c r="I884" s="73"/>
    </row>
    <row r="885">
      <c r="H885" s="73"/>
      <c r="I885" s="73"/>
    </row>
    <row r="886">
      <c r="H886" s="73"/>
      <c r="I886" s="73"/>
    </row>
    <row r="887">
      <c r="H887" s="73"/>
      <c r="I887" s="73"/>
    </row>
    <row r="888">
      <c r="H888" s="73"/>
      <c r="I888" s="73"/>
    </row>
    <row r="889">
      <c r="H889" s="73"/>
      <c r="I889" s="73"/>
    </row>
    <row r="890">
      <c r="H890" s="73"/>
      <c r="I890" s="73"/>
    </row>
    <row r="891">
      <c r="H891" s="73"/>
      <c r="I891" s="73"/>
    </row>
    <row r="892">
      <c r="H892" s="73"/>
      <c r="I892" s="73"/>
    </row>
    <row r="893">
      <c r="H893" s="73"/>
      <c r="I893" s="73"/>
    </row>
    <row r="894">
      <c r="H894" s="73"/>
      <c r="I894" s="73"/>
    </row>
    <row r="895">
      <c r="H895" s="73"/>
      <c r="I895" s="73"/>
    </row>
    <row r="896">
      <c r="H896" s="73"/>
      <c r="I896" s="73"/>
    </row>
    <row r="897">
      <c r="H897" s="73"/>
      <c r="I897" s="73"/>
    </row>
    <row r="898">
      <c r="H898" s="73"/>
      <c r="I898" s="73"/>
    </row>
    <row r="899">
      <c r="H899" s="73"/>
      <c r="I899" s="73"/>
    </row>
    <row r="900">
      <c r="H900" s="73"/>
      <c r="I900" s="73"/>
    </row>
    <row r="901">
      <c r="H901" s="73"/>
      <c r="I901" s="73"/>
    </row>
    <row r="902">
      <c r="H902" s="73"/>
      <c r="I902" s="73"/>
    </row>
    <row r="903">
      <c r="H903" s="73"/>
      <c r="I903" s="73"/>
    </row>
    <row r="904">
      <c r="H904" s="73"/>
      <c r="I904" s="73"/>
    </row>
    <row r="905">
      <c r="H905" s="73"/>
      <c r="I905" s="73"/>
    </row>
    <row r="906">
      <c r="H906" s="73"/>
      <c r="I906" s="73"/>
    </row>
    <row r="907">
      <c r="H907" s="73"/>
      <c r="I907" s="73"/>
    </row>
    <row r="908">
      <c r="H908" s="73"/>
      <c r="I908" s="73"/>
    </row>
    <row r="909">
      <c r="H909" s="73"/>
      <c r="I909" s="73"/>
    </row>
    <row r="910">
      <c r="H910" s="73"/>
      <c r="I910" s="73"/>
    </row>
    <row r="911">
      <c r="H911" s="73"/>
      <c r="I911" s="73"/>
    </row>
    <row r="912">
      <c r="H912" s="73"/>
      <c r="I912" s="73"/>
    </row>
    <row r="913">
      <c r="H913" s="73"/>
      <c r="I913" s="73"/>
    </row>
    <row r="914">
      <c r="H914" s="73"/>
      <c r="I914" s="73"/>
    </row>
    <row r="915">
      <c r="H915" s="73"/>
      <c r="I915" s="73"/>
    </row>
    <row r="916">
      <c r="H916" s="73"/>
      <c r="I916" s="73"/>
    </row>
    <row r="917">
      <c r="H917" s="73"/>
      <c r="I917" s="73"/>
    </row>
    <row r="918">
      <c r="H918" s="73"/>
      <c r="I918" s="73"/>
    </row>
    <row r="919">
      <c r="H919" s="73"/>
      <c r="I919" s="73"/>
    </row>
    <row r="920">
      <c r="H920" s="73"/>
      <c r="I920" s="73"/>
    </row>
    <row r="921">
      <c r="H921" s="73"/>
      <c r="I921" s="73"/>
    </row>
    <row r="922">
      <c r="H922" s="73"/>
      <c r="I922" s="73"/>
    </row>
    <row r="923">
      <c r="H923" s="73"/>
      <c r="I923" s="73"/>
    </row>
    <row r="924">
      <c r="H924" s="73"/>
      <c r="I924" s="73"/>
    </row>
    <row r="925">
      <c r="H925" s="73"/>
      <c r="I925" s="73"/>
    </row>
    <row r="926">
      <c r="H926" s="73"/>
      <c r="I926" s="73"/>
    </row>
    <row r="927">
      <c r="H927" s="73"/>
      <c r="I927" s="73"/>
    </row>
    <row r="928">
      <c r="H928" s="73"/>
      <c r="I928" s="73"/>
    </row>
    <row r="929">
      <c r="H929" s="73"/>
      <c r="I929" s="73"/>
    </row>
    <row r="930">
      <c r="H930" s="73"/>
      <c r="I930" s="73"/>
    </row>
    <row r="931">
      <c r="H931" s="73"/>
      <c r="I931" s="73"/>
    </row>
    <row r="932">
      <c r="H932" s="73"/>
      <c r="I932" s="73"/>
    </row>
    <row r="933">
      <c r="H933" s="73"/>
      <c r="I933" s="73"/>
    </row>
    <row r="934">
      <c r="H934" s="73"/>
      <c r="I934" s="73"/>
    </row>
    <row r="935">
      <c r="H935" s="73"/>
      <c r="I935" s="73"/>
    </row>
    <row r="936">
      <c r="H936" s="73"/>
      <c r="I936" s="73"/>
    </row>
    <row r="937">
      <c r="H937" s="73"/>
      <c r="I937" s="73"/>
    </row>
    <row r="938">
      <c r="H938" s="73"/>
      <c r="I938" s="73"/>
    </row>
    <row r="939">
      <c r="H939" s="73"/>
      <c r="I939" s="73"/>
    </row>
    <row r="940">
      <c r="H940" s="73"/>
      <c r="I940" s="73"/>
    </row>
    <row r="941">
      <c r="H941" s="73"/>
      <c r="I941" s="73"/>
    </row>
    <row r="942">
      <c r="H942" s="73"/>
      <c r="I942" s="73"/>
    </row>
    <row r="943">
      <c r="H943" s="73"/>
      <c r="I943" s="73"/>
    </row>
    <row r="944">
      <c r="H944" s="73"/>
      <c r="I944" s="73"/>
    </row>
    <row r="945">
      <c r="H945" s="73"/>
      <c r="I945" s="73"/>
    </row>
    <row r="946">
      <c r="H946" s="73"/>
      <c r="I946" s="73"/>
    </row>
    <row r="947">
      <c r="H947" s="73"/>
      <c r="I947" s="73"/>
    </row>
    <row r="948">
      <c r="H948" s="73"/>
      <c r="I948" s="73"/>
    </row>
    <row r="949">
      <c r="H949" s="73"/>
      <c r="I949" s="73"/>
    </row>
    <row r="950">
      <c r="H950" s="73"/>
      <c r="I950" s="73"/>
    </row>
    <row r="951">
      <c r="H951" s="73"/>
      <c r="I951" s="73"/>
    </row>
    <row r="952">
      <c r="H952" s="73"/>
      <c r="I952" s="73"/>
    </row>
    <row r="953">
      <c r="H953" s="73"/>
      <c r="I953" s="73"/>
    </row>
    <row r="954">
      <c r="H954" s="73"/>
      <c r="I954" s="73"/>
    </row>
    <row r="955">
      <c r="H955" s="73"/>
      <c r="I955" s="73"/>
    </row>
    <row r="956">
      <c r="H956" s="73"/>
      <c r="I956" s="73"/>
    </row>
    <row r="957">
      <c r="H957" s="73"/>
      <c r="I957" s="73"/>
    </row>
    <row r="958">
      <c r="H958" s="73"/>
      <c r="I958" s="73"/>
    </row>
    <row r="959">
      <c r="H959" s="73"/>
      <c r="I959" s="73"/>
    </row>
    <row r="960">
      <c r="H960" s="73"/>
      <c r="I960" s="73"/>
    </row>
    <row r="961">
      <c r="H961" s="73"/>
      <c r="I961" s="73"/>
    </row>
    <row r="962">
      <c r="H962" s="73"/>
      <c r="I962" s="73"/>
    </row>
    <row r="963">
      <c r="H963" s="73"/>
      <c r="I963" s="73"/>
    </row>
    <row r="964">
      <c r="H964" s="73"/>
      <c r="I964" s="73"/>
    </row>
    <row r="965">
      <c r="H965" s="73"/>
      <c r="I965" s="73"/>
    </row>
    <row r="966">
      <c r="H966" s="73"/>
      <c r="I966" s="73"/>
    </row>
    <row r="967">
      <c r="H967" s="73"/>
      <c r="I967" s="73"/>
    </row>
    <row r="968">
      <c r="H968" s="73"/>
      <c r="I968" s="73"/>
    </row>
    <row r="969">
      <c r="H969" s="73"/>
      <c r="I969" s="73"/>
    </row>
    <row r="970">
      <c r="H970" s="73"/>
      <c r="I970" s="73"/>
    </row>
    <row r="971">
      <c r="H971" s="73"/>
      <c r="I971" s="73"/>
    </row>
    <row r="972">
      <c r="H972" s="73"/>
      <c r="I972" s="73"/>
    </row>
    <row r="973">
      <c r="H973" s="73"/>
      <c r="I973" s="73"/>
    </row>
    <row r="974">
      <c r="H974" s="73"/>
      <c r="I974" s="73"/>
    </row>
    <row r="975">
      <c r="H975" s="73"/>
      <c r="I975" s="73"/>
    </row>
    <row r="976">
      <c r="H976" s="73"/>
      <c r="I976" s="73"/>
    </row>
    <row r="977">
      <c r="H977" s="73"/>
      <c r="I977" s="73"/>
    </row>
    <row r="978">
      <c r="H978" s="73"/>
      <c r="I978" s="73"/>
    </row>
    <row r="979">
      <c r="H979" s="73"/>
      <c r="I979" s="73"/>
    </row>
    <row r="980">
      <c r="H980" s="73"/>
      <c r="I980" s="73"/>
    </row>
    <row r="981">
      <c r="H981" s="73"/>
      <c r="I981" s="73"/>
    </row>
    <row r="982">
      <c r="H982" s="73"/>
      <c r="I982" s="73"/>
    </row>
    <row r="983">
      <c r="H983" s="73"/>
      <c r="I983" s="73"/>
    </row>
    <row r="984">
      <c r="H984" s="73"/>
      <c r="I984" s="73"/>
    </row>
    <row r="985">
      <c r="H985" s="73"/>
      <c r="I985" s="73"/>
    </row>
    <row r="986">
      <c r="H986" s="73"/>
      <c r="I986" s="73"/>
    </row>
    <row r="987">
      <c r="H987" s="73"/>
      <c r="I987" s="73"/>
    </row>
    <row r="988">
      <c r="H988" s="73"/>
      <c r="I988" s="73"/>
    </row>
    <row r="989">
      <c r="H989" s="73"/>
      <c r="I989" s="73"/>
    </row>
    <row r="990">
      <c r="H990" s="73"/>
      <c r="I990" s="73"/>
    </row>
    <row r="991">
      <c r="H991" s="73"/>
      <c r="I991" s="73"/>
    </row>
    <row r="992">
      <c r="H992" s="73"/>
      <c r="I992" s="73"/>
    </row>
    <row r="993">
      <c r="H993" s="73"/>
      <c r="I993" s="73"/>
    </row>
    <row r="994">
      <c r="H994" s="73"/>
      <c r="I994" s="73"/>
    </row>
    <row r="995">
      <c r="H995" s="73"/>
      <c r="I995" s="73"/>
    </row>
    <row r="996">
      <c r="H996" s="73"/>
      <c r="I996" s="73"/>
    </row>
    <row r="997">
      <c r="H997" s="73"/>
      <c r="I997" s="73"/>
    </row>
    <row r="998">
      <c r="H998" s="73"/>
      <c r="I998" s="73"/>
    </row>
    <row r="999">
      <c r="H999" s="73"/>
      <c r="I999" s="73"/>
    </row>
  </sheetData>
  <drawing r:id="rId1"/>
</worksheet>
</file>